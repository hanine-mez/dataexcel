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7190"/>
  </bookViews>
  <sheets>
    <sheet name="Feuil1" sheetId="1" r:id="rId1"/>
  </sheets>
  <definedNames>
    <definedName name="_xlnm._FilterDatabase" localSheetId="0" hidden="1">Feuil1!$A$11:$AM$82</definedName>
  </definedNames>
  <calcPr calcId="152511"/>
</workbook>
</file>

<file path=xl/calcChain.xml><?xml version="1.0" encoding="utf-8"?>
<calcChain xmlns="http://schemas.openxmlformats.org/spreadsheetml/2006/main">
  <c r="AL83" i="1" l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P83" i="1"/>
</calcChain>
</file>

<file path=xl/sharedStrings.xml><?xml version="1.0" encoding="utf-8"?>
<sst xmlns="http://schemas.openxmlformats.org/spreadsheetml/2006/main" count="1076" uniqueCount="300">
  <si>
    <t>R E P U B L I Q U E   A L G E R I E N N E   D E M O C R A T I Q U E   E T   P O P U L A I R E</t>
  </si>
  <si>
    <t>MINISTERE DE L'AGRICULTURE, DU DEVELOPPEMENT RURAL ET DE LA PECHE</t>
  </si>
  <si>
    <t>DIRECTION GENERALE DES FORETS</t>
  </si>
  <si>
    <t>CONSERVATION DES FORETS DE LA WILAYA DE:BEJAIA</t>
  </si>
  <si>
    <t>N°</t>
  </si>
  <si>
    <t>DAIRA</t>
  </si>
  <si>
    <t>COMMUNE</t>
  </si>
  <si>
    <t>NOM DE FORET OU LIEU DIT</t>
  </si>
  <si>
    <t>COORDONNEES GEOGRAPHIQUES</t>
  </si>
  <si>
    <t>DECLARATION</t>
  </si>
  <si>
    <t>INTERVENTION</t>
  </si>
  <si>
    <t>EXTINCTION</t>
  </si>
  <si>
    <t>ESSENCE PRINCIPAL</t>
  </si>
  <si>
    <t xml:space="preserve">SUPERFICIES PARCOURUES PAR LE FEU </t>
  </si>
  <si>
    <t>CAUSE PROBABLE</t>
  </si>
  <si>
    <t>AUTEUR</t>
  </si>
  <si>
    <t>SIGNALE PAR</t>
  </si>
  <si>
    <t>CONDITIONS METEO (TEMPERATURE ET VENTS) (VITESSE ET DIRECTION)</t>
  </si>
  <si>
    <t>ORGANISMES PARTICIPANTS A LA LUTTE</t>
  </si>
  <si>
    <t>EVALUATION FINANCIERE  DES DEGATS(DA)</t>
  </si>
  <si>
    <t xml:space="preserve">ENQUETE (*) </t>
  </si>
  <si>
    <t xml:space="preserve">LONGITUDE </t>
  </si>
  <si>
    <t xml:space="preserve">LATITUDE </t>
  </si>
  <si>
    <t>G P S</t>
  </si>
  <si>
    <t>DATE</t>
  </si>
  <si>
    <t>HEURE</t>
  </si>
  <si>
    <t>DOMANIALE</t>
  </si>
  <si>
    <t>PRIVEE</t>
  </si>
  <si>
    <t>TOTAL</t>
  </si>
  <si>
    <t>FORET</t>
  </si>
  <si>
    <t>MAQUIS</t>
  </si>
  <si>
    <t>BROUSS</t>
  </si>
  <si>
    <t>ALFA</t>
  </si>
  <si>
    <t>AUTRES</t>
  </si>
  <si>
    <t>RUBRIQUE</t>
  </si>
  <si>
    <t xml:space="preserve">TYPE DE CAUSE  </t>
  </si>
  <si>
    <t>PA+BROUSS</t>
  </si>
  <si>
    <t>INCON</t>
  </si>
  <si>
    <t>BM</t>
  </si>
  <si>
    <t>PC</t>
  </si>
  <si>
    <t>RIVER</t>
  </si>
  <si>
    <t>CV</t>
  </si>
  <si>
    <t>CV+BROUSS</t>
  </si>
  <si>
    <t>CL</t>
  </si>
  <si>
    <t>CL+BROUSS</t>
  </si>
  <si>
    <t>SF</t>
  </si>
  <si>
    <t>PV</t>
  </si>
  <si>
    <t>CIT</t>
  </si>
  <si>
    <t>PA</t>
  </si>
  <si>
    <t>DW</t>
  </si>
  <si>
    <t>CZ</t>
  </si>
  <si>
    <t>CL+CV+BROUSS</t>
  </si>
  <si>
    <t>CZ+BROUSS</t>
  </si>
  <si>
    <t>CV+PA+BROUSS</t>
  </si>
  <si>
    <t>Temps chaud, vent faible</t>
  </si>
  <si>
    <t>PC,SF,VOL</t>
  </si>
  <si>
    <t>Temps très chaud, vent faible</t>
  </si>
  <si>
    <t>PC,SF</t>
  </si>
  <si>
    <t>En Cours</t>
  </si>
  <si>
    <t>SF,VOL</t>
  </si>
  <si>
    <t>Temps tempéré, vent faible</t>
  </si>
  <si>
    <t>Ouzellaguen</t>
  </si>
  <si>
    <t>4°34'00,00"</t>
  </si>
  <si>
    <t>Carte</t>
  </si>
  <si>
    <t>Souk el tenine</t>
  </si>
  <si>
    <t>Melbou</t>
  </si>
  <si>
    <t>Barbacha</t>
  </si>
  <si>
    <t>Kendira</t>
  </si>
  <si>
    <t>Seddouk</t>
  </si>
  <si>
    <t>Beni maouche</t>
  </si>
  <si>
    <t>Darguina</t>
  </si>
  <si>
    <t>DFN Beni segoual</t>
  </si>
  <si>
    <t>Taskriout</t>
  </si>
  <si>
    <t>Semaoun</t>
  </si>
  <si>
    <t>Amizour</t>
  </si>
  <si>
    <t>Tichy</t>
  </si>
  <si>
    <t>DFN Oued djemaa</t>
  </si>
  <si>
    <t xml:space="preserve">DFN Akfadou est </t>
  </si>
  <si>
    <t>DFN Chaabet el akra</t>
  </si>
  <si>
    <t xml:space="preserve">Adekar </t>
  </si>
  <si>
    <t>Beni ksila</t>
  </si>
  <si>
    <t>El kseur</t>
  </si>
  <si>
    <t>Boukhelifa</t>
  </si>
  <si>
    <t xml:space="preserve">Chemini </t>
  </si>
  <si>
    <t>Akfadou</t>
  </si>
  <si>
    <t>Ighil ali</t>
  </si>
  <si>
    <t>Aokas</t>
  </si>
  <si>
    <t>DFN Taourirt ighil</t>
  </si>
  <si>
    <t>DFN Beni mimoun</t>
  </si>
  <si>
    <t>Fenaia</t>
  </si>
  <si>
    <t>DFN Beni slimane</t>
  </si>
  <si>
    <t>Ighrem</t>
  </si>
  <si>
    <t>4°29'00,00"</t>
  </si>
  <si>
    <t>Sidi aich</t>
  </si>
  <si>
    <t>Tifra</t>
  </si>
  <si>
    <t>Akbou</t>
  </si>
  <si>
    <t>Chellata</t>
  </si>
  <si>
    <t>DFN Beni melloul</t>
  </si>
  <si>
    <t>Toudja</t>
  </si>
  <si>
    <t>Bejaia</t>
  </si>
  <si>
    <t>Mezouara</t>
  </si>
  <si>
    <t>Oued ghir</t>
  </si>
  <si>
    <t>Boumedjber</t>
  </si>
  <si>
    <t>Djebira</t>
  </si>
  <si>
    <t>M'cisna</t>
  </si>
  <si>
    <t>Aguemoun</t>
  </si>
  <si>
    <t>Feraoun</t>
  </si>
  <si>
    <t>Boulezazen</t>
  </si>
  <si>
    <t>5°22'16,84"</t>
  </si>
  <si>
    <t>36°37'7,64"</t>
  </si>
  <si>
    <t>Négligence</t>
  </si>
  <si>
    <t>Brulages agricoles</t>
  </si>
  <si>
    <t>5°03'38.71"</t>
  </si>
  <si>
    <t>36°40'06.71"</t>
  </si>
  <si>
    <t>Volontaire</t>
  </si>
  <si>
    <t>Incendiaire</t>
  </si>
  <si>
    <t>Lakhbath</t>
  </si>
  <si>
    <t>4°56'26,99"</t>
  </si>
  <si>
    <t>36°38'46,67"</t>
  </si>
  <si>
    <t>Dépotoir</t>
  </si>
  <si>
    <t>4°56'35,20"</t>
  </si>
  <si>
    <t>36°38'53,03"</t>
  </si>
  <si>
    <t>4°47'03,38"</t>
  </si>
  <si>
    <t>36°38'52,24"</t>
  </si>
  <si>
    <t>4°35'15.09"</t>
  </si>
  <si>
    <t>36°42'29.96"</t>
  </si>
  <si>
    <t>Intérêt</t>
  </si>
  <si>
    <t>5°01'38,83"</t>
  </si>
  <si>
    <t>36°34'47,84"</t>
  </si>
  <si>
    <t>5°04'01.25"</t>
  </si>
  <si>
    <t>36°45'53.60"</t>
  </si>
  <si>
    <t>Loisirs</t>
  </si>
  <si>
    <t>4°39'07.52"</t>
  </si>
  <si>
    <t>36°44'36.60"</t>
  </si>
  <si>
    <t>Accidentelle</t>
  </si>
  <si>
    <t>Manœuvre militaire</t>
  </si>
  <si>
    <t>5°09'49.08"</t>
  </si>
  <si>
    <t>36°35'39.63"</t>
  </si>
  <si>
    <t>Tibouamouchine</t>
  </si>
  <si>
    <t>4°24'17.90"</t>
  </si>
  <si>
    <t>36°55'42.15"</t>
  </si>
  <si>
    <t>Inconnue</t>
  </si>
  <si>
    <t>4°59'12,70"</t>
  </si>
  <si>
    <t>36°32'38,88"</t>
  </si>
  <si>
    <t>5°03'42.64"</t>
  </si>
  <si>
    <t>36°40'03.39"</t>
  </si>
  <si>
    <t>5°03'38.61"</t>
  </si>
  <si>
    <t>36°40'03.47"</t>
  </si>
  <si>
    <t>Atrouche</t>
  </si>
  <si>
    <t>4°38'44.23"</t>
  </si>
  <si>
    <t>36°48'27.32"</t>
  </si>
  <si>
    <t>Ighil meloulen</t>
  </si>
  <si>
    <t>4°27'39.94"</t>
  </si>
  <si>
    <t>36°55'39.26"</t>
  </si>
  <si>
    <t>4°48'50,33"</t>
  </si>
  <si>
    <t>36°43'19,96"</t>
  </si>
  <si>
    <t>5°13'59.28"</t>
  </si>
  <si>
    <t>36°33'53.81"</t>
  </si>
  <si>
    <t>Tifrithin</t>
  </si>
  <si>
    <t>4°53'16.45"</t>
  </si>
  <si>
    <t>36°32'23.58"</t>
  </si>
  <si>
    <t>4°35'19.66"</t>
  </si>
  <si>
    <t>36°42'55.86"</t>
  </si>
  <si>
    <t>Timezrit</t>
  </si>
  <si>
    <t>4°28'20.81"</t>
  </si>
  <si>
    <t>36°55'58.15"</t>
  </si>
  <si>
    <t>5°13'23.28"</t>
  </si>
  <si>
    <t>36°31'54.47"</t>
  </si>
  <si>
    <t>4°33'39.18"</t>
  </si>
  <si>
    <t>36°43'10.17"</t>
  </si>
  <si>
    <t>Iharbiene</t>
  </si>
  <si>
    <t>4°42'18.93"</t>
  </si>
  <si>
    <t>36°52'06.57"</t>
  </si>
  <si>
    <t>4°39'08.15"</t>
  </si>
  <si>
    <t>36°45'05.80"</t>
  </si>
  <si>
    <t>Bouvres</t>
  </si>
  <si>
    <t>4°31'01.45"</t>
  </si>
  <si>
    <t>36°55'13.60"</t>
  </si>
  <si>
    <t>5°05'00.23"</t>
  </si>
  <si>
    <t>36°40'37.58"</t>
  </si>
  <si>
    <t>4°40'34.42"</t>
  </si>
  <si>
    <t>36°49'24.19"</t>
  </si>
  <si>
    <t>4°17'34.67"</t>
  </si>
  <si>
    <t>36°56'29.83"</t>
  </si>
  <si>
    <t>4°49'49.46"</t>
  </si>
  <si>
    <t>36°42'23.89"</t>
  </si>
  <si>
    <t>4°47'26.89"</t>
  </si>
  <si>
    <t>36°41'17.92"</t>
  </si>
  <si>
    <t>5°06'18.00"</t>
  </si>
  <si>
    <t>36°34'42.20"</t>
  </si>
  <si>
    <t>Ahemam</t>
  </si>
  <si>
    <t>4°33'44.08"</t>
  </si>
  <si>
    <t>36°55'53.32"</t>
  </si>
  <si>
    <t>L'ghaba</t>
  </si>
  <si>
    <t>4°32'23.39"</t>
  </si>
  <si>
    <t>36°56'01.05"</t>
  </si>
  <si>
    <t>Tizgui</t>
  </si>
  <si>
    <t>4°34'40.00"</t>
  </si>
  <si>
    <t>36°23'30.00"</t>
  </si>
  <si>
    <t>CL+CV</t>
  </si>
  <si>
    <t>Reprise</t>
  </si>
  <si>
    <t>4°39'47.60"</t>
  </si>
  <si>
    <t>36°55'41.10"</t>
  </si>
  <si>
    <t>Ighbane</t>
  </si>
  <si>
    <t>36°22'30,00"</t>
  </si>
  <si>
    <t>Temps doux, vent faible</t>
  </si>
  <si>
    <t>5°17'24,46"</t>
  </si>
  <si>
    <t>36°31'49,36"</t>
  </si>
  <si>
    <t>4°27'39.95"</t>
  </si>
  <si>
    <t>Ighil metlen</t>
  </si>
  <si>
    <t>5°10'43.52"</t>
  </si>
  <si>
    <t>36°32'30.23"</t>
  </si>
  <si>
    <t>Boudar</t>
  </si>
  <si>
    <t>4°16'14.23"</t>
  </si>
  <si>
    <t>36°56'50.36"</t>
  </si>
  <si>
    <t>Agueni n'sihel</t>
  </si>
  <si>
    <t>4°56'13.01"</t>
  </si>
  <si>
    <t>36°34'50.02"</t>
  </si>
  <si>
    <t>Mechta</t>
  </si>
  <si>
    <t>36°30'40,00"</t>
  </si>
  <si>
    <t>Temps chaud, vent fort</t>
  </si>
  <si>
    <t>Izoughlamen</t>
  </si>
  <si>
    <t>4°25'39.80"</t>
  </si>
  <si>
    <t>36°56'29.68"</t>
  </si>
  <si>
    <t>36°56'29.84"</t>
  </si>
  <si>
    <t>4°16'53.86"</t>
  </si>
  <si>
    <t>36°56'10.88"</t>
  </si>
  <si>
    <t>5°16'09.37"</t>
  </si>
  <si>
    <t>36°34'33.27"</t>
  </si>
  <si>
    <t>4°30'10,00"</t>
  </si>
  <si>
    <t>36°16'00,00"</t>
  </si>
  <si>
    <t>36°32'30.24"</t>
  </si>
  <si>
    <t>Tibkirt</t>
  </si>
  <si>
    <t>4°40'39.93"</t>
  </si>
  <si>
    <t>36°55'33.76"</t>
  </si>
  <si>
    <t>4°36'26.88"</t>
  </si>
  <si>
    <t>36°56'39.48"</t>
  </si>
  <si>
    <t>CL+PA+EUC</t>
  </si>
  <si>
    <t>4°31'3.55"</t>
  </si>
  <si>
    <t>36°56'44.42"</t>
  </si>
  <si>
    <t>5°04'16.15"</t>
  </si>
  <si>
    <t>36°40'44.94"</t>
  </si>
  <si>
    <t>5°05'34.72"</t>
  </si>
  <si>
    <t>36°39'38.48"</t>
  </si>
  <si>
    <t>5°03'33.91"</t>
  </si>
  <si>
    <t>36°39'40.86"</t>
  </si>
  <si>
    <t>Oued atrouche</t>
  </si>
  <si>
    <t>4°22'19.23"</t>
  </si>
  <si>
    <t>36°57'47.14"</t>
  </si>
  <si>
    <t>5°10'14.52"</t>
  </si>
  <si>
    <t>36°38'27.93"</t>
  </si>
  <si>
    <t>4°31'3.64"</t>
  </si>
  <si>
    <t>36°56'47.69"</t>
  </si>
  <si>
    <t>Oued soummam</t>
  </si>
  <si>
    <t>5°00'18.30"</t>
  </si>
  <si>
    <t>36°42'59.39"</t>
  </si>
  <si>
    <t>5°15'28.10"</t>
  </si>
  <si>
    <t>36°34'01.70"</t>
  </si>
  <si>
    <t>Tikhribine</t>
  </si>
  <si>
    <t>5°20'17.23"</t>
  </si>
  <si>
    <t>36°37'42.74"</t>
  </si>
  <si>
    <t>4°33'4.43"</t>
  </si>
  <si>
    <t>36°56'26.38"</t>
  </si>
  <si>
    <t>5°12'05,99"</t>
  </si>
  <si>
    <t>36°33'33,45"</t>
  </si>
  <si>
    <t>4°49'40,00"</t>
  </si>
  <si>
    <t>36°49'30,00"</t>
  </si>
  <si>
    <t>CV+PA</t>
  </si>
  <si>
    <t>Ait sidi ahmed</t>
  </si>
  <si>
    <t>4°31'3.65"</t>
  </si>
  <si>
    <t>36°56'47.67"</t>
  </si>
  <si>
    <t>5°06'33.45"</t>
  </si>
  <si>
    <t>36°40'55.21"</t>
  </si>
  <si>
    <t>5°21'9.40"</t>
  </si>
  <si>
    <t>36°37'38.33"</t>
  </si>
  <si>
    <t>4°29'1.94"</t>
  </si>
  <si>
    <t>36°56'29.99"</t>
  </si>
  <si>
    <t>Tala</t>
  </si>
  <si>
    <t>4°39'47.44"</t>
  </si>
  <si>
    <t>36°55'34.60"</t>
  </si>
  <si>
    <t>4°29'32.00"</t>
  </si>
  <si>
    <t>36°29'30.00"</t>
  </si>
  <si>
    <t>Ait Smail</t>
  </si>
  <si>
    <t>DFN Beni immel</t>
  </si>
  <si>
    <t>Tizi n'berber</t>
  </si>
  <si>
    <t>Circonscription</t>
  </si>
  <si>
    <t>E.a.i. benyoub</t>
  </si>
  <si>
    <t>Tala n'taklit</t>
  </si>
  <si>
    <t>Ath ahmed</t>
  </si>
  <si>
    <t>Iguer idheki</t>
  </si>
  <si>
    <t>El maghra</t>
  </si>
  <si>
    <t>El kalaa</t>
  </si>
  <si>
    <t>DFN Darguina</t>
  </si>
  <si>
    <t>DFN Bouhatem</t>
  </si>
  <si>
    <t>DFN Mzala</t>
  </si>
  <si>
    <t>DFN Gouraya</t>
  </si>
  <si>
    <t>DFN Nezla</t>
  </si>
  <si>
    <t>Aguemoun oukerdouche</t>
  </si>
  <si>
    <t>DFN Illoula</t>
  </si>
  <si>
    <t xml:space="preserve">  BILAN  ANNUEL DES INCENDIES DE FORETS DE LA CAMPAGNE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</si>
</sst>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1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name val="Arial Narrow"/>
      <family val="2"/>
    </font>
    <font>
      <sz val="9"/>
      <name val="Arial"/>
      <family val="2"/>
    </font>
    <font>
      <b/>
      <sz val="9"/>
      <name val="Arial Narrow"/>
      <family val="2"/>
    </font>
    <font>
      <b/>
      <u/>
      <sz val="9"/>
      <name val="Arial Narrow"/>
      <family val="2"/>
    </font>
    <font>
      <b/>
      <sz val="9"/>
      <color theme="1"/>
      <name val="Arial Narrow"/>
      <family val="2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Arial"/>
      <family val="2"/>
    </font>
    <font>
      <b/>
      <sz val="10"/>
      <color indexed="8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43" fontId="11" fillId="0" borderId="0" applyFont="0" applyFill="0" applyBorder="0" applyAlignment="0" applyProtection="0"/>
    <xf numFmtId="0" fontId="1" fillId="0" borderId="0"/>
  </cellStyleXfs>
  <cellXfs count="121">
    <xf numFmtId="0" fontId="0" fillId="0" borderId="0" xfId="0"/>
    <xf numFmtId="4" fontId="0" fillId="0" borderId="0" xfId="0" applyNumberFormat="1" applyAlignment="1"/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0" borderId="0" xfId="1" applyFont="1" applyAlignment="1"/>
    <xf numFmtId="0" fontId="2" fillId="0" borderId="0" xfId="1" applyFont="1" applyFill="1" applyAlignment="1">
      <alignment horizontal="center"/>
    </xf>
    <xf numFmtId="0" fontId="2" fillId="0" borderId="0" xfId="1" applyFont="1" applyAlignment="1">
      <alignment horizontal="left"/>
    </xf>
    <xf numFmtId="0" fontId="2" fillId="2" borderId="0" xfId="1" applyFont="1" applyFill="1" applyAlignment="1">
      <alignment horizontal="left"/>
    </xf>
    <xf numFmtId="0" fontId="2" fillId="0" borderId="0" xfId="1" applyFont="1" applyFill="1" applyAlignment="1">
      <alignment horizontal="left"/>
    </xf>
    <xf numFmtId="4" fontId="1" fillId="0" borderId="0" xfId="1" applyNumberFormat="1" applyAlignment="1"/>
    <xf numFmtId="0" fontId="1" fillId="0" borderId="0" xfId="1"/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left"/>
    </xf>
    <xf numFmtId="0" fontId="3" fillId="0" borderId="0" xfId="1" applyFont="1" applyAlignment="1"/>
    <xf numFmtId="0" fontId="4" fillId="0" borderId="0" xfId="1" applyFont="1"/>
    <xf numFmtId="0" fontId="3" fillId="2" borderId="0" xfId="1" applyFont="1" applyFill="1" applyAlignment="1">
      <alignment horizontal="left"/>
    </xf>
    <xf numFmtId="0" fontId="3" fillId="0" borderId="0" xfId="1" applyFont="1" applyFill="1" applyAlignment="1">
      <alignment horizontal="left"/>
    </xf>
    <xf numFmtId="4" fontId="5" fillId="3" borderId="0" xfId="1" applyNumberFormat="1" applyFont="1" applyFill="1" applyBorder="1" applyAlignment="1">
      <alignment vertical="center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left"/>
    </xf>
    <xf numFmtId="0" fontId="1" fillId="2" borderId="0" xfId="1" applyFill="1"/>
    <xf numFmtId="0" fontId="5" fillId="0" borderId="0" xfId="1" applyFont="1"/>
    <xf numFmtId="0" fontId="7" fillId="0" borderId="0" xfId="1" applyFont="1"/>
    <xf numFmtId="0" fontId="7" fillId="0" borderId="0" xfId="1" applyFont="1" applyFill="1"/>
    <xf numFmtId="0" fontId="7" fillId="2" borderId="0" xfId="1" applyFont="1" applyFill="1"/>
    <xf numFmtId="0" fontId="7" fillId="0" borderId="0" xfId="1" applyFont="1" applyAlignment="1"/>
    <xf numFmtId="0" fontId="1" fillId="0" borderId="0" xfId="1" applyAlignment="1"/>
    <xf numFmtId="0" fontId="8" fillId="0" borderId="0" xfId="1" applyFont="1" applyAlignment="1">
      <alignment horizontal="center" vertical="center"/>
    </xf>
    <xf numFmtId="0" fontId="8" fillId="0" borderId="0" xfId="1" applyFont="1" applyAlignment="1"/>
    <xf numFmtId="0" fontId="8" fillId="0" borderId="0" xfId="1" applyFont="1" applyAlignment="1">
      <alignment horizontal="left"/>
    </xf>
    <xf numFmtId="0" fontId="9" fillId="0" borderId="0" xfId="1" applyFont="1" applyAlignment="1"/>
    <xf numFmtId="0" fontId="8" fillId="2" borderId="0" xfId="1" applyFont="1" applyFill="1" applyAlignment="1"/>
    <xf numFmtId="0" fontId="10" fillId="0" borderId="0" xfId="0" applyFont="1" applyAlignment="1"/>
    <xf numFmtId="0" fontId="10" fillId="2" borderId="0" xfId="0" applyFont="1" applyFill="1" applyAlignment="1"/>
    <xf numFmtId="0" fontId="8" fillId="0" borderId="0" xfId="1" applyFont="1" applyFill="1" applyAlignment="1"/>
    <xf numFmtId="0" fontId="10" fillId="0" borderId="0" xfId="0" applyFont="1" applyAlignment="1">
      <alignment horizontal="left"/>
    </xf>
    <xf numFmtId="4" fontId="8" fillId="0" borderId="0" xfId="1" applyNumberFormat="1" applyFont="1" applyBorder="1" applyAlignment="1"/>
    <xf numFmtId="0" fontId="0" fillId="0" borderId="0" xfId="0" applyAlignment="1"/>
    <xf numFmtId="4" fontId="8" fillId="0" borderId="1" xfId="1" applyNumberFormat="1" applyFont="1" applyBorder="1" applyAlignment="1"/>
    <xf numFmtId="0" fontId="8" fillId="0" borderId="0" xfId="1" applyFont="1"/>
    <xf numFmtId="0" fontId="0" fillId="0" borderId="0" xfId="0" applyAlignment="1">
      <alignment horizontal="center" vertical="center"/>
    </xf>
    <xf numFmtId="0" fontId="12" fillId="0" borderId="12" xfId="1" applyFont="1" applyBorder="1" applyAlignment="1">
      <alignment horizontal="center" vertical="center" wrapText="1"/>
    </xf>
    <xf numFmtId="0" fontId="2" fillId="0" borderId="0" xfId="1" applyFont="1" applyAlignment="1">
      <alignment horizontal="left"/>
    </xf>
    <xf numFmtId="0" fontId="12" fillId="0" borderId="2" xfId="1" applyFont="1" applyBorder="1" applyAlignment="1">
      <alignment horizontal="center" vertical="center" wrapText="1"/>
    </xf>
    <xf numFmtId="0" fontId="12" fillId="0" borderId="2" xfId="1" applyFont="1" applyFill="1" applyBorder="1" applyAlignment="1">
      <alignment horizontal="center" vertical="center" wrapText="1"/>
    </xf>
    <xf numFmtId="0" fontId="12" fillId="2" borderId="2" xfId="1" applyFont="1" applyFill="1" applyBorder="1" applyAlignment="1">
      <alignment horizontal="center" vertical="center" wrapText="1"/>
    </xf>
    <xf numFmtId="0" fontId="12" fillId="0" borderId="13" xfId="1" applyFont="1" applyBorder="1" applyAlignment="1">
      <alignment horizontal="center" vertical="center" wrapText="1"/>
    </xf>
    <xf numFmtId="0" fontId="16" fillId="2" borderId="11" xfId="0" applyNumberFormat="1" applyFont="1" applyFill="1" applyBorder="1" applyAlignment="1">
      <alignment vertical="center" wrapText="1"/>
    </xf>
    <xf numFmtId="0" fontId="16" fillId="2" borderId="11" xfId="1" applyNumberFormat="1" applyFont="1" applyFill="1" applyBorder="1" applyAlignment="1">
      <alignment horizontal="center" vertical="center" wrapText="1"/>
    </xf>
    <xf numFmtId="0" fontId="16" fillId="2" borderId="11" xfId="1" applyNumberFormat="1" applyFont="1" applyFill="1" applyBorder="1" applyAlignment="1">
      <alignment vertical="center" wrapText="1"/>
    </xf>
    <xf numFmtId="0" fontId="17" fillId="2" borderId="11" xfId="0" applyNumberFormat="1" applyFont="1" applyFill="1" applyBorder="1" applyAlignment="1">
      <alignment horizontal="center" vertical="center"/>
    </xf>
    <xf numFmtId="0" fontId="16" fillId="2" borderId="11" xfId="1" applyNumberFormat="1" applyFont="1" applyFill="1" applyBorder="1" applyAlignment="1">
      <alignment horizontal="center" wrapText="1"/>
    </xf>
    <xf numFmtId="0" fontId="16" fillId="2" borderId="11" xfId="1" applyNumberFormat="1" applyFont="1" applyFill="1" applyBorder="1" applyAlignment="1">
      <alignment horizontal="left" vertical="center" wrapText="1"/>
    </xf>
    <xf numFmtId="0" fontId="17" fillId="2" borderId="11" xfId="0" applyNumberFormat="1" applyFont="1" applyFill="1" applyBorder="1" applyAlignment="1">
      <alignment vertical="center" wrapText="1"/>
    </xf>
    <xf numFmtId="0" fontId="16" fillId="2" borderId="11" xfId="1" applyNumberFormat="1" applyFont="1" applyFill="1" applyBorder="1" applyAlignment="1">
      <alignment horizontal="left" vertical="center"/>
    </xf>
    <xf numFmtId="0" fontId="15" fillId="2" borderId="0" xfId="0" applyNumberFormat="1" applyFont="1" applyFill="1"/>
    <xf numFmtId="0" fontId="16" fillId="2" borderId="11" xfId="0" applyNumberFormat="1" applyFont="1" applyFill="1" applyBorder="1" applyAlignment="1">
      <alignment horizontal="left" vertical="center" wrapText="1"/>
    </xf>
    <xf numFmtId="0" fontId="17" fillId="2" borderId="11" xfId="0" applyNumberFormat="1" applyFont="1" applyFill="1" applyBorder="1" applyAlignment="1">
      <alignment horizontal="left" vertical="center" wrapText="1"/>
    </xf>
    <xf numFmtId="0" fontId="16" fillId="2" borderId="11" xfId="1" applyNumberFormat="1" applyFont="1" applyFill="1" applyBorder="1" applyAlignment="1">
      <alignment horizontal="center" vertical="center"/>
    </xf>
    <xf numFmtId="0" fontId="17" fillId="2" borderId="11" xfId="0" applyNumberFormat="1" applyFont="1" applyFill="1" applyBorder="1" applyAlignment="1">
      <alignment horizontal="center" vertical="center" wrapText="1"/>
    </xf>
    <xf numFmtId="0" fontId="17" fillId="2" borderId="11" xfId="0" applyNumberFormat="1" applyFont="1" applyFill="1" applyBorder="1" applyAlignment="1">
      <alignment horizontal="center"/>
    </xf>
    <xf numFmtId="0" fontId="16" fillId="2" borderId="11" xfId="1" applyNumberFormat="1" applyFont="1" applyFill="1" applyBorder="1" applyAlignment="1">
      <alignment horizontal="right" vertical="center" wrapText="1"/>
    </xf>
    <xf numFmtId="0" fontId="16" fillId="2" borderId="11" xfId="1" applyNumberFormat="1" applyFont="1" applyFill="1" applyBorder="1" applyAlignment="1">
      <alignment vertical="center"/>
    </xf>
    <xf numFmtId="0" fontId="16" fillId="2" borderId="11" xfId="1" applyNumberFormat="1" applyFont="1" applyFill="1" applyBorder="1" applyAlignment="1">
      <alignment horizontal="right" vertical="center"/>
    </xf>
    <xf numFmtId="0" fontId="16" fillId="2" borderId="11" xfId="0" applyNumberFormat="1" applyFont="1" applyFill="1" applyBorder="1" applyAlignment="1">
      <alignment horizontal="center" vertical="center"/>
    </xf>
    <xf numFmtId="0" fontId="15" fillId="2" borderId="11" xfId="1" applyNumberFormat="1" applyFont="1" applyFill="1" applyBorder="1" applyAlignment="1">
      <alignment horizontal="center" vertical="center" wrapText="1"/>
    </xf>
    <xf numFmtId="0" fontId="16" fillId="2" borderId="11" xfId="0" applyNumberFormat="1" applyFont="1" applyFill="1" applyBorder="1" applyAlignment="1">
      <alignment horizontal="center"/>
    </xf>
    <xf numFmtId="0" fontId="16" fillId="2" borderId="11" xfId="2" applyNumberFormat="1" applyFont="1" applyFill="1" applyBorder="1" applyAlignment="1">
      <alignment vertical="center" wrapText="1"/>
    </xf>
    <xf numFmtId="0" fontId="16" fillId="2" borderId="11" xfId="2" applyNumberFormat="1" applyFont="1" applyFill="1" applyBorder="1" applyAlignment="1">
      <alignment vertical="center"/>
    </xf>
    <xf numFmtId="0" fontId="0" fillId="0" borderId="0" xfId="0" applyAlignment="1">
      <alignment horizontal="left"/>
    </xf>
    <xf numFmtId="0" fontId="18" fillId="0" borderId="0" xfId="1" applyFont="1"/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6" fillId="3" borderId="0" xfId="1" applyFont="1" applyFill="1" applyBorder="1" applyAlignment="1">
      <alignment horizontal="left" vertical="center" wrapText="1"/>
    </xf>
    <xf numFmtId="0" fontId="8" fillId="0" borderId="0" xfId="1" applyFont="1" applyAlignment="1">
      <alignment horizontal="left" vertical="center"/>
    </xf>
    <xf numFmtId="0" fontId="15" fillId="5" borderId="11" xfId="0" applyFont="1" applyFill="1" applyBorder="1" applyAlignment="1">
      <alignment horizontal="left" vertical="center" wrapText="1"/>
    </xf>
    <xf numFmtId="0" fontId="15" fillId="5" borderId="1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1" applyFont="1" applyAlignment="1">
      <alignment horizontal="left"/>
    </xf>
    <xf numFmtId="4" fontId="6" fillId="2" borderId="15" xfId="1" applyNumberFormat="1" applyFont="1" applyFill="1" applyBorder="1" applyAlignment="1">
      <alignment horizontal="center" vertical="center"/>
    </xf>
    <xf numFmtId="0" fontId="16" fillId="2" borderId="17" xfId="1" applyNumberFormat="1" applyFont="1" applyFill="1" applyBorder="1" applyAlignment="1">
      <alignment horizontal="left" vertical="center" wrapText="1"/>
    </xf>
    <xf numFmtId="0" fontId="16" fillId="2" borderId="17" xfId="1" applyNumberFormat="1" applyFont="1" applyFill="1" applyBorder="1" applyAlignment="1">
      <alignment horizontal="center" vertical="center" wrapText="1"/>
    </xf>
    <xf numFmtId="0" fontId="15" fillId="5" borderId="17" xfId="0" applyFont="1" applyFill="1" applyBorder="1" applyAlignment="1">
      <alignment horizontal="left" vertical="center" wrapText="1"/>
    </xf>
    <xf numFmtId="0" fontId="16" fillId="2" borderId="17" xfId="1" applyNumberFormat="1" applyFont="1" applyFill="1" applyBorder="1" applyAlignment="1">
      <alignment horizontal="center" vertical="center"/>
    </xf>
    <xf numFmtId="0" fontId="17" fillId="2" borderId="17" xfId="0" applyNumberFormat="1" applyFont="1" applyFill="1" applyBorder="1" applyAlignment="1">
      <alignment horizontal="center" vertical="center"/>
    </xf>
    <xf numFmtId="0" fontId="17" fillId="2" borderId="17" xfId="0" applyNumberFormat="1" applyFont="1" applyFill="1" applyBorder="1" applyAlignment="1">
      <alignment horizontal="center"/>
    </xf>
    <xf numFmtId="0" fontId="17" fillId="2" borderId="17" xfId="0" applyNumberFormat="1" applyFont="1" applyFill="1" applyBorder="1" applyAlignment="1">
      <alignment horizontal="center" vertical="center" wrapText="1"/>
    </xf>
    <xf numFmtId="0" fontId="16" fillId="2" borderId="17" xfId="2" applyNumberFormat="1" applyFont="1" applyFill="1" applyBorder="1" applyAlignment="1">
      <alignment vertical="center"/>
    </xf>
    <xf numFmtId="0" fontId="0" fillId="0" borderId="5" xfId="0" applyBorder="1"/>
    <xf numFmtId="0" fontId="16" fillId="3" borderId="16" xfId="1" applyNumberFormat="1" applyFont="1" applyFill="1" applyBorder="1" applyAlignment="1">
      <alignment horizontal="center" vertical="center" wrapText="1"/>
    </xf>
    <xf numFmtId="0" fontId="2" fillId="0" borderId="0" xfId="1" applyFont="1" applyAlignment="1">
      <alignment horizontal="left"/>
    </xf>
    <xf numFmtId="0" fontId="2" fillId="0" borderId="0" xfId="1" applyFont="1" applyAlignment="1"/>
    <xf numFmtId="0" fontId="8" fillId="0" borderId="0" xfId="1" applyFont="1" applyBorder="1" applyAlignment="1">
      <alignment horizontal="center"/>
    </xf>
    <xf numFmtId="0" fontId="8" fillId="0" borderId="0" xfId="1" applyFont="1" applyBorder="1" applyAlignment="1"/>
    <xf numFmtId="0" fontId="12" fillId="0" borderId="2" xfId="1" applyFont="1" applyBorder="1" applyAlignment="1">
      <alignment horizontal="center" vertical="center" wrapText="1"/>
    </xf>
    <xf numFmtId="0" fontId="12" fillId="0" borderId="8" xfId="1" applyFont="1" applyBorder="1" applyAlignment="1">
      <alignment horizontal="center" vertical="center" wrapText="1"/>
    </xf>
    <xf numFmtId="0" fontId="12" fillId="0" borderId="2" xfId="1" applyFont="1" applyBorder="1" applyAlignment="1">
      <alignment horizontal="left" vertical="center" wrapText="1"/>
    </xf>
    <xf numFmtId="0" fontId="12" fillId="0" borderId="8" xfId="1" applyFont="1" applyBorder="1" applyAlignment="1">
      <alignment horizontal="left" vertical="center" wrapText="1"/>
    </xf>
    <xf numFmtId="0" fontId="12" fillId="0" borderId="14" xfId="1" applyFont="1" applyBorder="1" applyAlignment="1">
      <alignment horizontal="center" vertical="center" wrapText="1"/>
    </xf>
    <xf numFmtId="0" fontId="14" fillId="4" borderId="3" xfId="1" applyFont="1" applyFill="1" applyBorder="1" applyAlignment="1">
      <alignment horizontal="center" vertical="center" wrapText="1"/>
    </xf>
    <xf numFmtId="0" fontId="14" fillId="4" borderId="4" xfId="1" applyFont="1" applyFill="1" applyBorder="1" applyAlignment="1">
      <alignment horizontal="center" vertical="center" wrapText="1"/>
    </xf>
    <xf numFmtId="0" fontId="14" fillId="4" borderId="5" xfId="1" applyFont="1" applyFill="1" applyBorder="1" applyAlignment="1">
      <alignment horizontal="center" vertical="center" wrapText="1"/>
    </xf>
    <xf numFmtId="0" fontId="12" fillId="0" borderId="6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center" vertical="center" wrapText="1"/>
    </xf>
    <xf numFmtId="0" fontId="12" fillId="0" borderId="9" xfId="1" applyFont="1" applyBorder="1" applyAlignment="1">
      <alignment horizontal="center" vertical="center" wrapText="1"/>
    </xf>
    <xf numFmtId="0" fontId="12" fillId="0" borderId="10" xfId="1" applyFont="1" applyBorder="1" applyAlignment="1">
      <alignment horizontal="center" vertical="center" wrapText="1"/>
    </xf>
    <xf numFmtId="4" fontId="12" fillId="0" borderId="2" xfId="1" applyNumberFormat="1" applyFont="1" applyBorder="1" applyAlignment="1">
      <alignment vertical="center" wrapText="1"/>
    </xf>
    <xf numFmtId="4" fontId="12" fillId="0" borderId="8" xfId="1" applyNumberFormat="1" applyFont="1" applyBorder="1" applyAlignment="1">
      <alignment vertical="center" wrapText="1"/>
    </xf>
    <xf numFmtId="0" fontId="12" fillId="0" borderId="2" xfId="1" applyFont="1" applyFill="1" applyBorder="1" applyAlignment="1">
      <alignment horizontal="center" vertical="center" wrapText="1"/>
    </xf>
    <xf numFmtId="0" fontId="12" fillId="0" borderId="8" xfId="1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4" fillId="4" borderId="2" xfId="1" applyFont="1" applyFill="1" applyBorder="1" applyAlignment="1">
      <alignment horizontal="center" vertical="center" wrapText="1"/>
    </xf>
    <xf numFmtId="0" fontId="14" fillId="4" borderId="8" xfId="1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14" fontId="16" fillId="2" borderId="11" xfId="1" applyNumberFormat="1" applyFont="1" applyFill="1" applyBorder="1" applyAlignment="1">
      <alignment horizontal="center" vertical="center" wrapText="1"/>
    </xf>
    <xf numFmtId="14" fontId="15" fillId="2" borderId="11" xfId="1" applyNumberFormat="1" applyFont="1" applyFill="1" applyBorder="1" applyAlignment="1">
      <alignment horizontal="center" vertical="center" wrapText="1"/>
    </xf>
    <xf numFmtId="14" fontId="16" fillId="2" borderId="17" xfId="1" applyNumberFormat="1" applyFont="1" applyFill="1" applyBorder="1" applyAlignment="1">
      <alignment horizontal="center" vertical="center" wrapText="1"/>
    </xf>
  </cellXfs>
  <cellStyles count="4">
    <cellStyle name="Milliers" xfId="2" builtinId="3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83"/>
  <sheetViews>
    <sheetView tabSelected="1" topLeftCell="G55" zoomScale="110" zoomScaleNormal="110" workbookViewId="0">
      <selection activeCell="I79" sqref="I79"/>
    </sheetView>
  </sheetViews>
  <sheetFormatPr baseColWidth="10" defaultRowHeight="14.5" x14ac:dyDescent="0.35"/>
  <cols>
    <col min="1" max="1" width="16.453125" customWidth="1"/>
    <col min="2" max="2" width="11.54296875" bestFit="1" customWidth="1"/>
    <col min="3" max="3" width="14.7265625" customWidth="1"/>
    <col min="4" max="4" width="13.453125" style="69" customWidth="1"/>
    <col min="5" max="5" width="19.453125" style="77" customWidth="1"/>
    <col min="6" max="6" width="13" customWidth="1"/>
    <col min="7" max="7" width="12.81640625" customWidth="1"/>
    <col min="9" max="14" width="11.54296875" bestFit="1" customWidth="1"/>
    <col min="15" max="15" width="27.7265625" style="69" customWidth="1"/>
    <col min="16" max="31" width="11.54296875" bestFit="1" customWidth="1"/>
    <col min="33" max="33" width="30" customWidth="1"/>
    <col min="35" max="35" width="9.26953125" customWidth="1"/>
    <col min="36" max="36" width="26.453125" customWidth="1"/>
    <col min="37" max="37" width="14.26953125" customWidth="1"/>
    <col min="38" max="38" width="13.54296875" customWidth="1"/>
  </cols>
  <sheetData>
    <row r="1" spans="1:39" x14ac:dyDescent="0.35">
      <c r="B1" s="90" t="s">
        <v>0</v>
      </c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1"/>
      <c r="AK1" s="90"/>
      <c r="AL1" s="1"/>
    </row>
    <row r="2" spans="1:39" x14ac:dyDescent="0.35">
      <c r="B2" s="2" t="s">
        <v>1</v>
      </c>
      <c r="C2" s="3"/>
      <c r="D2" s="78"/>
      <c r="E2" s="71"/>
      <c r="F2" s="5"/>
      <c r="G2" s="5"/>
      <c r="H2" s="4"/>
      <c r="I2" s="4"/>
      <c r="J2" s="6"/>
      <c r="K2" s="6"/>
      <c r="L2" s="6"/>
      <c r="M2" s="6"/>
      <c r="N2" s="6"/>
      <c r="O2" s="42"/>
      <c r="P2" s="7"/>
      <c r="Q2" s="6"/>
      <c r="R2" s="6"/>
      <c r="S2" s="6"/>
      <c r="T2" s="6"/>
      <c r="U2" s="7"/>
      <c r="V2" s="6"/>
      <c r="W2" s="6"/>
      <c r="X2" s="6"/>
      <c r="Y2" s="6"/>
      <c r="Z2" s="6"/>
      <c r="AA2" s="6"/>
      <c r="AB2" s="8"/>
      <c r="AC2" s="6"/>
      <c r="AD2" s="8"/>
      <c r="AE2" s="7"/>
      <c r="AF2" s="6"/>
      <c r="AG2" s="4"/>
      <c r="AH2" s="6"/>
      <c r="AI2" s="6"/>
      <c r="AJ2" s="6"/>
      <c r="AK2" s="4"/>
      <c r="AL2" s="9"/>
      <c r="AM2" s="10"/>
    </row>
    <row r="3" spans="1:39" x14ac:dyDescent="0.35">
      <c r="B3" s="2" t="s">
        <v>2</v>
      </c>
      <c r="C3" s="4"/>
      <c r="D3" s="78"/>
      <c r="E3" s="71"/>
      <c r="F3" s="4"/>
      <c r="G3" s="4"/>
      <c r="H3" s="4"/>
      <c r="I3" s="4"/>
      <c r="J3" s="6"/>
      <c r="K3" s="6"/>
      <c r="L3" s="6"/>
      <c r="M3" s="6"/>
      <c r="N3" s="6"/>
      <c r="O3" s="42"/>
      <c r="P3" s="7"/>
      <c r="Q3" s="6"/>
      <c r="R3" s="6"/>
      <c r="S3" s="6"/>
      <c r="T3" s="6"/>
      <c r="U3" s="7"/>
      <c r="V3" s="6"/>
      <c r="W3" s="6"/>
      <c r="X3" s="6"/>
      <c r="Y3" s="6"/>
      <c r="Z3" s="6"/>
      <c r="AA3" s="6"/>
      <c r="AB3" s="8"/>
      <c r="AC3" s="6"/>
      <c r="AD3" s="8"/>
      <c r="AE3" s="7"/>
      <c r="AF3" s="6"/>
      <c r="AG3" s="4"/>
      <c r="AH3" s="6"/>
      <c r="AI3" s="6"/>
      <c r="AJ3" s="6"/>
      <c r="AK3" s="4"/>
      <c r="AL3" s="9"/>
      <c r="AM3" s="10"/>
    </row>
    <row r="4" spans="1:39" x14ac:dyDescent="0.35">
      <c r="B4" s="90" t="s">
        <v>3</v>
      </c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1"/>
      <c r="AK4" s="90"/>
      <c r="AL4" s="9"/>
      <c r="AM4" s="10"/>
    </row>
    <row r="5" spans="1:39" ht="15.5" x14ac:dyDescent="0.35">
      <c r="B5" s="11"/>
      <c r="C5" s="12"/>
      <c r="D5" s="12"/>
      <c r="E5" s="72"/>
      <c r="F5" s="12"/>
      <c r="G5" s="12"/>
      <c r="L5" s="14"/>
      <c r="M5" s="14"/>
      <c r="N5" s="14"/>
      <c r="O5" s="12"/>
      <c r="P5" s="15"/>
      <c r="Q5" s="12"/>
      <c r="R5" s="12"/>
      <c r="S5" s="12"/>
      <c r="T5" s="12"/>
      <c r="U5" s="15"/>
      <c r="V5" s="12"/>
      <c r="W5" s="12"/>
      <c r="X5" s="12"/>
      <c r="Y5" s="12"/>
      <c r="Z5" s="12"/>
      <c r="AA5" s="12"/>
      <c r="AB5" s="16"/>
      <c r="AC5" s="12"/>
      <c r="AD5" s="16"/>
      <c r="AE5" s="15"/>
      <c r="AF5" s="12"/>
      <c r="AG5" s="13"/>
      <c r="AH5" s="12"/>
      <c r="AI5" s="12"/>
      <c r="AJ5" s="12"/>
      <c r="AK5" s="13"/>
      <c r="AL5" s="17"/>
      <c r="AM5" s="10"/>
    </row>
    <row r="6" spans="1:39" ht="15.5" x14ac:dyDescent="0.35">
      <c r="B6" s="18"/>
      <c r="C6" s="70"/>
      <c r="D6" s="19"/>
      <c r="E6" s="73"/>
      <c r="F6" s="10"/>
      <c r="G6" s="12" t="s">
        <v>299</v>
      </c>
      <c r="H6" s="12"/>
      <c r="I6" s="12"/>
      <c r="L6" s="10"/>
      <c r="M6" s="10"/>
      <c r="N6" s="10"/>
      <c r="O6" s="19"/>
      <c r="P6" s="20"/>
      <c r="Q6" s="21"/>
      <c r="R6" s="10"/>
      <c r="S6" s="10"/>
      <c r="T6" s="10"/>
      <c r="U6" s="20"/>
      <c r="V6" s="10"/>
      <c r="W6" s="10"/>
      <c r="X6" s="10"/>
      <c r="Y6" s="10"/>
      <c r="Z6" s="22"/>
      <c r="AA6" s="22"/>
      <c r="AB6" s="23"/>
      <c r="AC6" s="22"/>
      <c r="AD6" s="23"/>
      <c r="AE6" s="24"/>
      <c r="AF6" s="22"/>
      <c r="AG6" s="25"/>
      <c r="AH6" s="10"/>
      <c r="AI6" s="10"/>
      <c r="AJ6" s="19"/>
      <c r="AK6" s="26"/>
      <c r="AL6" s="9"/>
      <c r="AM6" s="10"/>
    </row>
    <row r="7" spans="1:39" s="37" customFormat="1" x14ac:dyDescent="0.35">
      <c r="B7" s="27"/>
      <c r="C7" s="28"/>
      <c r="D7" s="29"/>
      <c r="E7" s="74"/>
      <c r="F7" s="28"/>
      <c r="G7" s="28"/>
      <c r="H7" s="28"/>
      <c r="I7" s="30"/>
      <c r="J7" s="30"/>
      <c r="K7" s="30"/>
      <c r="L7" s="30"/>
      <c r="M7" s="28"/>
      <c r="N7" s="28"/>
      <c r="O7" s="29"/>
      <c r="P7" s="31"/>
      <c r="Q7" s="28"/>
      <c r="R7" s="28"/>
      <c r="S7" s="28"/>
      <c r="T7" s="32"/>
      <c r="U7" s="33"/>
      <c r="V7" s="32"/>
      <c r="W7" s="32"/>
      <c r="X7" s="28"/>
      <c r="Y7" s="28"/>
      <c r="Z7" s="28"/>
      <c r="AA7" s="28"/>
      <c r="AB7" s="34"/>
      <c r="AC7" s="28"/>
      <c r="AD7" s="34"/>
      <c r="AE7" s="31"/>
      <c r="AF7" s="28"/>
      <c r="AG7" s="28"/>
      <c r="AH7" s="32"/>
      <c r="AI7" s="32"/>
      <c r="AJ7" s="35"/>
      <c r="AK7" s="32"/>
      <c r="AL7" s="36"/>
      <c r="AM7" s="28"/>
    </row>
    <row r="8" spans="1:39" ht="15" thickBot="1" x14ac:dyDescent="0.4"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3"/>
      <c r="AK8" s="92"/>
      <c r="AL8" s="38"/>
      <c r="AM8" s="39"/>
    </row>
    <row r="9" spans="1:39" s="40" customFormat="1" ht="15" thickBot="1" x14ac:dyDescent="0.4">
      <c r="A9" s="116" t="s">
        <v>285</v>
      </c>
      <c r="B9" s="94" t="s">
        <v>4</v>
      </c>
      <c r="C9" s="94" t="s">
        <v>5</v>
      </c>
      <c r="D9" s="96" t="s">
        <v>6</v>
      </c>
      <c r="E9" s="94" t="s">
        <v>7</v>
      </c>
      <c r="F9" s="99" t="s">
        <v>8</v>
      </c>
      <c r="G9" s="100"/>
      <c r="H9" s="101"/>
      <c r="I9" s="94" t="s">
        <v>9</v>
      </c>
      <c r="J9" s="94"/>
      <c r="K9" s="94" t="s">
        <v>10</v>
      </c>
      <c r="L9" s="94"/>
      <c r="M9" s="94" t="s">
        <v>11</v>
      </c>
      <c r="N9" s="94"/>
      <c r="O9" s="96" t="s">
        <v>12</v>
      </c>
      <c r="P9" s="94" t="s">
        <v>13</v>
      </c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102" t="s">
        <v>14</v>
      </c>
      <c r="AG9" s="103"/>
      <c r="AH9" s="94" t="s">
        <v>15</v>
      </c>
      <c r="AI9" s="94" t="s">
        <v>16</v>
      </c>
      <c r="AJ9" s="96" t="s">
        <v>17</v>
      </c>
      <c r="AK9" s="94" t="s">
        <v>18</v>
      </c>
      <c r="AL9" s="106" t="s">
        <v>19</v>
      </c>
      <c r="AM9" s="108" t="s">
        <v>20</v>
      </c>
    </row>
    <row r="10" spans="1:39" s="40" customFormat="1" ht="15" thickBot="1" x14ac:dyDescent="0.4">
      <c r="A10" s="117"/>
      <c r="B10" s="95"/>
      <c r="C10" s="95"/>
      <c r="D10" s="97"/>
      <c r="E10" s="95"/>
      <c r="F10" s="112" t="s">
        <v>21</v>
      </c>
      <c r="G10" s="112" t="s">
        <v>22</v>
      </c>
      <c r="H10" s="114" t="s">
        <v>23</v>
      </c>
      <c r="I10" s="94" t="s">
        <v>24</v>
      </c>
      <c r="J10" s="94" t="s">
        <v>25</v>
      </c>
      <c r="K10" s="94" t="s">
        <v>24</v>
      </c>
      <c r="L10" s="94" t="s">
        <v>25</v>
      </c>
      <c r="M10" s="94" t="s">
        <v>24</v>
      </c>
      <c r="N10" s="94" t="s">
        <v>25</v>
      </c>
      <c r="O10" s="97"/>
      <c r="P10" s="94" t="s">
        <v>26</v>
      </c>
      <c r="Q10" s="94"/>
      <c r="R10" s="94"/>
      <c r="S10" s="94"/>
      <c r="T10" s="94"/>
      <c r="U10" s="94" t="s">
        <v>27</v>
      </c>
      <c r="V10" s="94"/>
      <c r="W10" s="94"/>
      <c r="X10" s="94"/>
      <c r="Y10" s="94"/>
      <c r="Z10" s="94" t="s">
        <v>28</v>
      </c>
      <c r="AA10" s="94"/>
      <c r="AB10" s="94"/>
      <c r="AC10" s="94"/>
      <c r="AD10" s="94"/>
      <c r="AE10" s="94"/>
      <c r="AF10" s="104"/>
      <c r="AG10" s="105"/>
      <c r="AH10" s="95"/>
      <c r="AI10" s="95"/>
      <c r="AJ10" s="97"/>
      <c r="AK10" s="95"/>
      <c r="AL10" s="107"/>
      <c r="AM10" s="109"/>
    </row>
    <row r="11" spans="1:39" s="40" customFormat="1" ht="34.5" customHeight="1" x14ac:dyDescent="0.35">
      <c r="A11" s="117"/>
      <c r="B11" s="95"/>
      <c r="C11" s="95"/>
      <c r="D11" s="97"/>
      <c r="E11" s="98"/>
      <c r="F11" s="113"/>
      <c r="G11" s="113"/>
      <c r="H11" s="115"/>
      <c r="I11" s="95"/>
      <c r="J11" s="95"/>
      <c r="K11" s="95"/>
      <c r="L11" s="95"/>
      <c r="M11" s="95"/>
      <c r="N11" s="95"/>
      <c r="O11" s="97"/>
      <c r="P11" s="45" t="s">
        <v>29</v>
      </c>
      <c r="Q11" s="43" t="s">
        <v>30</v>
      </c>
      <c r="R11" s="43" t="s">
        <v>31</v>
      </c>
      <c r="S11" s="43" t="s">
        <v>32</v>
      </c>
      <c r="T11" s="43" t="s">
        <v>33</v>
      </c>
      <c r="U11" s="45" t="s">
        <v>29</v>
      </c>
      <c r="V11" s="43" t="s">
        <v>30</v>
      </c>
      <c r="W11" s="43" t="s">
        <v>31</v>
      </c>
      <c r="X11" s="43" t="s">
        <v>32</v>
      </c>
      <c r="Y11" s="43" t="s">
        <v>33</v>
      </c>
      <c r="Z11" s="43" t="s">
        <v>29</v>
      </c>
      <c r="AA11" s="43" t="s">
        <v>30</v>
      </c>
      <c r="AB11" s="44" t="s">
        <v>31</v>
      </c>
      <c r="AC11" s="43" t="s">
        <v>32</v>
      </c>
      <c r="AD11" s="44" t="s">
        <v>33</v>
      </c>
      <c r="AE11" s="45" t="s">
        <v>28</v>
      </c>
      <c r="AF11" s="46" t="s">
        <v>34</v>
      </c>
      <c r="AG11" s="41" t="s">
        <v>35</v>
      </c>
      <c r="AH11" s="95"/>
      <c r="AI11" s="95"/>
      <c r="AJ11" s="97"/>
      <c r="AK11" s="95"/>
      <c r="AL11" s="107"/>
      <c r="AM11" s="109"/>
    </row>
    <row r="12" spans="1:39" s="55" customFormat="1" ht="15" customHeight="1" x14ac:dyDescent="0.35">
      <c r="A12" s="52" t="s">
        <v>64</v>
      </c>
      <c r="B12" s="48">
        <v>1064115</v>
      </c>
      <c r="C12" s="52" t="s">
        <v>64</v>
      </c>
      <c r="D12" s="52" t="s">
        <v>65</v>
      </c>
      <c r="E12" s="75" t="s">
        <v>107</v>
      </c>
      <c r="F12" s="48" t="s">
        <v>108</v>
      </c>
      <c r="G12" s="48" t="s">
        <v>109</v>
      </c>
      <c r="H12" s="48" t="s">
        <v>63</v>
      </c>
      <c r="I12" s="118">
        <v>42156</v>
      </c>
      <c r="J12" s="48">
        <v>2250</v>
      </c>
      <c r="K12" s="48">
        <v>1</v>
      </c>
      <c r="L12" s="48">
        <v>2300</v>
      </c>
      <c r="M12" s="48">
        <v>2</v>
      </c>
      <c r="N12" s="48">
        <v>400</v>
      </c>
      <c r="O12" s="52" t="s">
        <v>31</v>
      </c>
      <c r="P12" s="58"/>
      <c r="Q12" s="58"/>
      <c r="R12" s="58"/>
      <c r="S12" s="58"/>
      <c r="T12" s="58"/>
      <c r="U12" s="58"/>
      <c r="V12" s="58"/>
      <c r="W12" s="58">
        <v>0.5</v>
      </c>
      <c r="X12" s="58"/>
      <c r="Y12" s="58"/>
      <c r="Z12" s="48"/>
      <c r="AA12" s="48"/>
      <c r="AB12" s="48">
        <v>0.5</v>
      </c>
      <c r="AC12" s="48"/>
      <c r="AD12" s="48"/>
      <c r="AE12" s="48">
        <v>0.5</v>
      </c>
      <c r="AF12" s="50" t="s">
        <v>110</v>
      </c>
      <c r="AG12" s="48" t="s">
        <v>111</v>
      </c>
      <c r="AH12" s="50" t="s">
        <v>37</v>
      </c>
      <c r="AI12" s="48" t="s">
        <v>38</v>
      </c>
      <c r="AJ12" s="49" t="s">
        <v>56</v>
      </c>
      <c r="AK12" s="59" t="s">
        <v>57</v>
      </c>
      <c r="AL12" s="63">
        <v>150</v>
      </c>
      <c r="AM12" s="48"/>
    </row>
    <row r="13" spans="1:39" s="55" customFormat="1" ht="15" customHeight="1" x14ac:dyDescent="0.35">
      <c r="A13" s="47" t="s">
        <v>99</v>
      </c>
      <c r="B13" s="48">
        <v>2064815</v>
      </c>
      <c r="C13" s="52" t="s">
        <v>75</v>
      </c>
      <c r="D13" s="52" t="s">
        <v>82</v>
      </c>
      <c r="E13" s="75" t="s">
        <v>88</v>
      </c>
      <c r="F13" s="48" t="s">
        <v>112</v>
      </c>
      <c r="G13" s="48" t="s">
        <v>113</v>
      </c>
      <c r="H13" s="48" t="s">
        <v>63</v>
      </c>
      <c r="I13" s="118">
        <v>42157</v>
      </c>
      <c r="J13" s="48">
        <v>1300</v>
      </c>
      <c r="K13" s="48">
        <v>2</v>
      </c>
      <c r="L13" s="48">
        <v>1330</v>
      </c>
      <c r="M13" s="48">
        <v>2</v>
      </c>
      <c r="N13" s="48">
        <v>1505</v>
      </c>
      <c r="O13" s="52" t="s">
        <v>31</v>
      </c>
      <c r="P13" s="48"/>
      <c r="Q13" s="48"/>
      <c r="R13" s="48">
        <v>2</v>
      </c>
      <c r="S13" s="48"/>
      <c r="T13" s="48"/>
      <c r="U13" s="48"/>
      <c r="V13" s="48"/>
      <c r="W13" s="48"/>
      <c r="X13" s="48"/>
      <c r="Y13" s="48"/>
      <c r="Z13" s="48"/>
      <c r="AA13" s="48"/>
      <c r="AB13" s="48">
        <v>2</v>
      </c>
      <c r="AC13" s="48"/>
      <c r="AD13" s="48"/>
      <c r="AE13" s="48">
        <v>2</v>
      </c>
      <c r="AF13" s="48" t="s">
        <v>114</v>
      </c>
      <c r="AG13" s="48" t="s">
        <v>115</v>
      </c>
      <c r="AH13" s="50" t="s">
        <v>37</v>
      </c>
      <c r="AI13" s="48" t="s">
        <v>38</v>
      </c>
      <c r="AJ13" s="49" t="s">
        <v>56</v>
      </c>
      <c r="AK13" s="59" t="s">
        <v>57</v>
      </c>
      <c r="AL13" s="61">
        <v>600</v>
      </c>
      <c r="AM13" s="48" t="s">
        <v>58</v>
      </c>
    </row>
    <row r="14" spans="1:39" s="55" customFormat="1" ht="15" customHeight="1" x14ac:dyDescent="0.35">
      <c r="A14" s="52" t="s">
        <v>81</v>
      </c>
      <c r="B14" s="48">
        <v>3063415</v>
      </c>
      <c r="C14" s="53" t="s">
        <v>66</v>
      </c>
      <c r="D14" s="57" t="s">
        <v>66</v>
      </c>
      <c r="E14" s="75" t="s">
        <v>116</v>
      </c>
      <c r="F14" s="48" t="s">
        <v>117</v>
      </c>
      <c r="G14" s="48" t="s">
        <v>118</v>
      </c>
      <c r="H14" s="48" t="s">
        <v>63</v>
      </c>
      <c r="I14" s="118">
        <v>42157</v>
      </c>
      <c r="J14" s="48">
        <v>1145</v>
      </c>
      <c r="K14" s="48">
        <v>2</v>
      </c>
      <c r="L14" s="48">
        <v>1415</v>
      </c>
      <c r="M14" s="48">
        <v>2</v>
      </c>
      <c r="N14" s="48">
        <v>1945</v>
      </c>
      <c r="O14" s="52" t="s">
        <v>31</v>
      </c>
      <c r="P14" s="48"/>
      <c r="Q14" s="48"/>
      <c r="R14" s="48"/>
      <c r="S14" s="48"/>
      <c r="T14" s="48"/>
      <c r="U14" s="48"/>
      <c r="V14" s="48"/>
      <c r="W14" s="48">
        <v>8</v>
      </c>
      <c r="X14" s="48"/>
      <c r="Y14" s="48"/>
      <c r="Z14" s="48"/>
      <c r="AA14" s="48"/>
      <c r="AB14" s="48">
        <v>8</v>
      </c>
      <c r="AC14" s="48"/>
      <c r="AD14" s="48"/>
      <c r="AE14" s="48">
        <v>8</v>
      </c>
      <c r="AF14" s="50" t="s">
        <v>110</v>
      </c>
      <c r="AG14" s="60" t="s">
        <v>119</v>
      </c>
      <c r="AH14" s="50" t="s">
        <v>37</v>
      </c>
      <c r="AI14" s="48" t="s">
        <v>38</v>
      </c>
      <c r="AJ14" s="49" t="s">
        <v>56</v>
      </c>
      <c r="AK14" s="59" t="s">
        <v>57</v>
      </c>
      <c r="AL14" s="61">
        <v>2400</v>
      </c>
      <c r="AM14" s="48"/>
    </row>
    <row r="15" spans="1:39" s="55" customFormat="1" ht="15" customHeight="1" x14ac:dyDescent="0.35">
      <c r="A15" s="52" t="s">
        <v>81</v>
      </c>
      <c r="B15" s="48">
        <v>4063415</v>
      </c>
      <c r="C15" s="53" t="s">
        <v>66</v>
      </c>
      <c r="D15" s="57" t="s">
        <v>66</v>
      </c>
      <c r="E15" s="75" t="s">
        <v>116</v>
      </c>
      <c r="F15" s="48" t="s">
        <v>120</v>
      </c>
      <c r="G15" s="48" t="s">
        <v>121</v>
      </c>
      <c r="H15" s="48" t="s">
        <v>63</v>
      </c>
      <c r="I15" s="118">
        <v>42158</v>
      </c>
      <c r="J15" s="48">
        <v>1330</v>
      </c>
      <c r="K15" s="48">
        <v>3</v>
      </c>
      <c r="L15" s="48">
        <v>1335</v>
      </c>
      <c r="M15" s="48">
        <v>3</v>
      </c>
      <c r="N15" s="48">
        <v>1810</v>
      </c>
      <c r="O15" s="52" t="s">
        <v>31</v>
      </c>
      <c r="P15" s="48"/>
      <c r="Q15" s="48"/>
      <c r="R15" s="48"/>
      <c r="S15" s="48"/>
      <c r="T15" s="48"/>
      <c r="U15" s="48"/>
      <c r="V15" s="48"/>
      <c r="W15" s="48">
        <v>2</v>
      </c>
      <c r="X15" s="48"/>
      <c r="Y15" s="48"/>
      <c r="Z15" s="48"/>
      <c r="AA15" s="48"/>
      <c r="AB15" s="48">
        <v>2</v>
      </c>
      <c r="AC15" s="48"/>
      <c r="AD15" s="48"/>
      <c r="AE15" s="48">
        <v>2</v>
      </c>
      <c r="AF15" s="50" t="s">
        <v>110</v>
      </c>
      <c r="AG15" s="60" t="s">
        <v>119</v>
      </c>
      <c r="AH15" s="50" t="s">
        <v>37</v>
      </c>
      <c r="AI15" s="59" t="s">
        <v>46</v>
      </c>
      <c r="AJ15" s="49" t="s">
        <v>56</v>
      </c>
      <c r="AK15" s="59" t="s">
        <v>59</v>
      </c>
      <c r="AL15" s="61">
        <v>600</v>
      </c>
      <c r="AM15" s="48"/>
    </row>
    <row r="16" spans="1:39" s="55" customFormat="1" ht="15" customHeight="1" x14ac:dyDescent="0.35">
      <c r="A16" s="52" t="s">
        <v>81</v>
      </c>
      <c r="B16" s="48">
        <v>5061815</v>
      </c>
      <c r="C16" s="52" t="s">
        <v>81</v>
      </c>
      <c r="D16" s="52" t="s">
        <v>89</v>
      </c>
      <c r="E16" s="75" t="s">
        <v>286</v>
      </c>
      <c r="F16" s="48" t="s">
        <v>122</v>
      </c>
      <c r="G16" s="48" t="s">
        <v>123</v>
      </c>
      <c r="H16" s="48" t="s">
        <v>63</v>
      </c>
      <c r="I16" s="118">
        <v>42159</v>
      </c>
      <c r="J16" s="48">
        <v>1610</v>
      </c>
      <c r="K16" s="48">
        <v>4</v>
      </c>
      <c r="L16" s="48">
        <v>1620</v>
      </c>
      <c r="M16" s="48">
        <v>4</v>
      </c>
      <c r="N16" s="48">
        <v>1830</v>
      </c>
      <c r="O16" s="52" t="s">
        <v>31</v>
      </c>
      <c r="P16" s="48"/>
      <c r="Q16" s="48"/>
      <c r="R16" s="48"/>
      <c r="S16" s="48"/>
      <c r="T16" s="48"/>
      <c r="U16" s="48"/>
      <c r="V16" s="48"/>
      <c r="W16" s="48">
        <v>3</v>
      </c>
      <c r="X16" s="48"/>
      <c r="Y16" s="48">
        <v>1</v>
      </c>
      <c r="Z16" s="48"/>
      <c r="AA16" s="48"/>
      <c r="AB16" s="48">
        <v>3</v>
      </c>
      <c r="AC16" s="48"/>
      <c r="AD16" s="48">
        <v>1</v>
      </c>
      <c r="AE16" s="48">
        <v>4</v>
      </c>
      <c r="AF16" s="50" t="s">
        <v>110</v>
      </c>
      <c r="AG16" s="60" t="s">
        <v>111</v>
      </c>
      <c r="AH16" s="50" t="s">
        <v>37</v>
      </c>
      <c r="AI16" s="59" t="s">
        <v>46</v>
      </c>
      <c r="AJ16" s="49" t="s">
        <v>56</v>
      </c>
      <c r="AK16" s="59" t="s">
        <v>55</v>
      </c>
      <c r="AL16" s="61">
        <v>120000</v>
      </c>
      <c r="AM16" s="48"/>
    </row>
    <row r="17" spans="1:39" s="55" customFormat="1" ht="15" customHeight="1" x14ac:dyDescent="0.35">
      <c r="A17" s="52" t="s">
        <v>79</v>
      </c>
      <c r="B17" s="48">
        <v>6062415</v>
      </c>
      <c r="C17" s="52" t="s">
        <v>79</v>
      </c>
      <c r="D17" s="52" t="s">
        <v>79</v>
      </c>
      <c r="E17" s="75" t="s">
        <v>77</v>
      </c>
      <c r="F17" s="48" t="s">
        <v>124</v>
      </c>
      <c r="G17" s="48" t="s">
        <v>125</v>
      </c>
      <c r="H17" s="48" t="s">
        <v>63</v>
      </c>
      <c r="I17" s="118">
        <v>42160</v>
      </c>
      <c r="J17" s="48">
        <v>1150</v>
      </c>
      <c r="K17" s="48">
        <v>5</v>
      </c>
      <c r="L17" s="48">
        <v>1155</v>
      </c>
      <c r="M17" s="48">
        <v>5</v>
      </c>
      <c r="N17" s="48">
        <v>1550</v>
      </c>
      <c r="O17" s="52" t="s">
        <v>31</v>
      </c>
      <c r="P17" s="48"/>
      <c r="Q17" s="48"/>
      <c r="R17" s="48">
        <v>2</v>
      </c>
      <c r="S17" s="48"/>
      <c r="T17" s="48"/>
      <c r="U17" s="48"/>
      <c r="V17" s="48"/>
      <c r="W17" s="48"/>
      <c r="X17" s="48"/>
      <c r="Y17" s="48"/>
      <c r="Z17" s="48"/>
      <c r="AA17" s="48"/>
      <c r="AB17" s="48">
        <v>2</v>
      </c>
      <c r="AC17" s="48"/>
      <c r="AD17" s="48"/>
      <c r="AE17" s="48">
        <v>2</v>
      </c>
      <c r="AF17" s="48" t="s">
        <v>114</v>
      </c>
      <c r="AG17" s="60" t="s">
        <v>126</v>
      </c>
      <c r="AH17" s="50" t="s">
        <v>37</v>
      </c>
      <c r="AI17" s="48" t="s">
        <v>38</v>
      </c>
      <c r="AJ17" s="49" t="s">
        <v>56</v>
      </c>
      <c r="AK17" s="59" t="s">
        <v>45</v>
      </c>
      <c r="AL17" s="61">
        <v>600</v>
      </c>
      <c r="AM17" s="48" t="s">
        <v>58</v>
      </c>
    </row>
    <row r="18" spans="1:39" s="55" customFormat="1" ht="15" customHeight="1" x14ac:dyDescent="0.35">
      <c r="A18" s="52" t="s">
        <v>81</v>
      </c>
      <c r="B18" s="48">
        <v>7061315</v>
      </c>
      <c r="C18" s="53" t="s">
        <v>66</v>
      </c>
      <c r="D18" s="57" t="s">
        <v>67</v>
      </c>
      <c r="E18" s="76" t="s">
        <v>90</v>
      </c>
      <c r="F18" s="48" t="s">
        <v>127</v>
      </c>
      <c r="G18" s="48" t="s">
        <v>128</v>
      </c>
      <c r="H18" s="48" t="s">
        <v>63</v>
      </c>
      <c r="I18" s="118">
        <v>42161</v>
      </c>
      <c r="J18" s="48">
        <v>1845</v>
      </c>
      <c r="K18" s="48">
        <v>6</v>
      </c>
      <c r="L18" s="48">
        <v>2030</v>
      </c>
      <c r="M18" s="48">
        <v>6</v>
      </c>
      <c r="N18" s="48">
        <v>2315</v>
      </c>
      <c r="O18" s="52" t="s">
        <v>43</v>
      </c>
      <c r="P18" s="48">
        <v>8</v>
      </c>
      <c r="Q18" s="48"/>
      <c r="R18" s="48"/>
      <c r="S18" s="48"/>
      <c r="T18" s="48"/>
      <c r="U18" s="48"/>
      <c r="V18" s="48"/>
      <c r="W18" s="48"/>
      <c r="X18" s="48"/>
      <c r="Y18" s="48"/>
      <c r="Z18" s="48">
        <v>8</v>
      </c>
      <c r="AA18" s="48"/>
      <c r="AB18" s="48"/>
      <c r="AC18" s="48"/>
      <c r="AD18" s="48"/>
      <c r="AE18" s="48">
        <v>8</v>
      </c>
      <c r="AF18" s="48" t="s">
        <v>114</v>
      </c>
      <c r="AG18" s="60" t="s">
        <v>115</v>
      </c>
      <c r="AH18" s="50" t="s">
        <v>37</v>
      </c>
      <c r="AI18" s="48" t="s">
        <v>38</v>
      </c>
      <c r="AJ18" s="49" t="s">
        <v>56</v>
      </c>
      <c r="AK18" s="59" t="s">
        <v>45</v>
      </c>
      <c r="AL18" s="61">
        <v>40000</v>
      </c>
      <c r="AM18" s="48" t="s">
        <v>58</v>
      </c>
    </row>
    <row r="19" spans="1:39" s="55" customFormat="1" ht="15" customHeight="1" x14ac:dyDescent="0.35">
      <c r="A19" s="47" t="s">
        <v>99</v>
      </c>
      <c r="B19" s="48">
        <v>8060115</v>
      </c>
      <c r="C19" s="47" t="s">
        <v>99</v>
      </c>
      <c r="D19" s="56" t="s">
        <v>99</v>
      </c>
      <c r="E19" s="75" t="s">
        <v>295</v>
      </c>
      <c r="F19" s="48" t="s">
        <v>129</v>
      </c>
      <c r="G19" s="48" t="s">
        <v>130</v>
      </c>
      <c r="H19" s="48" t="s">
        <v>63</v>
      </c>
      <c r="I19" s="118">
        <v>42162</v>
      </c>
      <c r="J19" s="48">
        <v>2245</v>
      </c>
      <c r="K19" s="48">
        <v>7</v>
      </c>
      <c r="L19" s="48">
        <v>2315</v>
      </c>
      <c r="M19" s="48">
        <v>8</v>
      </c>
      <c r="N19" s="48">
        <v>1003</v>
      </c>
      <c r="O19" s="52" t="s">
        <v>36</v>
      </c>
      <c r="P19" s="48">
        <v>0.5</v>
      </c>
      <c r="Q19" s="48"/>
      <c r="R19" s="48">
        <v>1</v>
      </c>
      <c r="S19" s="48"/>
      <c r="T19" s="48"/>
      <c r="U19" s="48"/>
      <c r="V19" s="48"/>
      <c r="W19" s="48"/>
      <c r="X19" s="48"/>
      <c r="Y19" s="48"/>
      <c r="Z19" s="48">
        <v>0.5</v>
      </c>
      <c r="AA19" s="48"/>
      <c r="AB19" s="48">
        <v>1</v>
      </c>
      <c r="AC19" s="48"/>
      <c r="AD19" s="48"/>
      <c r="AE19" s="48">
        <v>1.5</v>
      </c>
      <c r="AF19" s="48" t="s">
        <v>110</v>
      </c>
      <c r="AG19" s="60" t="s">
        <v>131</v>
      </c>
      <c r="AH19" s="50" t="s">
        <v>37</v>
      </c>
      <c r="AI19" s="48" t="s">
        <v>38</v>
      </c>
      <c r="AJ19" s="49" t="s">
        <v>56</v>
      </c>
      <c r="AK19" s="59" t="s">
        <v>57</v>
      </c>
      <c r="AL19" s="61">
        <v>150300</v>
      </c>
      <c r="AM19" s="48" t="s">
        <v>58</v>
      </c>
    </row>
    <row r="20" spans="1:39" s="55" customFormat="1" ht="15" customHeight="1" x14ac:dyDescent="0.35">
      <c r="A20" s="52" t="s">
        <v>79</v>
      </c>
      <c r="B20" s="48">
        <v>9063515</v>
      </c>
      <c r="C20" s="52" t="s">
        <v>79</v>
      </c>
      <c r="D20" s="52" t="s">
        <v>80</v>
      </c>
      <c r="E20" s="75" t="s">
        <v>294</v>
      </c>
      <c r="F20" s="48" t="s">
        <v>132</v>
      </c>
      <c r="G20" s="48" t="s">
        <v>133</v>
      </c>
      <c r="H20" s="48" t="s">
        <v>63</v>
      </c>
      <c r="I20" s="118">
        <v>42163</v>
      </c>
      <c r="J20" s="48">
        <v>1310</v>
      </c>
      <c r="K20" s="48">
        <v>8</v>
      </c>
      <c r="L20" s="48">
        <v>1315</v>
      </c>
      <c r="M20" s="48">
        <v>8</v>
      </c>
      <c r="N20" s="48">
        <v>1620</v>
      </c>
      <c r="O20" s="52" t="s">
        <v>43</v>
      </c>
      <c r="P20" s="48">
        <v>2</v>
      </c>
      <c r="Q20" s="48"/>
      <c r="R20" s="48"/>
      <c r="S20" s="48"/>
      <c r="T20" s="48"/>
      <c r="U20" s="48"/>
      <c r="V20" s="48"/>
      <c r="W20" s="48"/>
      <c r="X20" s="48"/>
      <c r="Y20" s="48"/>
      <c r="Z20" s="48">
        <v>2</v>
      </c>
      <c r="AA20" s="48"/>
      <c r="AB20" s="48"/>
      <c r="AC20" s="48"/>
      <c r="AD20" s="48"/>
      <c r="AE20" s="48">
        <v>2</v>
      </c>
      <c r="AF20" s="50" t="s">
        <v>134</v>
      </c>
      <c r="AG20" s="60" t="s">
        <v>135</v>
      </c>
      <c r="AH20" s="50" t="s">
        <v>37</v>
      </c>
      <c r="AI20" s="59" t="s">
        <v>46</v>
      </c>
      <c r="AJ20" s="49" t="s">
        <v>56</v>
      </c>
      <c r="AK20" s="59" t="s">
        <v>57</v>
      </c>
      <c r="AL20" s="61">
        <v>9600</v>
      </c>
      <c r="AM20" s="48" t="s">
        <v>58</v>
      </c>
    </row>
    <row r="21" spans="1:39" s="55" customFormat="1" ht="15" customHeight="1" x14ac:dyDescent="0.35">
      <c r="A21" s="47" t="s">
        <v>99</v>
      </c>
      <c r="B21" s="48">
        <v>10061115</v>
      </c>
      <c r="C21" s="52" t="s">
        <v>75</v>
      </c>
      <c r="D21" s="52" t="s">
        <v>75</v>
      </c>
      <c r="E21" s="75" t="s">
        <v>97</v>
      </c>
      <c r="F21" s="48" t="s">
        <v>136</v>
      </c>
      <c r="G21" s="48" t="s">
        <v>137</v>
      </c>
      <c r="H21" s="48" t="s">
        <v>63</v>
      </c>
      <c r="I21" s="118">
        <v>42165</v>
      </c>
      <c r="J21" s="48">
        <v>1200</v>
      </c>
      <c r="K21" s="48">
        <v>10</v>
      </c>
      <c r="L21" s="48">
        <v>1235</v>
      </c>
      <c r="M21" s="48">
        <v>10</v>
      </c>
      <c r="N21" s="48">
        <v>1650</v>
      </c>
      <c r="O21" s="52" t="s">
        <v>44</v>
      </c>
      <c r="P21" s="48">
        <v>0.5</v>
      </c>
      <c r="Q21" s="48"/>
      <c r="R21" s="48">
        <v>1.5</v>
      </c>
      <c r="S21" s="48"/>
      <c r="T21" s="48"/>
      <c r="U21" s="48"/>
      <c r="V21" s="48"/>
      <c r="W21" s="48"/>
      <c r="X21" s="48"/>
      <c r="Y21" s="48"/>
      <c r="Z21" s="48">
        <v>0.5</v>
      </c>
      <c r="AA21" s="48"/>
      <c r="AB21" s="48">
        <v>1.5</v>
      </c>
      <c r="AC21" s="48"/>
      <c r="AD21" s="48"/>
      <c r="AE21" s="48">
        <v>2</v>
      </c>
      <c r="AF21" s="48" t="s">
        <v>114</v>
      </c>
      <c r="AG21" s="48" t="s">
        <v>126</v>
      </c>
      <c r="AH21" s="50" t="s">
        <v>37</v>
      </c>
      <c r="AI21" s="48" t="s">
        <v>38</v>
      </c>
      <c r="AJ21" s="49" t="s">
        <v>56</v>
      </c>
      <c r="AK21" s="59" t="s">
        <v>57</v>
      </c>
      <c r="AL21" s="61">
        <v>60450</v>
      </c>
      <c r="AM21" s="48" t="s">
        <v>58</v>
      </c>
    </row>
    <row r="22" spans="1:39" s="55" customFormat="1" ht="15" customHeight="1" x14ac:dyDescent="0.35">
      <c r="A22" s="52" t="s">
        <v>83</v>
      </c>
      <c r="B22" s="48">
        <v>11062615</v>
      </c>
      <c r="C22" s="47" t="s">
        <v>68</v>
      </c>
      <c r="D22" s="56" t="s">
        <v>68</v>
      </c>
      <c r="E22" s="75" t="s">
        <v>138</v>
      </c>
      <c r="F22" s="48" t="s">
        <v>139</v>
      </c>
      <c r="G22" s="48" t="s">
        <v>140</v>
      </c>
      <c r="H22" s="48" t="s">
        <v>63</v>
      </c>
      <c r="I22" s="118">
        <v>42166</v>
      </c>
      <c r="J22" s="48">
        <v>1600</v>
      </c>
      <c r="K22" s="48">
        <v>11</v>
      </c>
      <c r="L22" s="48">
        <v>1700</v>
      </c>
      <c r="M22" s="48">
        <v>11</v>
      </c>
      <c r="N22" s="48">
        <v>1940</v>
      </c>
      <c r="O22" s="52" t="s">
        <v>36</v>
      </c>
      <c r="P22" s="48"/>
      <c r="Q22" s="48"/>
      <c r="R22" s="48"/>
      <c r="S22" s="48"/>
      <c r="T22" s="48"/>
      <c r="U22" s="48">
        <v>2</v>
      </c>
      <c r="V22" s="48"/>
      <c r="W22" s="48">
        <v>3.5</v>
      </c>
      <c r="X22" s="48"/>
      <c r="Y22" s="48">
        <v>0.5</v>
      </c>
      <c r="Z22" s="48">
        <v>2</v>
      </c>
      <c r="AA22" s="48"/>
      <c r="AB22" s="48">
        <v>3.5</v>
      </c>
      <c r="AC22" s="48"/>
      <c r="AD22" s="48">
        <v>0.5</v>
      </c>
      <c r="AE22" s="48">
        <v>6</v>
      </c>
      <c r="AF22" s="48" t="s">
        <v>141</v>
      </c>
      <c r="AG22" s="48" t="s">
        <v>141</v>
      </c>
      <c r="AH22" s="50" t="s">
        <v>37</v>
      </c>
      <c r="AI22" s="48" t="s">
        <v>38</v>
      </c>
      <c r="AJ22" s="49" t="s">
        <v>56</v>
      </c>
      <c r="AK22" s="59" t="s">
        <v>55</v>
      </c>
      <c r="AL22" s="61">
        <v>84810</v>
      </c>
      <c r="AM22" s="48"/>
    </row>
    <row r="23" spans="1:39" s="55" customFormat="1" ht="15" customHeight="1" x14ac:dyDescent="0.35">
      <c r="A23" s="52" t="s">
        <v>81</v>
      </c>
      <c r="B23" s="48">
        <v>12061315</v>
      </c>
      <c r="C23" s="53" t="s">
        <v>66</v>
      </c>
      <c r="D23" s="57" t="s">
        <v>67</v>
      </c>
      <c r="E23" s="76" t="s">
        <v>90</v>
      </c>
      <c r="F23" s="48" t="s">
        <v>142</v>
      </c>
      <c r="G23" s="48" t="s">
        <v>143</v>
      </c>
      <c r="H23" s="48" t="s">
        <v>63</v>
      </c>
      <c r="I23" s="118">
        <v>42166</v>
      </c>
      <c r="J23" s="48">
        <v>100</v>
      </c>
      <c r="K23" s="48">
        <v>11</v>
      </c>
      <c r="L23" s="48">
        <v>115</v>
      </c>
      <c r="M23" s="48">
        <v>13</v>
      </c>
      <c r="N23" s="48">
        <v>200</v>
      </c>
      <c r="O23" s="52" t="s">
        <v>53</v>
      </c>
      <c r="P23" s="48">
        <v>22</v>
      </c>
      <c r="Q23" s="48">
        <v>74</v>
      </c>
      <c r="R23" s="48"/>
      <c r="S23" s="48"/>
      <c r="T23" s="48"/>
      <c r="U23" s="48"/>
      <c r="V23" s="48"/>
      <c r="W23" s="48">
        <v>9</v>
      </c>
      <c r="X23" s="48"/>
      <c r="Y23" s="48"/>
      <c r="Z23" s="48">
        <v>22</v>
      </c>
      <c r="AA23" s="48">
        <v>74</v>
      </c>
      <c r="AB23" s="48">
        <v>9</v>
      </c>
      <c r="AC23" s="48"/>
      <c r="AD23" s="48"/>
      <c r="AE23" s="48">
        <v>105</v>
      </c>
      <c r="AF23" s="50" t="s">
        <v>110</v>
      </c>
      <c r="AG23" s="60" t="s">
        <v>111</v>
      </c>
      <c r="AH23" s="50" t="s">
        <v>37</v>
      </c>
      <c r="AI23" s="48" t="s">
        <v>38</v>
      </c>
      <c r="AJ23" s="49" t="s">
        <v>56</v>
      </c>
      <c r="AK23" s="59" t="s">
        <v>55</v>
      </c>
      <c r="AL23" s="61">
        <v>964500</v>
      </c>
      <c r="AM23" s="48" t="s">
        <v>58</v>
      </c>
    </row>
    <row r="24" spans="1:39" s="55" customFormat="1" ht="15" customHeight="1" x14ac:dyDescent="0.35">
      <c r="A24" s="47" t="s">
        <v>99</v>
      </c>
      <c r="B24" s="48">
        <v>13064815</v>
      </c>
      <c r="C24" s="52" t="s">
        <v>75</v>
      </c>
      <c r="D24" s="52" t="s">
        <v>82</v>
      </c>
      <c r="E24" s="75" t="s">
        <v>88</v>
      </c>
      <c r="F24" s="48" t="s">
        <v>144</v>
      </c>
      <c r="G24" s="48" t="s">
        <v>145</v>
      </c>
      <c r="H24" s="48" t="s">
        <v>63</v>
      </c>
      <c r="I24" s="118">
        <v>42168</v>
      </c>
      <c r="J24" s="48">
        <v>1400</v>
      </c>
      <c r="K24" s="48">
        <v>13</v>
      </c>
      <c r="L24" s="48">
        <v>1400</v>
      </c>
      <c r="M24" s="48">
        <v>13</v>
      </c>
      <c r="N24" s="48">
        <v>2030</v>
      </c>
      <c r="O24" s="52" t="s">
        <v>44</v>
      </c>
      <c r="P24" s="48"/>
      <c r="Q24" s="48">
        <v>0.5</v>
      </c>
      <c r="R24" s="48">
        <v>2</v>
      </c>
      <c r="S24" s="48"/>
      <c r="T24" s="48"/>
      <c r="U24" s="48"/>
      <c r="V24" s="48"/>
      <c r="W24" s="48"/>
      <c r="X24" s="48"/>
      <c r="Y24" s="48"/>
      <c r="Z24" s="48"/>
      <c r="AA24" s="48">
        <v>0.5</v>
      </c>
      <c r="AB24" s="48">
        <v>2</v>
      </c>
      <c r="AC24" s="48"/>
      <c r="AD24" s="48"/>
      <c r="AE24" s="48">
        <v>2.5</v>
      </c>
      <c r="AF24" s="48" t="s">
        <v>114</v>
      </c>
      <c r="AG24" s="48" t="s">
        <v>115</v>
      </c>
      <c r="AH24" s="50" t="s">
        <v>37</v>
      </c>
      <c r="AI24" s="48" t="s">
        <v>38</v>
      </c>
      <c r="AJ24" s="49" t="s">
        <v>56</v>
      </c>
      <c r="AK24" s="59" t="s">
        <v>57</v>
      </c>
      <c r="AL24" s="61">
        <v>60600</v>
      </c>
      <c r="AM24" s="48" t="s">
        <v>58</v>
      </c>
    </row>
    <row r="25" spans="1:39" s="55" customFormat="1" ht="15" customHeight="1" x14ac:dyDescent="0.35">
      <c r="A25" s="47" t="s">
        <v>99</v>
      </c>
      <c r="B25" s="48">
        <v>14064815</v>
      </c>
      <c r="C25" s="52" t="s">
        <v>75</v>
      </c>
      <c r="D25" s="52" t="s">
        <v>82</v>
      </c>
      <c r="E25" s="75" t="s">
        <v>88</v>
      </c>
      <c r="F25" s="48" t="s">
        <v>146</v>
      </c>
      <c r="G25" s="48" t="s">
        <v>147</v>
      </c>
      <c r="H25" s="48" t="s">
        <v>63</v>
      </c>
      <c r="I25" s="118">
        <v>42170</v>
      </c>
      <c r="J25" s="48">
        <v>1415</v>
      </c>
      <c r="K25" s="48">
        <v>15</v>
      </c>
      <c r="L25" s="48">
        <v>1430</v>
      </c>
      <c r="M25" s="48">
        <v>15</v>
      </c>
      <c r="N25" s="48">
        <v>1800</v>
      </c>
      <c r="O25" s="52" t="s">
        <v>31</v>
      </c>
      <c r="P25" s="48"/>
      <c r="Q25" s="48"/>
      <c r="R25" s="48">
        <v>2.5</v>
      </c>
      <c r="S25" s="48"/>
      <c r="T25" s="48"/>
      <c r="U25" s="48"/>
      <c r="V25" s="48"/>
      <c r="W25" s="48"/>
      <c r="X25" s="48"/>
      <c r="Y25" s="48"/>
      <c r="Z25" s="48"/>
      <c r="AA25" s="48"/>
      <c r="AB25" s="48">
        <v>2.5</v>
      </c>
      <c r="AC25" s="48"/>
      <c r="AD25" s="48"/>
      <c r="AE25" s="48">
        <v>2.5</v>
      </c>
      <c r="AF25" s="48" t="s">
        <v>114</v>
      </c>
      <c r="AG25" s="48" t="s">
        <v>115</v>
      </c>
      <c r="AH25" s="50" t="s">
        <v>37</v>
      </c>
      <c r="AI25" s="48" t="s">
        <v>38</v>
      </c>
      <c r="AJ25" s="49" t="s">
        <v>54</v>
      </c>
      <c r="AK25" s="59" t="s">
        <v>57</v>
      </c>
      <c r="AL25" s="61">
        <v>750</v>
      </c>
      <c r="AM25" s="48" t="s">
        <v>58</v>
      </c>
    </row>
    <row r="26" spans="1:39" s="55" customFormat="1" ht="15" customHeight="1" x14ac:dyDescent="0.35">
      <c r="A26" s="52" t="s">
        <v>79</v>
      </c>
      <c r="B26" s="48">
        <v>15063515</v>
      </c>
      <c r="C26" s="52" t="s">
        <v>79</v>
      </c>
      <c r="D26" s="52" t="s">
        <v>80</v>
      </c>
      <c r="E26" s="75" t="s">
        <v>148</v>
      </c>
      <c r="F26" s="48" t="s">
        <v>149</v>
      </c>
      <c r="G26" s="48" t="s">
        <v>150</v>
      </c>
      <c r="H26" s="48" t="s">
        <v>63</v>
      </c>
      <c r="I26" s="118">
        <v>42170</v>
      </c>
      <c r="J26" s="48">
        <v>1600</v>
      </c>
      <c r="K26" s="48"/>
      <c r="L26" s="48"/>
      <c r="M26" s="48">
        <v>15</v>
      </c>
      <c r="N26" s="48">
        <v>2030</v>
      </c>
      <c r="O26" s="52" t="s">
        <v>44</v>
      </c>
      <c r="P26" s="48">
        <v>25</v>
      </c>
      <c r="Q26" s="48"/>
      <c r="R26" s="48"/>
      <c r="S26" s="48"/>
      <c r="T26" s="48"/>
      <c r="U26" s="48"/>
      <c r="V26" s="48"/>
      <c r="W26" s="48">
        <v>33</v>
      </c>
      <c r="X26" s="48"/>
      <c r="Y26" s="48"/>
      <c r="Z26" s="48">
        <v>25</v>
      </c>
      <c r="AA26" s="48"/>
      <c r="AB26" s="48">
        <v>33</v>
      </c>
      <c r="AC26" s="48"/>
      <c r="AD26" s="48"/>
      <c r="AE26" s="48">
        <v>58</v>
      </c>
      <c r="AF26" s="50" t="s">
        <v>134</v>
      </c>
      <c r="AG26" s="60" t="s">
        <v>135</v>
      </c>
      <c r="AH26" s="50" t="s">
        <v>37</v>
      </c>
      <c r="AI26" s="59" t="s">
        <v>46</v>
      </c>
      <c r="AJ26" s="49" t="s">
        <v>54</v>
      </c>
      <c r="AK26" s="59"/>
      <c r="AL26" s="61">
        <v>39900</v>
      </c>
      <c r="AM26" s="48"/>
    </row>
    <row r="27" spans="1:39" s="55" customFormat="1" ht="15" customHeight="1" x14ac:dyDescent="0.35">
      <c r="A27" s="52" t="s">
        <v>83</v>
      </c>
      <c r="B27" s="48">
        <v>16060915</v>
      </c>
      <c r="C27" s="47" t="s">
        <v>68</v>
      </c>
      <c r="D27" s="56" t="s">
        <v>104</v>
      </c>
      <c r="E27" s="75" t="s">
        <v>151</v>
      </c>
      <c r="F27" s="48" t="s">
        <v>152</v>
      </c>
      <c r="G27" s="48" t="s">
        <v>153</v>
      </c>
      <c r="H27" s="48" t="s">
        <v>63</v>
      </c>
      <c r="I27" s="118">
        <v>42170</v>
      </c>
      <c r="J27" s="48">
        <v>1840</v>
      </c>
      <c r="K27" s="48">
        <v>15</v>
      </c>
      <c r="L27" s="48">
        <v>1945</v>
      </c>
      <c r="M27" s="48">
        <v>15</v>
      </c>
      <c r="N27" s="48">
        <v>2130</v>
      </c>
      <c r="O27" s="52" t="s">
        <v>31</v>
      </c>
      <c r="P27" s="48"/>
      <c r="Q27" s="48"/>
      <c r="R27" s="48"/>
      <c r="S27" s="48"/>
      <c r="T27" s="48"/>
      <c r="U27" s="48"/>
      <c r="V27" s="48"/>
      <c r="W27" s="48">
        <v>3</v>
      </c>
      <c r="X27" s="48"/>
      <c r="Y27" s="48">
        <v>2</v>
      </c>
      <c r="Z27" s="48"/>
      <c r="AA27" s="48"/>
      <c r="AB27" s="48">
        <v>3</v>
      </c>
      <c r="AC27" s="48"/>
      <c r="AD27" s="48">
        <v>2</v>
      </c>
      <c r="AE27" s="48">
        <v>5</v>
      </c>
      <c r="AF27" s="50" t="s">
        <v>110</v>
      </c>
      <c r="AG27" s="60" t="s">
        <v>111</v>
      </c>
      <c r="AH27" s="50" t="s">
        <v>37</v>
      </c>
      <c r="AI27" s="48" t="s">
        <v>39</v>
      </c>
      <c r="AJ27" s="49" t="s">
        <v>54</v>
      </c>
      <c r="AK27" s="59" t="s">
        <v>55</v>
      </c>
      <c r="AL27" s="61">
        <v>72780</v>
      </c>
      <c r="AM27" s="48"/>
    </row>
    <row r="28" spans="1:39" s="55" customFormat="1" ht="15" customHeight="1" x14ac:dyDescent="0.35">
      <c r="A28" s="52" t="s">
        <v>81</v>
      </c>
      <c r="B28" s="48">
        <v>17064015</v>
      </c>
      <c r="C28" s="52" t="s">
        <v>81</v>
      </c>
      <c r="D28" s="52" t="s">
        <v>81</v>
      </c>
      <c r="E28" s="75" t="s">
        <v>287</v>
      </c>
      <c r="F28" s="48" t="s">
        <v>154</v>
      </c>
      <c r="G28" s="48" t="s">
        <v>155</v>
      </c>
      <c r="H28" s="48" t="s">
        <v>63</v>
      </c>
      <c r="I28" s="118">
        <v>42171</v>
      </c>
      <c r="J28" s="48">
        <v>1630</v>
      </c>
      <c r="K28" s="48">
        <v>16</v>
      </c>
      <c r="L28" s="48">
        <v>1645</v>
      </c>
      <c r="M28" s="48">
        <v>16</v>
      </c>
      <c r="N28" s="48">
        <v>1830</v>
      </c>
      <c r="O28" s="52" t="s">
        <v>31</v>
      </c>
      <c r="P28" s="48"/>
      <c r="Q28" s="48"/>
      <c r="R28" s="48"/>
      <c r="S28" s="48"/>
      <c r="T28" s="48"/>
      <c r="U28" s="48"/>
      <c r="V28" s="48"/>
      <c r="W28" s="48">
        <v>1</v>
      </c>
      <c r="X28" s="48"/>
      <c r="Y28" s="48"/>
      <c r="Z28" s="48"/>
      <c r="AA28" s="48"/>
      <c r="AB28" s="48">
        <v>1</v>
      </c>
      <c r="AC28" s="48"/>
      <c r="AD28" s="48"/>
      <c r="AE28" s="48">
        <v>1</v>
      </c>
      <c r="AF28" s="50" t="s">
        <v>110</v>
      </c>
      <c r="AG28" s="60" t="s">
        <v>111</v>
      </c>
      <c r="AH28" s="50" t="s">
        <v>37</v>
      </c>
      <c r="AI28" s="48" t="s">
        <v>38</v>
      </c>
      <c r="AJ28" s="49" t="s">
        <v>56</v>
      </c>
      <c r="AK28" s="59" t="s">
        <v>57</v>
      </c>
      <c r="AL28" s="61">
        <v>300</v>
      </c>
      <c r="AM28" s="48"/>
    </row>
    <row r="29" spans="1:39" s="55" customFormat="1" ht="15" customHeight="1" x14ac:dyDescent="0.35">
      <c r="A29" s="47" t="s">
        <v>99</v>
      </c>
      <c r="B29" s="48">
        <v>18064915</v>
      </c>
      <c r="C29" s="52" t="s">
        <v>86</v>
      </c>
      <c r="D29" s="54" t="s">
        <v>284</v>
      </c>
      <c r="E29" s="76" t="s">
        <v>97</v>
      </c>
      <c r="F29" s="48" t="s">
        <v>156</v>
      </c>
      <c r="G29" s="48" t="s">
        <v>157</v>
      </c>
      <c r="H29" s="48" t="s">
        <v>63</v>
      </c>
      <c r="I29" s="118">
        <v>42172</v>
      </c>
      <c r="J29" s="48">
        <v>930</v>
      </c>
      <c r="K29" s="48">
        <v>17</v>
      </c>
      <c r="L29" s="48">
        <v>1000</v>
      </c>
      <c r="M29" s="48">
        <v>17</v>
      </c>
      <c r="N29" s="48">
        <v>1900</v>
      </c>
      <c r="O29" s="52" t="s">
        <v>50</v>
      </c>
      <c r="P29" s="48"/>
      <c r="Q29" s="48">
        <v>1.5</v>
      </c>
      <c r="R29" s="48"/>
      <c r="S29" s="48"/>
      <c r="T29" s="48"/>
      <c r="U29" s="48"/>
      <c r="V29" s="48"/>
      <c r="W29" s="48"/>
      <c r="X29" s="48"/>
      <c r="Y29" s="48"/>
      <c r="Z29" s="48"/>
      <c r="AA29" s="48">
        <v>1.5</v>
      </c>
      <c r="AB29" s="48"/>
      <c r="AC29" s="48"/>
      <c r="AD29" s="48"/>
      <c r="AE29" s="48">
        <v>1.5</v>
      </c>
      <c r="AF29" s="48" t="s">
        <v>114</v>
      </c>
      <c r="AG29" s="48" t="s">
        <v>126</v>
      </c>
      <c r="AH29" s="50" t="s">
        <v>37</v>
      </c>
      <c r="AI29" s="48" t="s">
        <v>38</v>
      </c>
      <c r="AJ29" s="49" t="s">
        <v>56</v>
      </c>
      <c r="AK29" s="59" t="s">
        <v>45</v>
      </c>
      <c r="AL29" s="61">
        <v>5200</v>
      </c>
      <c r="AM29" s="48" t="s">
        <v>58</v>
      </c>
    </row>
    <row r="30" spans="1:39" s="55" customFormat="1" ht="15" customHeight="1" x14ac:dyDescent="0.35">
      <c r="A30" s="52" t="s">
        <v>81</v>
      </c>
      <c r="B30" s="48">
        <v>19060315</v>
      </c>
      <c r="C30" s="52" t="s">
        <v>74</v>
      </c>
      <c r="D30" s="52" t="s">
        <v>106</v>
      </c>
      <c r="E30" s="75" t="s">
        <v>158</v>
      </c>
      <c r="F30" s="48" t="s">
        <v>159</v>
      </c>
      <c r="G30" s="48" t="s">
        <v>160</v>
      </c>
      <c r="H30" s="48" t="s">
        <v>63</v>
      </c>
      <c r="I30" s="118">
        <v>42172</v>
      </c>
      <c r="J30" s="48">
        <v>1845</v>
      </c>
      <c r="K30" s="48">
        <v>17</v>
      </c>
      <c r="L30" s="48">
        <v>1930</v>
      </c>
      <c r="M30" s="48">
        <v>18</v>
      </c>
      <c r="N30" s="48">
        <v>1030</v>
      </c>
      <c r="O30" s="52" t="s">
        <v>31</v>
      </c>
      <c r="P30" s="48"/>
      <c r="Q30" s="48"/>
      <c r="R30" s="48"/>
      <c r="S30" s="48"/>
      <c r="T30" s="48"/>
      <c r="U30" s="48"/>
      <c r="V30" s="48"/>
      <c r="W30" s="48">
        <v>7</v>
      </c>
      <c r="X30" s="48"/>
      <c r="Y30" s="48"/>
      <c r="Z30" s="48"/>
      <c r="AA30" s="48"/>
      <c r="AB30" s="48">
        <v>7</v>
      </c>
      <c r="AC30" s="48"/>
      <c r="AD30" s="48"/>
      <c r="AE30" s="48">
        <v>7</v>
      </c>
      <c r="AF30" s="50" t="s">
        <v>110</v>
      </c>
      <c r="AG30" s="60" t="s">
        <v>111</v>
      </c>
      <c r="AH30" s="50" t="s">
        <v>37</v>
      </c>
      <c r="AI30" s="59" t="s">
        <v>46</v>
      </c>
      <c r="AJ30" s="49" t="s">
        <v>56</v>
      </c>
      <c r="AK30" s="59" t="s">
        <v>57</v>
      </c>
      <c r="AL30" s="61">
        <v>2100</v>
      </c>
      <c r="AM30" s="48"/>
    </row>
    <row r="31" spans="1:39" s="55" customFormat="1" ht="15" customHeight="1" x14ac:dyDescent="0.35">
      <c r="A31" s="52" t="s">
        <v>79</v>
      </c>
      <c r="B31" s="48">
        <v>20062415</v>
      </c>
      <c r="C31" s="52" t="s">
        <v>79</v>
      </c>
      <c r="D31" s="52" t="s">
        <v>79</v>
      </c>
      <c r="E31" s="75" t="s">
        <v>77</v>
      </c>
      <c r="F31" s="48" t="s">
        <v>161</v>
      </c>
      <c r="G31" s="48" t="s">
        <v>162</v>
      </c>
      <c r="H31" s="48" t="s">
        <v>63</v>
      </c>
      <c r="I31" s="118">
        <v>42173</v>
      </c>
      <c r="J31" s="48">
        <v>2030</v>
      </c>
      <c r="K31" s="48">
        <v>18</v>
      </c>
      <c r="L31" s="48">
        <v>2035</v>
      </c>
      <c r="M31" s="48">
        <v>18</v>
      </c>
      <c r="N31" s="48">
        <v>2150</v>
      </c>
      <c r="O31" s="52" t="s">
        <v>31</v>
      </c>
      <c r="P31" s="48"/>
      <c r="Q31" s="48"/>
      <c r="R31" s="48">
        <v>0.25</v>
      </c>
      <c r="S31" s="48"/>
      <c r="T31" s="48"/>
      <c r="U31" s="48"/>
      <c r="V31" s="48"/>
      <c r="W31" s="48"/>
      <c r="X31" s="48"/>
      <c r="Y31" s="48"/>
      <c r="Z31" s="48"/>
      <c r="AA31" s="48"/>
      <c r="AB31" s="48">
        <v>0.25</v>
      </c>
      <c r="AC31" s="48"/>
      <c r="AD31" s="48"/>
      <c r="AE31" s="48">
        <v>0.25</v>
      </c>
      <c r="AF31" s="48" t="s">
        <v>114</v>
      </c>
      <c r="AG31" s="60" t="s">
        <v>126</v>
      </c>
      <c r="AH31" s="50" t="s">
        <v>37</v>
      </c>
      <c r="AI31" s="59" t="s">
        <v>46</v>
      </c>
      <c r="AJ31" s="49" t="s">
        <v>56</v>
      </c>
      <c r="AK31" s="59" t="s">
        <v>57</v>
      </c>
      <c r="AL31" s="61">
        <v>75</v>
      </c>
      <c r="AM31" s="48" t="s">
        <v>58</v>
      </c>
    </row>
    <row r="32" spans="1:39" s="55" customFormat="1" ht="15" customHeight="1" x14ac:dyDescent="0.35">
      <c r="A32" s="52" t="s">
        <v>83</v>
      </c>
      <c r="B32" s="48">
        <v>21060715</v>
      </c>
      <c r="C32" s="53" t="s">
        <v>163</v>
      </c>
      <c r="D32" s="57" t="s">
        <v>163</v>
      </c>
      <c r="E32" s="75" t="s">
        <v>283</v>
      </c>
      <c r="F32" s="48" t="s">
        <v>164</v>
      </c>
      <c r="G32" s="48" t="s">
        <v>165</v>
      </c>
      <c r="H32" s="48" t="s">
        <v>63</v>
      </c>
      <c r="I32" s="118">
        <v>42175</v>
      </c>
      <c r="J32" s="48">
        <v>920</v>
      </c>
      <c r="K32" s="48">
        <v>20</v>
      </c>
      <c r="L32" s="48">
        <v>1045</v>
      </c>
      <c r="M32" s="48">
        <v>20</v>
      </c>
      <c r="N32" s="48">
        <v>1855</v>
      </c>
      <c r="O32" s="52" t="s">
        <v>51</v>
      </c>
      <c r="P32" s="48">
        <v>4</v>
      </c>
      <c r="Q32" s="48">
        <v>3</v>
      </c>
      <c r="R32" s="48">
        <v>8</v>
      </c>
      <c r="S32" s="48"/>
      <c r="T32" s="48"/>
      <c r="U32" s="48"/>
      <c r="V32" s="48"/>
      <c r="W32" s="48"/>
      <c r="X32" s="48"/>
      <c r="Y32" s="48"/>
      <c r="Z32" s="48">
        <v>4</v>
      </c>
      <c r="AA32" s="48">
        <v>3</v>
      </c>
      <c r="AB32" s="48">
        <v>8</v>
      </c>
      <c r="AC32" s="48"/>
      <c r="AD32" s="48"/>
      <c r="AE32" s="48">
        <v>15</v>
      </c>
      <c r="AF32" s="48" t="s">
        <v>114</v>
      </c>
      <c r="AG32" s="60" t="s">
        <v>126</v>
      </c>
      <c r="AH32" s="50" t="s">
        <v>37</v>
      </c>
      <c r="AI32" s="48" t="s">
        <v>38</v>
      </c>
      <c r="AJ32" s="49" t="s">
        <v>56</v>
      </c>
      <c r="AK32" s="59" t="s">
        <v>55</v>
      </c>
      <c r="AL32" s="61">
        <v>31280</v>
      </c>
      <c r="AM32" s="48" t="s">
        <v>58</v>
      </c>
    </row>
    <row r="33" spans="1:39" s="55" customFormat="1" ht="15" customHeight="1" x14ac:dyDescent="0.35">
      <c r="A33" s="52" t="s">
        <v>64</v>
      </c>
      <c r="B33" s="48">
        <v>22064715</v>
      </c>
      <c r="C33" s="52" t="s">
        <v>70</v>
      </c>
      <c r="D33" s="56" t="s">
        <v>282</v>
      </c>
      <c r="E33" s="75" t="s">
        <v>102</v>
      </c>
      <c r="F33" s="48" t="s">
        <v>166</v>
      </c>
      <c r="G33" s="48" t="s">
        <v>167</v>
      </c>
      <c r="H33" s="48" t="s">
        <v>63</v>
      </c>
      <c r="I33" s="118">
        <v>42177</v>
      </c>
      <c r="J33" s="48">
        <v>1500</v>
      </c>
      <c r="K33" s="48">
        <v>22</v>
      </c>
      <c r="L33" s="48">
        <v>1520</v>
      </c>
      <c r="M33" s="48">
        <v>22</v>
      </c>
      <c r="N33" s="48">
        <v>1630</v>
      </c>
      <c r="O33" s="52" t="s">
        <v>31</v>
      </c>
      <c r="P33" s="48"/>
      <c r="Q33" s="48"/>
      <c r="R33" s="48">
        <v>1.5</v>
      </c>
      <c r="S33" s="48"/>
      <c r="T33" s="48"/>
      <c r="U33" s="48"/>
      <c r="V33" s="48"/>
      <c r="W33" s="48"/>
      <c r="X33" s="48"/>
      <c r="Y33" s="48">
        <v>1</v>
      </c>
      <c r="Z33" s="48"/>
      <c r="AA33" s="48"/>
      <c r="AB33" s="48">
        <v>1.5</v>
      </c>
      <c r="AC33" s="48"/>
      <c r="AD33" s="48">
        <v>1</v>
      </c>
      <c r="AE33" s="48">
        <v>2.5</v>
      </c>
      <c r="AF33" s="48" t="s">
        <v>114</v>
      </c>
      <c r="AG33" s="48" t="s">
        <v>126</v>
      </c>
      <c r="AH33" s="50" t="s">
        <v>37</v>
      </c>
      <c r="AI33" s="59" t="s">
        <v>46</v>
      </c>
      <c r="AJ33" s="49" t="s">
        <v>56</v>
      </c>
      <c r="AK33" s="59" t="s">
        <v>57</v>
      </c>
      <c r="AL33" s="61">
        <v>120450</v>
      </c>
      <c r="AM33" s="48"/>
    </row>
    <row r="34" spans="1:39" s="55" customFormat="1" ht="15" customHeight="1" x14ac:dyDescent="0.35">
      <c r="A34" s="52" t="s">
        <v>79</v>
      </c>
      <c r="B34" s="48">
        <v>23062415</v>
      </c>
      <c r="C34" s="52" t="s">
        <v>79</v>
      </c>
      <c r="D34" s="52" t="s">
        <v>79</v>
      </c>
      <c r="E34" s="75" t="s">
        <v>297</v>
      </c>
      <c r="F34" s="48" t="s">
        <v>168</v>
      </c>
      <c r="G34" s="48" t="s">
        <v>169</v>
      </c>
      <c r="H34" s="48" t="s">
        <v>63</v>
      </c>
      <c r="I34" s="118">
        <v>42179</v>
      </c>
      <c r="J34" s="48">
        <v>1220</v>
      </c>
      <c r="K34" s="48">
        <v>24</v>
      </c>
      <c r="L34" s="48">
        <v>1225</v>
      </c>
      <c r="M34" s="48">
        <v>24</v>
      </c>
      <c r="N34" s="48">
        <v>1350</v>
      </c>
      <c r="O34" s="52" t="s">
        <v>31</v>
      </c>
      <c r="P34" s="48"/>
      <c r="Q34" s="48"/>
      <c r="R34" s="48"/>
      <c r="S34" s="48"/>
      <c r="T34" s="48"/>
      <c r="U34" s="48"/>
      <c r="V34" s="48"/>
      <c r="W34" s="48">
        <v>1.5</v>
      </c>
      <c r="X34" s="48"/>
      <c r="Y34" s="48"/>
      <c r="Z34" s="48"/>
      <c r="AA34" s="48"/>
      <c r="AB34" s="48">
        <v>1.5</v>
      </c>
      <c r="AC34" s="48"/>
      <c r="AD34" s="48"/>
      <c r="AE34" s="48">
        <v>1.5</v>
      </c>
      <c r="AF34" s="48" t="s">
        <v>114</v>
      </c>
      <c r="AG34" s="60" t="s">
        <v>126</v>
      </c>
      <c r="AH34" s="50" t="s">
        <v>37</v>
      </c>
      <c r="AI34" s="48" t="s">
        <v>38</v>
      </c>
      <c r="AJ34" s="49" t="s">
        <v>56</v>
      </c>
      <c r="AK34" s="59" t="s">
        <v>57</v>
      </c>
      <c r="AL34" s="61">
        <v>450</v>
      </c>
      <c r="AM34" s="48"/>
    </row>
    <row r="35" spans="1:39" s="55" customFormat="1" ht="15" customHeight="1" x14ac:dyDescent="0.35">
      <c r="A35" s="52" t="s">
        <v>79</v>
      </c>
      <c r="B35" s="48">
        <v>24063515</v>
      </c>
      <c r="C35" s="52" t="s">
        <v>79</v>
      </c>
      <c r="D35" s="52" t="s">
        <v>80</v>
      </c>
      <c r="E35" s="75" t="s">
        <v>170</v>
      </c>
      <c r="F35" s="48" t="s">
        <v>171</v>
      </c>
      <c r="G35" s="48" t="s">
        <v>172</v>
      </c>
      <c r="H35" s="48" t="s">
        <v>63</v>
      </c>
      <c r="I35" s="119">
        <v>42180</v>
      </c>
      <c r="J35" s="65">
        <v>1100</v>
      </c>
      <c r="K35" s="65">
        <v>25</v>
      </c>
      <c r="L35" s="65">
        <v>1200</v>
      </c>
      <c r="M35" s="65">
        <v>25</v>
      </c>
      <c r="N35" s="65">
        <v>1830</v>
      </c>
      <c r="O35" s="52" t="s">
        <v>31</v>
      </c>
      <c r="P35" s="48"/>
      <c r="Q35" s="48"/>
      <c r="R35" s="48"/>
      <c r="S35" s="48"/>
      <c r="T35" s="48"/>
      <c r="U35" s="48"/>
      <c r="V35" s="48"/>
      <c r="W35" s="48">
        <v>31</v>
      </c>
      <c r="X35" s="48"/>
      <c r="Y35" s="48"/>
      <c r="Z35" s="48"/>
      <c r="AA35" s="48"/>
      <c r="AB35" s="48">
        <v>31</v>
      </c>
      <c r="AC35" s="48"/>
      <c r="AD35" s="48"/>
      <c r="AE35" s="48">
        <v>31</v>
      </c>
      <c r="AF35" s="50" t="s">
        <v>134</v>
      </c>
      <c r="AG35" s="60" t="s">
        <v>135</v>
      </c>
      <c r="AH35" s="50" t="s">
        <v>37</v>
      </c>
      <c r="AI35" s="59" t="s">
        <v>46</v>
      </c>
      <c r="AJ35" s="49" t="s">
        <v>56</v>
      </c>
      <c r="AK35" s="59" t="s">
        <v>39</v>
      </c>
      <c r="AL35" s="61">
        <v>9300</v>
      </c>
      <c r="AM35" s="48"/>
    </row>
    <row r="36" spans="1:39" s="55" customFormat="1" ht="15" customHeight="1" x14ac:dyDescent="0.35">
      <c r="A36" s="52" t="s">
        <v>79</v>
      </c>
      <c r="B36" s="48">
        <v>25062415</v>
      </c>
      <c r="C36" s="52" t="s">
        <v>79</v>
      </c>
      <c r="D36" s="52" t="s">
        <v>79</v>
      </c>
      <c r="E36" s="75" t="s">
        <v>294</v>
      </c>
      <c r="F36" s="48" t="s">
        <v>173</v>
      </c>
      <c r="G36" s="48" t="s">
        <v>174</v>
      </c>
      <c r="H36" s="48" t="s">
        <v>63</v>
      </c>
      <c r="I36" s="118">
        <v>42180</v>
      </c>
      <c r="J36" s="48">
        <v>1130</v>
      </c>
      <c r="K36" s="48">
        <v>25</v>
      </c>
      <c r="L36" s="48">
        <v>1135</v>
      </c>
      <c r="M36" s="48">
        <v>25</v>
      </c>
      <c r="N36" s="48">
        <v>1735</v>
      </c>
      <c r="O36" s="52" t="s">
        <v>43</v>
      </c>
      <c r="P36" s="48">
        <v>1.5</v>
      </c>
      <c r="Q36" s="48"/>
      <c r="R36" s="48"/>
      <c r="S36" s="48"/>
      <c r="T36" s="48"/>
      <c r="U36" s="48"/>
      <c r="V36" s="48"/>
      <c r="W36" s="48"/>
      <c r="X36" s="48"/>
      <c r="Y36" s="48"/>
      <c r="Z36" s="48">
        <v>1.5</v>
      </c>
      <c r="AA36" s="48"/>
      <c r="AB36" s="48"/>
      <c r="AC36" s="48"/>
      <c r="AD36" s="48"/>
      <c r="AE36" s="48">
        <v>1.5</v>
      </c>
      <c r="AF36" s="48" t="s">
        <v>114</v>
      </c>
      <c r="AG36" s="60" t="s">
        <v>126</v>
      </c>
      <c r="AH36" s="50" t="s">
        <v>37</v>
      </c>
      <c r="AI36" s="48" t="s">
        <v>38</v>
      </c>
      <c r="AJ36" s="49" t="s">
        <v>56</v>
      </c>
      <c r="AK36" s="59" t="s">
        <v>57</v>
      </c>
      <c r="AL36" s="61">
        <v>7200</v>
      </c>
      <c r="AM36" s="48" t="s">
        <v>58</v>
      </c>
    </row>
    <row r="37" spans="1:39" s="55" customFormat="1" ht="15" customHeight="1" x14ac:dyDescent="0.35">
      <c r="A37" s="52" t="s">
        <v>83</v>
      </c>
      <c r="B37" s="48">
        <v>26065015</v>
      </c>
      <c r="C37" s="53" t="s">
        <v>69</v>
      </c>
      <c r="D37" s="57" t="s">
        <v>69</v>
      </c>
      <c r="E37" s="75" t="s">
        <v>175</v>
      </c>
      <c r="F37" s="48" t="s">
        <v>176</v>
      </c>
      <c r="G37" s="48" t="s">
        <v>177</v>
      </c>
      <c r="H37" s="48" t="s">
        <v>63</v>
      </c>
      <c r="I37" s="118">
        <v>42180</v>
      </c>
      <c r="J37" s="48">
        <v>1141</v>
      </c>
      <c r="K37" s="48">
        <v>25</v>
      </c>
      <c r="L37" s="48">
        <v>1200</v>
      </c>
      <c r="M37" s="48">
        <v>25</v>
      </c>
      <c r="N37" s="48">
        <v>1320</v>
      </c>
      <c r="O37" s="52"/>
      <c r="P37" s="48"/>
      <c r="Q37" s="48"/>
      <c r="R37" s="48"/>
      <c r="S37" s="48"/>
      <c r="T37" s="48"/>
      <c r="U37" s="48"/>
      <c r="V37" s="48"/>
      <c r="W37" s="48"/>
      <c r="X37" s="48"/>
      <c r="Y37" s="48">
        <v>0.9</v>
      </c>
      <c r="Z37" s="48"/>
      <c r="AA37" s="48"/>
      <c r="AB37" s="48"/>
      <c r="AC37" s="48"/>
      <c r="AD37" s="48">
        <v>0.9</v>
      </c>
      <c r="AE37" s="48">
        <v>0.9</v>
      </c>
      <c r="AF37" s="50" t="s">
        <v>110</v>
      </c>
      <c r="AG37" s="60" t="s">
        <v>111</v>
      </c>
      <c r="AH37" s="50" t="s">
        <v>37</v>
      </c>
      <c r="AI37" s="48" t="s">
        <v>39</v>
      </c>
      <c r="AJ37" s="49" t="s">
        <v>56</v>
      </c>
      <c r="AK37" s="59" t="s">
        <v>55</v>
      </c>
      <c r="AL37" s="61">
        <v>26400</v>
      </c>
      <c r="AM37" s="48"/>
    </row>
    <row r="38" spans="1:39" s="55" customFormat="1" ht="15" customHeight="1" x14ac:dyDescent="0.35">
      <c r="A38" s="47" t="s">
        <v>99</v>
      </c>
      <c r="B38" s="48">
        <v>27064815</v>
      </c>
      <c r="C38" s="52" t="s">
        <v>75</v>
      </c>
      <c r="D38" s="52" t="s">
        <v>82</v>
      </c>
      <c r="E38" s="75" t="s">
        <v>88</v>
      </c>
      <c r="F38" s="48" t="s">
        <v>178</v>
      </c>
      <c r="G38" s="48" t="s">
        <v>179</v>
      </c>
      <c r="H38" s="48" t="s">
        <v>63</v>
      </c>
      <c r="I38" s="118">
        <v>42180</v>
      </c>
      <c r="J38" s="48">
        <v>1230</v>
      </c>
      <c r="K38" s="48">
        <v>25</v>
      </c>
      <c r="L38" s="48">
        <v>1245</v>
      </c>
      <c r="M38" s="48">
        <v>25</v>
      </c>
      <c r="N38" s="48">
        <v>1830</v>
      </c>
      <c r="O38" s="52" t="s">
        <v>31</v>
      </c>
      <c r="P38" s="48"/>
      <c r="Q38" s="48"/>
      <c r="R38" s="48">
        <v>1</v>
      </c>
      <c r="S38" s="48"/>
      <c r="T38" s="48"/>
      <c r="U38" s="48"/>
      <c r="V38" s="48"/>
      <c r="W38" s="48"/>
      <c r="X38" s="48"/>
      <c r="Y38" s="48"/>
      <c r="Z38" s="48"/>
      <c r="AA38" s="48"/>
      <c r="AB38" s="48">
        <v>1</v>
      </c>
      <c r="AC38" s="48"/>
      <c r="AD38" s="48"/>
      <c r="AE38" s="48">
        <v>1</v>
      </c>
      <c r="AF38" s="48" t="s">
        <v>114</v>
      </c>
      <c r="AG38" s="48" t="s">
        <v>126</v>
      </c>
      <c r="AH38" s="50" t="s">
        <v>37</v>
      </c>
      <c r="AI38" s="48" t="s">
        <v>38</v>
      </c>
      <c r="AJ38" s="49" t="s">
        <v>56</v>
      </c>
      <c r="AK38" s="59" t="s">
        <v>57</v>
      </c>
      <c r="AL38" s="61">
        <v>300</v>
      </c>
      <c r="AM38" s="48" t="s">
        <v>58</v>
      </c>
    </row>
    <row r="39" spans="1:39" s="55" customFormat="1" ht="15" customHeight="1" x14ac:dyDescent="0.35">
      <c r="A39" s="52" t="s">
        <v>79</v>
      </c>
      <c r="B39" s="48">
        <v>28063515</v>
      </c>
      <c r="C39" s="52" t="s">
        <v>79</v>
      </c>
      <c r="D39" s="52" t="s">
        <v>80</v>
      </c>
      <c r="E39" s="75" t="s">
        <v>148</v>
      </c>
      <c r="F39" s="48" t="s">
        <v>180</v>
      </c>
      <c r="G39" s="48" t="s">
        <v>181</v>
      </c>
      <c r="H39" s="48" t="s">
        <v>63</v>
      </c>
      <c r="I39" s="118">
        <v>42180</v>
      </c>
      <c r="J39" s="48">
        <v>1830</v>
      </c>
      <c r="K39" s="48"/>
      <c r="L39" s="48"/>
      <c r="M39" s="48">
        <v>25</v>
      </c>
      <c r="N39" s="48">
        <v>2100</v>
      </c>
      <c r="O39" s="52" t="s">
        <v>43</v>
      </c>
      <c r="P39" s="48"/>
      <c r="Q39" s="48"/>
      <c r="R39" s="48"/>
      <c r="S39" s="48"/>
      <c r="T39" s="48"/>
      <c r="U39" s="48"/>
      <c r="V39" s="48">
        <v>20</v>
      </c>
      <c r="W39" s="48"/>
      <c r="X39" s="48"/>
      <c r="Y39" s="48"/>
      <c r="Z39" s="48"/>
      <c r="AA39" s="48">
        <v>20</v>
      </c>
      <c r="AB39" s="48"/>
      <c r="AC39" s="48"/>
      <c r="AD39" s="48"/>
      <c r="AE39" s="48">
        <v>20</v>
      </c>
      <c r="AF39" s="50" t="s">
        <v>134</v>
      </c>
      <c r="AG39" s="60" t="s">
        <v>135</v>
      </c>
      <c r="AH39" s="50" t="s">
        <v>37</v>
      </c>
      <c r="AI39" s="48" t="s">
        <v>38</v>
      </c>
      <c r="AJ39" s="49" t="s">
        <v>56</v>
      </c>
      <c r="AK39" s="59"/>
      <c r="AL39" s="61">
        <v>30000</v>
      </c>
      <c r="AM39" s="48"/>
    </row>
    <row r="40" spans="1:39" s="55" customFormat="1" ht="15" customHeight="1" x14ac:dyDescent="0.35">
      <c r="A40" s="52" t="s">
        <v>83</v>
      </c>
      <c r="B40" s="48">
        <v>29064215</v>
      </c>
      <c r="C40" s="52" t="s">
        <v>83</v>
      </c>
      <c r="D40" s="57" t="s">
        <v>84</v>
      </c>
      <c r="E40" s="75" t="s">
        <v>100</v>
      </c>
      <c r="F40" s="48" t="s">
        <v>182</v>
      </c>
      <c r="G40" s="48" t="s">
        <v>183</v>
      </c>
      <c r="H40" s="48" t="s">
        <v>63</v>
      </c>
      <c r="I40" s="118">
        <v>42181</v>
      </c>
      <c r="J40" s="48">
        <v>1735</v>
      </c>
      <c r="K40" s="48">
        <v>26</v>
      </c>
      <c r="L40" s="48">
        <v>1830</v>
      </c>
      <c r="M40" s="48">
        <v>26</v>
      </c>
      <c r="N40" s="48">
        <v>1945</v>
      </c>
      <c r="O40" s="52" t="s">
        <v>31</v>
      </c>
      <c r="P40" s="48"/>
      <c r="Q40" s="48"/>
      <c r="R40" s="48"/>
      <c r="S40" s="48"/>
      <c r="T40" s="48"/>
      <c r="U40" s="48"/>
      <c r="V40" s="48"/>
      <c r="W40" s="48">
        <v>0.5</v>
      </c>
      <c r="X40" s="48"/>
      <c r="Y40" s="48"/>
      <c r="Z40" s="48"/>
      <c r="AA40" s="48"/>
      <c r="AB40" s="48">
        <v>0.5</v>
      </c>
      <c r="AC40" s="48"/>
      <c r="AD40" s="48"/>
      <c r="AE40" s="48">
        <v>0.5</v>
      </c>
      <c r="AF40" s="48" t="s">
        <v>114</v>
      </c>
      <c r="AG40" s="48" t="s">
        <v>115</v>
      </c>
      <c r="AH40" s="50" t="s">
        <v>37</v>
      </c>
      <c r="AI40" s="48" t="s">
        <v>39</v>
      </c>
      <c r="AJ40" s="49" t="s">
        <v>54</v>
      </c>
      <c r="AK40" s="59" t="s">
        <v>57</v>
      </c>
      <c r="AL40" s="61">
        <v>150</v>
      </c>
      <c r="AM40" s="48"/>
    </row>
    <row r="41" spans="1:39" s="55" customFormat="1" ht="15" customHeight="1" x14ac:dyDescent="0.35">
      <c r="A41" s="52" t="s">
        <v>81</v>
      </c>
      <c r="B41" s="48">
        <v>30064015</v>
      </c>
      <c r="C41" s="52" t="s">
        <v>81</v>
      </c>
      <c r="D41" s="52" t="s">
        <v>81</v>
      </c>
      <c r="E41" s="75" t="s">
        <v>87</v>
      </c>
      <c r="F41" s="48" t="s">
        <v>184</v>
      </c>
      <c r="G41" s="48" t="s">
        <v>185</v>
      </c>
      <c r="H41" s="48" t="s">
        <v>63</v>
      </c>
      <c r="I41" s="118">
        <v>42182</v>
      </c>
      <c r="J41" s="48">
        <v>1525</v>
      </c>
      <c r="K41" s="48">
        <v>27</v>
      </c>
      <c r="L41" s="48">
        <v>1535</v>
      </c>
      <c r="M41" s="48">
        <v>27</v>
      </c>
      <c r="N41" s="48">
        <v>1700</v>
      </c>
      <c r="O41" s="52" t="s">
        <v>43</v>
      </c>
      <c r="P41" s="48">
        <v>1</v>
      </c>
      <c r="Q41" s="48"/>
      <c r="R41" s="48"/>
      <c r="S41" s="48"/>
      <c r="T41" s="48"/>
      <c r="U41" s="48"/>
      <c r="V41" s="48"/>
      <c r="W41" s="48"/>
      <c r="X41" s="48"/>
      <c r="Y41" s="48"/>
      <c r="Z41" s="48">
        <v>1</v>
      </c>
      <c r="AA41" s="48"/>
      <c r="AB41" s="48"/>
      <c r="AC41" s="48"/>
      <c r="AD41" s="48"/>
      <c r="AE41" s="48">
        <v>1</v>
      </c>
      <c r="AF41" s="50" t="s">
        <v>110</v>
      </c>
      <c r="AG41" s="60" t="s">
        <v>119</v>
      </c>
      <c r="AH41" s="50" t="s">
        <v>37</v>
      </c>
      <c r="AI41" s="48" t="s">
        <v>38</v>
      </c>
      <c r="AJ41" s="49" t="s">
        <v>54</v>
      </c>
      <c r="AK41" s="59" t="s">
        <v>45</v>
      </c>
      <c r="AL41" s="61">
        <v>5000</v>
      </c>
      <c r="AM41" s="48" t="s">
        <v>58</v>
      </c>
    </row>
    <row r="42" spans="1:39" s="55" customFormat="1" ht="15" customHeight="1" x14ac:dyDescent="0.35">
      <c r="A42" s="52" t="s">
        <v>81</v>
      </c>
      <c r="B42" s="48">
        <v>31061815</v>
      </c>
      <c r="C42" s="52" t="s">
        <v>81</v>
      </c>
      <c r="D42" s="52" t="s">
        <v>89</v>
      </c>
      <c r="E42" s="75" t="s">
        <v>87</v>
      </c>
      <c r="F42" s="48" t="s">
        <v>186</v>
      </c>
      <c r="G42" s="48" t="s">
        <v>187</v>
      </c>
      <c r="H42" s="48" t="s">
        <v>63</v>
      </c>
      <c r="I42" s="118">
        <v>42183</v>
      </c>
      <c r="J42" s="48">
        <v>1130</v>
      </c>
      <c r="K42" s="48">
        <v>28</v>
      </c>
      <c r="L42" s="48">
        <v>1140</v>
      </c>
      <c r="M42" s="48">
        <v>28</v>
      </c>
      <c r="N42" s="48">
        <v>1315</v>
      </c>
      <c r="O42" s="52" t="s">
        <v>43</v>
      </c>
      <c r="P42" s="48">
        <v>1.5</v>
      </c>
      <c r="Q42" s="48"/>
      <c r="R42" s="48"/>
      <c r="S42" s="48"/>
      <c r="T42" s="48"/>
      <c r="U42" s="48"/>
      <c r="V42" s="48"/>
      <c r="W42" s="48"/>
      <c r="X42" s="48"/>
      <c r="Y42" s="48"/>
      <c r="Z42" s="48">
        <v>1.5</v>
      </c>
      <c r="AA42" s="48"/>
      <c r="AB42" s="48"/>
      <c r="AC42" s="48"/>
      <c r="AD42" s="48"/>
      <c r="AE42" s="48">
        <v>1.5</v>
      </c>
      <c r="AF42" s="50" t="s">
        <v>110</v>
      </c>
      <c r="AG42" s="60" t="s">
        <v>119</v>
      </c>
      <c r="AH42" s="50" t="s">
        <v>37</v>
      </c>
      <c r="AI42" s="48" t="s">
        <v>38</v>
      </c>
      <c r="AJ42" s="49" t="s">
        <v>54</v>
      </c>
      <c r="AK42" s="59" t="s">
        <v>57</v>
      </c>
      <c r="AL42" s="61">
        <v>7500</v>
      </c>
      <c r="AM42" s="48" t="s">
        <v>58</v>
      </c>
    </row>
    <row r="43" spans="1:39" s="55" customFormat="1" ht="15" customHeight="1" x14ac:dyDescent="0.35">
      <c r="A43" s="47" t="s">
        <v>99</v>
      </c>
      <c r="B43" s="48">
        <v>32064815</v>
      </c>
      <c r="C43" s="52" t="s">
        <v>75</v>
      </c>
      <c r="D43" s="52" t="s">
        <v>82</v>
      </c>
      <c r="E43" s="75" t="s">
        <v>90</v>
      </c>
      <c r="F43" s="48" t="s">
        <v>188</v>
      </c>
      <c r="G43" s="48" t="s">
        <v>189</v>
      </c>
      <c r="H43" s="48" t="s">
        <v>63</v>
      </c>
      <c r="I43" s="118">
        <v>42184</v>
      </c>
      <c r="J43" s="48">
        <v>830</v>
      </c>
      <c r="K43" s="48">
        <v>29</v>
      </c>
      <c r="L43" s="48">
        <v>950</v>
      </c>
      <c r="M43" s="48">
        <v>29</v>
      </c>
      <c r="N43" s="48">
        <v>2035</v>
      </c>
      <c r="O43" s="52" t="s">
        <v>31</v>
      </c>
      <c r="P43" s="48"/>
      <c r="Q43" s="48"/>
      <c r="R43" s="48">
        <v>1</v>
      </c>
      <c r="S43" s="48"/>
      <c r="T43" s="48"/>
      <c r="U43" s="48"/>
      <c r="V43" s="48"/>
      <c r="W43" s="48"/>
      <c r="X43" s="48"/>
      <c r="Y43" s="48"/>
      <c r="Z43" s="48"/>
      <c r="AA43" s="48"/>
      <c r="AB43" s="48">
        <v>1</v>
      </c>
      <c r="AC43" s="48"/>
      <c r="AD43" s="48"/>
      <c r="AE43" s="48">
        <v>1</v>
      </c>
      <c r="AF43" s="48" t="s">
        <v>114</v>
      </c>
      <c r="AG43" s="48" t="s">
        <v>126</v>
      </c>
      <c r="AH43" s="50" t="s">
        <v>37</v>
      </c>
      <c r="AI43" s="48" t="s">
        <v>38</v>
      </c>
      <c r="AJ43" s="49" t="s">
        <v>56</v>
      </c>
      <c r="AK43" s="59" t="s">
        <v>45</v>
      </c>
      <c r="AL43" s="61">
        <v>300</v>
      </c>
      <c r="AM43" s="48" t="s">
        <v>58</v>
      </c>
    </row>
    <row r="44" spans="1:39" s="55" customFormat="1" ht="15" customHeight="1" x14ac:dyDescent="0.35">
      <c r="A44" s="52" t="s">
        <v>81</v>
      </c>
      <c r="B44" s="48">
        <v>33060215</v>
      </c>
      <c r="C44" s="52" t="s">
        <v>74</v>
      </c>
      <c r="D44" s="52" t="s">
        <v>74</v>
      </c>
      <c r="E44" s="75" t="s">
        <v>190</v>
      </c>
      <c r="F44" s="48" t="s">
        <v>191</v>
      </c>
      <c r="G44" s="48" t="s">
        <v>192</v>
      </c>
      <c r="H44" s="48" t="s">
        <v>63</v>
      </c>
      <c r="I44" s="118">
        <v>42184</v>
      </c>
      <c r="J44" s="48">
        <v>1315</v>
      </c>
      <c r="K44" s="48">
        <v>29</v>
      </c>
      <c r="L44" s="48">
        <v>1335</v>
      </c>
      <c r="M44" s="48">
        <v>29</v>
      </c>
      <c r="N44" s="48">
        <v>2300</v>
      </c>
      <c r="O44" s="52" t="s">
        <v>48</v>
      </c>
      <c r="P44" s="48"/>
      <c r="Q44" s="48"/>
      <c r="R44" s="48"/>
      <c r="S44" s="48"/>
      <c r="T44" s="48"/>
      <c r="U44" s="48">
        <v>7</v>
      </c>
      <c r="V44" s="48"/>
      <c r="W44" s="48"/>
      <c r="X44" s="48"/>
      <c r="Y44" s="48"/>
      <c r="Z44" s="48">
        <v>7</v>
      </c>
      <c r="AA44" s="48"/>
      <c r="AB44" s="48"/>
      <c r="AC44" s="48"/>
      <c r="AD44" s="48"/>
      <c r="AE44" s="48">
        <v>7</v>
      </c>
      <c r="AF44" s="48" t="s">
        <v>141</v>
      </c>
      <c r="AG44" s="48" t="s">
        <v>141</v>
      </c>
      <c r="AH44" s="50" t="s">
        <v>37</v>
      </c>
      <c r="AI44" s="59" t="s">
        <v>46</v>
      </c>
      <c r="AJ44" s="49" t="s">
        <v>56</v>
      </c>
      <c r="AK44" s="59" t="s">
        <v>57</v>
      </c>
      <c r="AL44" s="61">
        <v>31650</v>
      </c>
      <c r="AM44" s="48"/>
    </row>
    <row r="45" spans="1:39" s="55" customFormat="1" ht="15" customHeight="1" x14ac:dyDescent="0.35">
      <c r="A45" s="52" t="s">
        <v>81</v>
      </c>
      <c r="B45" s="48">
        <v>34061215</v>
      </c>
      <c r="C45" s="52" t="s">
        <v>74</v>
      </c>
      <c r="D45" s="56" t="s">
        <v>73</v>
      </c>
      <c r="E45" s="75" t="s">
        <v>193</v>
      </c>
      <c r="F45" s="48" t="s">
        <v>194</v>
      </c>
      <c r="G45" s="48" t="s">
        <v>195</v>
      </c>
      <c r="H45" s="48" t="s">
        <v>63</v>
      </c>
      <c r="I45" s="118">
        <v>42184</v>
      </c>
      <c r="J45" s="48">
        <v>1710</v>
      </c>
      <c r="K45" s="48"/>
      <c r="L45" s="48"/>
      <c r="M45" s="48">
        <v>29</v>
      </c>
      <c r="N45" s="48">
        <v>1945</v>
      </c>
      <c r="O45" s="52" t="s">
        <v>31</v>
      </c>
      <c r="P45" s="48"/>
      <c r="Q45" s="48"/>
      <c r="R45" s="48"/>
      <c r="S45" s="48"/>
      <c r="T45" s="48"/>
      <c r="U45" s="48"/>
      <c r="V45" s="48"/>
      <c r="W45" s="48">
        <v>1.5</v>
      </c>
      <c r="X45" s="48"/>
      <c r="Y45" s="48"/>
      <c r="Z45" s="48"/>
      <c r="AA45" s="48"/>
      <c r="AB45" s="48">
        <v>1.5</v>
      </c>
      <c r="AC45" s="48"/>
      <c r="AD45" s="48"/>
      <c r="AE45" s="48">
        <v>1.5</v>
      </c>
      <c r="AF45" s="50" t="s">
        <v>110</v>
      </c>
      <c r="AG45" s="60" t="s">
        <v>119</v>
      </c>
      <c r="AH45" s="50" t="s">
        <v>37</v>
      </c>
      <c r="AI45" s="48" t="s">
        <v>40</v>
      </c>
      <c r="AJ45" s="49" t="s">
        <v>56</v>
      </c>
      <c r="AK45" s="59" t="s">
        <v>39</v>
      </c>
      <c r="AL45" s="61">
        <v>450</v>
      </c>
      <c r="AM45" s="48"/>
    </row>
    <row r="46" spans="1:39" s="55" customFormat="1" ht="15" customHeight="1" x14ac:dyDescent="0.35">
      <c r="A46" s="52" t="s">
        <v>95</v>
      </c>
      <c r="B46" s="48">
        <v>35063615</v>
      </c>
      <c r="C46" s="47" t="s">
        <v>61</v>
      </c>
      <c r="D46" s="56" t="s">
        <v>61</v>
      </c>
      <c r="E46" s="75" t="s">
        <v>196</v>
      </c>
      <c r="F46" s="48" t="s">
        <v>197</v>
      </c>
      <c r="G46" s="48" t="s">
        <v>198</v>
      </c>
      <c r="H46" s="48" t="s">
        <v>63</v>
      </c>
      <c r="I46" s="118">
        <v>42184</v>
      </c>
      <c r="J46" s="48">
        <v>2100</v>
      </c>
      <c r="K46" s="48">
        <v>29</v>
      </c>
      <c r="L46" s="48">
        <v>2145</v>
      </c>
      <c r="M46" s="48">
        <v>30</v>
      </c>
      <c r="N46" s="48">
        <v>640</v>
      </c>
      <c r="O46" s="52" t="s">
        <v>199</v>
      </c>
      <c r="P46" s="48"/>
      <c r="Q46" s="48"/>
      <c r="R46" s="48"/>
      <c r="S46" s="48"/>
      <c r="T46" s="48"/>
      <c r="U46" s="48"/>
      <c r="V46" s="48">
        <v>7</v>
      </c>
      <c r="W46" s="48"/>
      <c r="X46" s="48"/>
      <c r="Y46" s="48"/>
      <c r="Z46" s="48"/>
      <c r="AA46" s="48">
        <v>7</v>
      </c>
      <c r="AB46" s="48"/>
      <c r="AC46" s="48"/>
      <c r="AD46" s="48"/>
      <c r="AE46" s="48">
        <v>7</v>
      </c>
      <c r="AF46" s="48" t="s">
        <v>141</v>
      </c>
      <c r="AG46" s="48" t="s">
        <v>141</v>
      </c>
      <c r="AH46" s="50" t="s">
        <v>37</v>
      </c>
      <c r="AI46" s="48" t="s">
        <v>38</v>
      </c>
      <c r="AJ46" s="49" t="s">
        <v>56</v>
      </c>
      <c r="AK46" s="59" t="s">
        <v>55</v>
      </c>
      <c r="AL46" s="61">
        <v>3430</v>
      </c>
      <c r="AM46" s="48"/>
    </row>
    <row r="47" spans="1:39" s="55" customFormat="1" ht="15" customHeight="1" x14ac:dyDescent="0.35">
      <c r="A47" s="52" t="s">
        <v>95</v>
      </c>
      <c r="B47" s="48">
        <v>35063615</v>
      </c>
      <c r="C47" s="47" t="s">
        <v>61</v>
      </c>
      <c r="D47" s="56" t="s">
        <v>61</v>
      </c>
      <c r="E47" s="75" t="s">
        <v>296</v>
      </c>
      <c r="F47" s="48" t="s">
        <v>197</v>
      </c>
      <c r="G47" s="48" t="s">
        <v>198</v>
      </c>
      <c r="H47" s="48" t="s">
        <v>63</v>
      </c>
      <c r="I47" s="118">
        <v>42185</v>
      </c>
      <c r="J47" s="48">
        <v>1000</v>
      </c>
      <c r="K47" s="48">
        <v>30</v>
      </c>
      <c r="L47" s="48">
        <v>1100</v>
      </c>
      <c r="M47" s="48">
        <v>30</v>
      </c>
      <c r="N47" s="48">
        <v>2045</v>
      </c>
      <c r="O47" s="52" t="s">
        <v>31</v>
      </c>
      <c r="P47" s="48"/>
      <c r="Q47" s="48"/>
      <c r="R47" s="48">
        <v>5</v>
      </c>
      <c r="S47" s="48"/>
      <c r="T47" s="48"/>
      <c r="U47" s="48"/>
      <c r="V47" s="48"/>
      <c r="W47" s="48"/>
      <c r="X47" s="48"/>
      <c r="Y47" s="48"/>
      <c r="Z47" s="48"/>
      <c r="AA47" s="48"/>
      <c r="AB47" s="48">
        <v>5</v>
      </c>
      <c r="AC47" s="48"/>
      <c r="AD47" s="48"/>
      <c r="AE47" s="48">
        <v>5</v>
      </c>
      <c r="AF47" s="48" t="s">
        <v>200</v>
      </c>
      <c r="AG47" s="48" t="s">
        <v>200</v>
      </c>
      <c r="AH47" s="50" t="s">
        <v>37</v>
      </c>
      <c r="AI47" s="48" t="s">
        <v>38</v>
      </c>
      <c r="AJ47" s="49" t="s">
        <v>56</v>
      </c>
      <c r="AK47" s="59" t="s">
        <v>55</v>
      </c>
      <c r="AL47" s="61">
        <v>1500</v>
      </c>
      <c r="AM47" s="48" t="s">
        <v>58</v>
      </c>
    </row>
    <row r="48" spans="1:39" s="55" customFormat="1" ht="15" customHeight="1" x14ac:dyDescent="0.35">
      <c r="A48" s="52" t="s">
        <v>81</v>
      </c>
      <c r="B48" s="48">
        <v>36063415</v>
      </c>
      <c r="C48" s="53" t="s">
        <v>66</v>
      </c>
      <c r="D48" s="57" t="s">
        <v>66</v>
      </c>
      <c r="E48" s="75" t="s">
        <v>105</v>
      </c>
      <c r="F48" s="48" t="s">
        <v>201</v>
      </c>
      <c r="G48" s="48" t="s">
        <v>202</v>
      </c>
      <c r="H48" s="48" t="s">
        <v>63</v>
      </c>
      <c r="I48" s="118">
        <v>42184</v>
      </c>
      <c r="J48" s="48">
        <v>2130</v>
      </c>
      <c r="K48" s="48">
        <v>29</v>
      </c>
      <c r="L48" s="48">
        <v>2200</v>
      </c>
      <c r="M48" s="48">
        <v>29</v>
      </c>
      <c r="N48" s="48">
        <v>2230</v>
      </c>
      <c r="O48" s="52" t="s">
        <v>31</v>
      </c>
      <c r="P48" s="48"/>
      <c r="Q48" s="48"/>
      <c r="R48" s="48"/>
      <c r="S48" s="48"/>
      <c r="T48" s="48"/>
      <c r="U48" s="48"/>
      <c r="V48" s="48"/>
      <c r="W48" s="48">
        <v>7</v>
      </c>
      <c r="X48" s="48"/>
      <c r="Y48" s="48"/>
      <c r="Z48" s="48"/>
      <c r="AA48" s="48"/>
      <c r="AB48" s="48">
        <v>7</v>
      </c>
      <c r="AC48" s="48"/>
      <c r="AD48" s="48"/>
      <c r="AE48" s="48">
        <v>7</v>
      </c>
      <c r="AF48" s="48" t="s">
        <v>141</v>
      </c>
      <c r="AG48" s="48" t="s">
        <v>141</v>
      </c>
      <c r="AH48" s="50" t="s">
        <v>37</v>
      </c>
      <c r="AI48" s="48" t="s">
        <v>49</v>
      </c>
      <c r="AJ48" s="49" t="s">
        <v>56</v>
      </c>
      <c r="AK48" s="59" t="s">
        <v>39</v>
      </c>
      <c r="AL48" s="61">
        <v>2100</v>
      </c>
      <c r="AM48" s="48"/>
    </row>
    <row r="49" spans="1:39" s="55" customFormat="1" ht="15" customHeight="1" x14ac:dyDescent="0.35">
      <c r="A49" s="52" t="s">
        <v>95</v>
      </c>
      <c r="B49" s="48">
        <v>37063615</v>
      </c>
      <c r="C49" s="47" t="s">
        <v>61</v>
      </c>
      <c r="D49" s="56" t="s">
        <v>61</v>
      </c>
      <c r="E49" s="75" t="s">
        <v>203</v>
      </c>
      <c r="F49" s="48" t="s">
        <v>62</v>
      </c>
      <c r="G49" s="48" t="s">
        <v>204</v>
      </c>
      <c r="H49" s="48" t="s">
        <v>63</v>
      </c>
      <c r="I49" s="118">
        <v>42188</v>
      </c>
      <c r="J49" s="48">
        <v>2215</v>
      </c>
      <c r="K49" s="48">
        <v>3</v>
      </c>
      <c r="L49" s="48">
        <v>2300</v>
      </c>
      <c r="M49" s="48">
        <v>4</v>
      </c>
      <c r="N49" s="48">
        <v>130</v>
      </c>
      <c r="O49" s="52" t="s">
        <v>31</v>
      </c>
      <c r="P49" s="48"/>
      <c r="Q49" s="48"/>
      <c r="R49" s="48"/>
      <c r="S49" s="48"/>
      <c r="T49" s="48"/>
      <c r="U49" s="48"/>
      <c r="V49" s="48"/>
      <c r="W49" s="48">
        <v>2</v>
      </c>
      <c r="X49" s="48"/>
      <c r="Y49" s="48"/>
      <c r="Z49" s="48"/>
      <c r="AA49" s="48"/>
      <c r="AB49" s="48">
        <v>2</v>
      </c>
      <c r="AC49" s="48"/>
      <c r="AD49" s="48"/>
      <c r="AE49" s="48">
        <v>2</v>
      </c>
      <c r="AF49" s="48" t="s">
        <v>114</v>
      </c>
      <c r="AG49" s="48" t="s">
        <v>126</v>
      </c>
      <c r="AH49" s="48" t="s">
        <v>37</v>
      </c>
      <c r="AI49" s="48" t="s">
        <v>47</v>
      </c>
      <c r="AJ49" s="48" t="s">
        <v>205</v>
      </c>
      <c r="AK49" s="48" t="s">
        <v>55</v>
      </c>
      <c r="AL49" s="61">
        <v>600</v>
      </c>
      <c r="AM49" s="48"/>
    </row>
    <row r="50" spans="1:39" s="55" customFormat="1" ht="15" customHeight="1" x14ac:dyDescent="0.35">
      <c r="A50" s="52" t="s">
        <v>64</v>
      </c>
      <c r="B50" s="48">
        <v>38063115</v>
      </c>
      <c r="C50" s="52" t="s">
        <v>70</v>
      </c>
      <c r="D50" s="52" t="s">
        <v>72</v>
      </c>
      <c r="E50" s="75" t="s">
        <v>78</v>
      </c>
      <c r="F50" s="48" t="s">
        <v>206</v>
      </c>
      <c r="G50" s="48" t="s">
        <v>207</v>
      </c>
      <c r="H50" s="48" t="s">
        <v>63</v>
      </c>
      <c r="I50" s="118">
        <v>42189</v>
      </c>
      <c r="J50" s="48">
        <v>2230</v>
      </c>
      <c r="K50" s="48">
        <v>4</v>
      </c>
      <c r="L50" s="48">
        <v>2300</v>
      </c>
      <c r="M50" s="48">
        <v>8</v>
      </c>
      <c r="N50" s="48">
        <v>900</v>
      </c>
      <c r="O50" s="52" t="s">
        <v>31</v>
      </c>
      <c r="P50" s="48"/>
      <c r="Q50" s="48"/>
      <c r="R50" s="48">
        <v>60</v>
      </c>
      <c r="S50" s="48"/>
      <c r="T50" s="48"/>
      <c r="U50" s="48"/>
      <c r="V50" s="48"/>
      <c r="W50" s="48"/>
      <c r="X50" s="48"/>
      <c r="Y50" s="48"/>
      <c r="Z50" s="48"/>
      <c r="AA50" s="48"/>
      <c r="AB50" s="48">
        <v>60</v>
      </c>
      <c r="AC50" s="48"/>
      <c r="AD50" s="48"/>
      <c r="AE50" s="48">
        <v>60</v>
      </c>
      <c r="AF50" s="48" t="s">
        <v>141</v>
      </c>
      <c r="AG50" s="48" t="s">
        <v>141</v>
      </c>
      <c r="AH50" s="48" t="s">
        <v>37</v>
      </c>
      <c r="AI50" s="48" t="s">
        <v>46</v>
      </c>
      <c r="AJ50" s="48" t="s">
        <v>56</v>
      </c>
      <c r="AK50" s="48" t="s">
        <v>45</v>
      </c>
      <c r="AL50" s="61">
        <v>18000</v>
      </c>
      <c r="AM50" s="48" t="s">
        <v>58</v>
      </c>
    </row>
    <row r="51" spans="1:39" s="55" customFormat="1" ht="15" customHeight="1" x14ac:dyDescent="0.35">
      <c r="A51" s="52" t="s">
        <v>83</v>
      </c>
      <c r="B51" s="48">
        <v>39060915</v>
      </c>
      <c r="C51" s="47" t="s">
        <v>68</v>
      </c>
      <c r="D51" s="56" t="s">
        <v>104</v>
      </c>
      <c r="E51" s="75" t="s">
        <v>151</v>
      </c>
      <c r="F51" s="48" t="s">
        <v>208</v>
      </c>
      <c r="G51" s="48" t="s">
        <v>153</v>
      </c>
      <c r="H51" s="48" t="s">
        <v>63</v>
      </c>
      <c r="I51" s="118">
        <v>42190</v>
      </c>
      <c r="J51" s="48">
        <v>1138</v>
      </c>
      <c r="K51" s="48">
        <v>5</v>
      </c>
      <c r="L51" s="48">
        <v>1230</v>
      </c>
      <c r="M51" s="48">
        <v>5</v>
      </c>
      <c r="N51" s="48">
        <v>1625</v>
      </c>
      <c r="O51" s="52" t="s">
        <v>53</v>
      </c>
      <c r="P51" s="48"/>
      <c r="Q51" s="48"/>
      <c r="R51" s="48"/>
      <c r="S51" s="48"/>
      <c r="T51" s="48"/>
      <c r="U51" s="48">
        <v>1</v>
      </c>
      <c r="V51" s="48">
        <v>3</v>
      </c>
      <c r="W51" s="48">
        <v>2</v>
      </c>
      <c r="X51" s="48"/>
      <c r="Y51" s="48"/>
      <c r="Z51" s="48">
        <v>1</v>
      </c>
      <c r="AA51" s="48">
        <v>3</v>
      </c>
      <c r="AB51" s="48">
        <v>2</v>
      </c>
      <c r="AC51" s="48"/>
      <c r="AD51" s="48"/>
      <c r="AE51" s="48">
        <v>6</v>
      </c>
      <c r="AF51" s="48" t="s">
        <v>110</v>
      </c>
      <c r="AG51" s="48" t="s">
        <v>119</v>
      </c>
      <c r="AH51" s="48" t="s">
        <v>37</v>
      </c>
      <c r="AI51" s="48" t="s">
        <v>39</v>
      </c>
      <c r="AJ51" s="48" t="s">
        <v>54</v>
      </c>
      <c r="AK51" s="48" t="s">
        <v>55</v>
      </c>
      <c r="AL51" s="61">
        <v>32300</v>
      </c>
      <c r="AM51" s="48"/>
    </row>
    <row r="52" spans="1:39" s="55" customFormat="1" ht="15" customHeight="1" x14ac:dyDescent="0.35">
      <c r="A52" s="52" t="s">
        <v>64</v>
      </c>
      <c r="B52" s="48">
        <v>40063115</v>
      </c>
      <c r="C52" s="52" t="s">
        <v>70</v>
      </c>
      <c r="D52" s="52" t="s">
        <v>72</v>
      </c>
      <c r="E52" s="75" t="s">
        <v>209</v>
      </c>
      <c r="F52" s="48" t="s">
        <v>210</v>
      </c>
      <c r="G52" s="48" t="s">
        <v>211</v>
      </c>
      <c r="H52" s="48" t="s">
        <v>63</v>
      </c>
      <c r="I52" s="118">
        <v>42190</v>
      </c>
      <c r="J52" s="48">
        <v>1230</v>
      </c>
      <c r="K52" s="48">
        <v>5</v>
      </c>
      <c r="L52" s="48">
        <v>1250</v>
      </c>
      <c r="M52" s="48">
        <v>5</v>
      </c>
      <c r="N52" s="48">
        <v>2030</v>
      </c>
      <c r="O52" s="52" t="s">
        <v>31</v>
      </c>
      <c r="P52" s="48"/>
      <c r="Q52" s="48"/>
      <c r="R52" s="48"/>
      <c r="S52" s="48"/>
      <c r="T52" s="48"/>
      <c r="U52" s="48"/>
      <c r="V52" s="48"/>
      <c r="W52" s="48">
        <v>7</v>
      </c>
      <c r="X52" s="48"/>
      <c r="Y52" s="48">
        <v>1</v>
      </c>
      <c r="Z52" s="48"/>
      <c r="AA52" s="48"/>
      <c r="AB52" s="48">
        <v>7</v>
      </c>
      <c r="AC52" s="48"/>
      <c r="AD52" s="48">
        <v>1</v>
      </c>
      <c r="AE52" s="48">
        <v>8</v>
      </c>
      <c r="AF52" s="48" t="s">
        <v>141</v>
      </c>
      <c r="AG52" s="48" t="s">
        <v>141</v>
      </c>
      <c r="AH52" s="48" t="s">
        <v>37</v>
      </c>
      <c r="AI52" s="48" t="s">
        <v>46</v>
      </c>
      <c r="AJ52" s="48" t="s">
        <v>56</v>
      </c>
      <c r="AK52" s="48" t="s">
        <v>55</v>
      </c>
      <c r="AL52" s="61">
        <v>102100</v>
      </c>
      <c r="AM52" s="48"/>
    </row>
    <row r="53" spans="1:39" s="55" customFormat="1" ht="15" customHeight="1" x14ac:dyDescent="0.35">
      <c r="A53" s="52" t="s">
        <v>79</v>
      </c>
      <c r="B53" s="48">
        <v>41062415</v>
      </c>
      <c r="C53" s="52" t="s">
        <v>79</v>
      </c>
      <c r="D53" s="52" t="s">
        <v>79</v>
      </c>
      <c r="E53" s="75" t="s">
        <v>212</v>
      </c>
      <c r="F53" s="48" t="s">
        <v>213</v>
      </c>
      <c r="G53" s="48" t="s">
        <v>214</v>
      </c>
      <c r="H53" s="48" t="s">
        <v>63</v>
      </c>
      <c r="I53" s="118">
        <v>42192</v>
      </c>
      <c r="J53" s="48">
        <v>1340</v>
      </c>
      <c r="K53" s="48">
        <v>7</v>
      </c>
      <c r="L53" s="48">
        <v>1345</v>
      </c>
      <c r="M53" s="48">
        <v>7</v>
      </c>
      <c r="N53" s="48">
        <v>1440</v>
      </c>
      <c r="O53" s="52" t="s">
        <v>31</v>
      </c>
      <c r="P53" s="48"/>
      <c r="Q53" s="48"/>
      <c r="R53" s="48"/>
      <c r="S53" s="48"/>
      <c r="T53" s="48"/>
      <c r="U53" s="48"/>
      <c r="V53" s="48"/>
      <c r="W53" s="48">
        <v>0.5</v>
      </c>
      <c r="X53" s="48"/>
      <c r="Y53" s="48"/>
      <c r="Z53" s="48"/>
      <c r="AA53" s="48"/>
      <c r="AB53" s="48">
        <v>0.5</v>
      </c>
      <c r="AC53" s="48"/>
      <c r="AD53" s="48"/>
      <c r="AE53" s="48">
        <v>0.5</v>
      </c>
      <c r="AF53" s="48" t="s">
        <v>141</v>
      </c>
      <c r="AG53" s="48" t="s">
        <v>141</v>
      </c>
      <c r="AH53" s="48" t="s">
        <v>37</v>
      </c>
      <c r="AI53" s="48" t="s">
        <v>39</v>
      </c>
      <c r="AJ53" s="49" t="s">
        <v>54</v>
      </c>
      <c r="AK53" s="48" t="s">
        <v>57</v>
      </c>
      <c r="AL53" s="61">
        <v>150</v>
      </c>
      <c r="AM53" s="48"/>
    </row>
    <row r="54" spans="1:39" s="55" customFormat="1" ht="15" customHeight="1" x14ac:dyDescent="0.35">
      <c r="A54" s="52" t="s">
        <v>81</v>
      </c>
      <c r="B54" s="48">
        <v>42063415</v>
      </c>
      <c r="C54" s="53" t="s">
        <v>66</v>
      </c>
      <c r="D54" s="57" t="s">
        <v>66</v>
      </c>
      <c r="E54" s="75" t="s">
        <v>215</v>
      </c>
      <c r="F54" s="48" t="s">
        <v>216</v>
      </c>
      <c r="G54" s="48" t="s">
        <v>217</v>
      </c>
      <c r="H54" s="48" t="s">
        <v>63</v>
      </c>
      <c r="I54" s="118">
        <v>42192</v>
      </c>
      <c r="J54" s="48">
        <v>1430</v>
      </c>
      <c r="K54" s="48">
        <v>7</v>
      </c>
      <c r="L54" s="48">
        <v>1500</v>
      </c>
      <c r="M54" s="48">
        <v>7</v>
      </c>
      <c r="N54" s="48">
        <v>1945</v>
      </c>
      <c r="O54" s="52" t="s">
        <v>31</v>
      </c>
      <c r="P54" s="48"/>
      <c r="Q54" s="48"/>
      <c r="R54" s="48"/>
      <c r="S54" s="48"/>
      <c r="T54" s="48"/>
      <c r="U54" s="48"/>
      <c r="V54" s="48"/>
      <c r="W54" s="48">
        <v>7</v>
      </c>
      <c r="X54" s="48"/>
      <c r="Y54" s="48">
        <v>3</v>
      </c>
      <c r="Z54" s="48"/>
      <c r="AA54" s="48"/>
      <c r="AB54" s="48">
        <v>7</v>
      </c>
      <c r="AC54" s="48"/>
      <c r="AD54" s="48">
        <v>3</v>
      </c>
      <c r="AE54" s="48">
        <v>10</v>
      </c>
      <c r="AF54" s="48" t="s">
        <v>110</v>
      </c>
      <c r="AG54" s="48" t="s">
        <v>119</v>
      </c>
      <c r="AH54" s="48" t="s">
        <v>37</v>
      </c>
      <c r="AI54" s="48" t="s">
        <v>46</v>
      </c>
      <c r="AJ54" s="48" t="s">
        <v>56</v>
      </c>
      <c r="AK54" s="48" t="s">
        <v>55</v>
      </c>
      <c r="AL54" s="61">
        <v>280000</v>
      </c>
      <c r="AM54" s="48"/>
    </row>
    <row r="55" spans="1:39" s="55" customFormat="1" ht="15" customHeight="1" x14ac:dyDescent="0.35">
      <c r="A55" s="52" t="s">
        <v>95</v>
      </c>
      <c r="B55" s="48">
        <v>43061515</v>
      </c>
      <c r="C55" s="52" t="s">
        <v>95</v>
      </c>
      <c r="D55" s="52" t="s">
        <v>91</v>
      </c>
      <c r="E55" s="75" t="s">
        <v>218</v>
      </c>
      <c r="F55" s="48" t="s">
        <v>92</v>
      </c>
      <c r="G55" s="48" t="s">
        <v>219</v>
      </c>
      <c r="H55" s="48" t="s">
        <v>63</v>
      </c>
      <c r="I55" s="118">
        <v>42193</v>
      </c>
      <c r="J55" s="48">
        <v>1730</v>
      </c>
      <c r="K55" s="48">
        <v>8</v>
      </c>
      <c r="L55" s="48">
        <v>1800</v>
      </c>
      <c r="M55" s="48">
        <v>8</v>
      </c>
      <c r="N55" s="48">
        <v>1915</v>
      </c>
      <c r="O55" s="52" t="s">
        <v>41</v>
      </c>
      <c r="P55" s="48"/>
      <c r="Q55" s="48"/>
      <c r="R55" s="48"/>
      <c r="S55" s="48"/>
      <c r="T55" s="48"/>
      <c r="U55" s="48"/>
      <c r="V55" s="48">
        <v>0.5</v>
      </c>
      <c r="W55" s="48"/>
      <c r="X55" s="48"/>
      <c r="Y55" s="48">
        <v>0.5</v>
      </c>
      <c r="Z55" s="48"/>
      <c r="AA55" s="48">
        <v>0.5</v>
      </c>
      <c r="AB55" s="48"/>
      <c r="AC55" s="48"/>
      <c r="AD55" s="48">
        <v>0.5</v>
      </c>
      <c r="AE55" s="48">
        <v>1</v>
      </c>
      <c r="AF55" s="48" t="s">
        <v>114</v>
      </c>
      <c r="AG55" s="48" t="s">
        <v>126</v>
      </c>
      <c r="AH55" s="48" t="s">
        <v>37</v>
      </c>
      <c r="AI55" s="48" t="s">
        <v>46</v>
      </c>
      <c r="AJ55" s="48" t="s">
        <v>220</v>
      </c>
      <c r="AK55" s="48" t="s">
        <v>57</v>
      </c>
      <c r="AL55" s="61">
        <v>61500</v>
      </c>
      <c r="AM55" s="48"/>
    </row>
    <row r="56" spans="1:39" s="55" customFormat="1" ht="15" customHeight="1" x14ac:dyDescent="0.35">
      <c r="A56" s="52" t="s">
        <v>83</v>
      </c>
      <c r="B56" s="48">
        <v>44061415</v>
      </c>
      <c r="C56" s="52" t="s">
        <v>93</v>
      </c>
      <c r="D56" s="52" t="s">
        <v>94</v>
      </c>
      <c r="E56" s="75" t="s">
        <v>221</v>
      </c>
      <c r="F56" s="48" t="s">
        <v>222</v>
      </c>
      <c r="G56" s="48" t="s">
        <v>223</v>
      </c>
      <c r="H56" s="48" t="s">
        <v>63</v>
      </c>
      <c r="I56" s="118">
        <v>42198</v>
      </c>
      <c r="J56" s="48">
        <v>1220</v>
      </c>
      <c r="K56" s="48">
        <v>13</v>
      </c>
      <c r="L56" s="48">
        <v>1310</v>
      </c>
      <c r="M56" s="48">
        <v>13</v>
      </c>
      <c r="N56" s="48">
        <v>1700</v>
      </c>
      <c r="O56" s="52" t="s">
        <v>31</v>
      </c>
      <c r="P56" s="48"/>
      <c r="Q56" s="48"/>
      <c r="R56" s="48"/>
      <c r="S56" s="48"/>
      <c r="T56" s="48"/>
      <c r="U56" s="48"/>
      <c r="V56" s="48"/>
      <c r="W56" s="48">
        <v>6</v>
      </c>
      <c r="X56" s="48"/>
      <c r="Y56" s="48"/>
      <c r="Z56" s="48"/>
      <c r="AA56" s="48"/>
      <c r="AB56" s="48">
        <v>6</v>
      </c>
      <c r="AC56" s="48"/>
      <c r="AD56" s="48"/>
      <c r="AE56" s="48">
        <v>6</v>
      </c>
      <c r="AF56" s="48" t="s">
        <v>114</v>
      </c>
      <c r="AG56" s="48" t="s">
        <v>126</v>
      </c>
      <c r="AH56" s="48" t="s">
        <v>37</v>
      </c>
      <c r="AI56" s="48" t="s">
        <v>38</v>
      </c>
      <c r="AJ56" s="48" t="s">
        <v>54</v>
      </c>
      <c r="AK56" s="48" t="s">
        <v>55</v>
      </c>
      <c r="AL56" s="61">
        <v>1800</v>
      </c>
      <c r="AM56" s="48"/>
    </row>
    <row r="57" spans="1:39" s="55" customFormat="1" ht="15" customHeight="1" x14ac:dyDescent="0.35">
      <c r="A57" s="52" t="s">
        <v>83</v>
      </c>
      <c r="B57" s="48">
        <v>45064215</v>
      </c>
      <c r="C57" s="52" t="s">
        <v>83</v>
      </c>
      <c r="D57" s="57" t="s">
        <v>84</v>
      </c>
      <c r="E57" s="75" t="s">
        <v>100</v>
      </c>
      <c r="F57" s="48" t="s">
        <v>182</v>
      </c>
      <c r="G57" s="48" t="s">
        <v>224</v>
      </c>
      <c r="H57" s="48" t="s">
        <v>63</v>
      </c>
      <c r="I57" s="118">
        <v>42198</v>
      </c>
      <c r="J57" s="48">
        <v>1700</v>
      </c>
      <c r="K57" s="48">
        <v>13</v>
      </c>
      <c r="L57" s="48">
        <v>1745</v>
      </c>
      <c r="M57" s="48">
        <v>13</v>
      </c>
      <c r="N57" s="48">
        <v>2245</v>
      </c>
      <c r="O57" s="52" t="s">
        <v>31</v>
      </c>
      <c r="P57" s="48"/>
      <c r="Q57" s="48"/>
      <c r="R57" s="48"/>
      <c r="S57" s="48"/>
      <c r="T57" s="48"/>
      <c r="U57" s="48"/>
      <c r="V57" s="48"/>
      <c r="W57" s="48">
        <v>4</v>
      </c>
      <c r="X57" s="48"/>
      <c r="Y57" s="48"/>
      <c r="Z57" s="48"/>
      <c r="AA57" s="48"/>
      <c r="AB57" s="48">
        <v>4</v>
      </c>
      <c r="AC57" s="48"/>
      <c r="AD57" s="48"/>
      <c r="AE57" s="48">
        <v>4</v>
      </c>
      <c r="AF57" s="48" t="s">
        <v>114</v>
      </c>
      <c r="AG57" s="48" t="s">
        <v>115</v>
      </c>
      <c r="AH57" s="48" t="s">
        <v>37</v>
      </c>
      <c r="AI57" s="48" t="s">
        <v>38</v>
      </c>
      <c r="AJ57" s="48" t="s">
        <v>54</v>
      </c>
      <c r="AK57" s="48" t="s">
        <v>55</v>
      </c>
      <c r="AL57" s="61">
        <v>1200</v>
      </c>
      <c r="AM57" s="48"/>
    </row>
    <row r="58" spans="1:39" s="55" customFormat="1" ht="15" customHeight="1" x14ac:dyDescent="0.35">
      <c r="A58" s="52" t="s">
        <v>83</v>
      </c>
      <c r="B58" s="48">
        <v>46062915</v>
      </c>
      <c r="C58" s="52" t="s">
        <v>83</v>
      </c>
      <c r="D58" s="52" t="s">
        <v>83</v>
      </c>
      <c r="E58" s="75" t="s">
        <v>73</v>
      </c>
      <c r="F58" s="48" t="s">
        <v>225</v>
      </c>
      <c r="G58" s="48" t="s">
        <v>226</v>
      </c>
      <c r="H58" s="48" t="s">
        <v>63</v>
      </c>
      <c r="I58" s="118">
        <v>42200</v>
      </c>
      <c r="J58" s="48">
        <v>1645</v>
      </c>
      <c r="K58" s="48">
        <v>15</v>
      </c>
      <c r="L58" s="48">
        <v>1700</v>
      </c>
      <c r="M58" s="48">
        <v>15</v>
      </c>
      <c r="N58" s="48">
        <v>1800</v>
      </c>
      <c r="O58" s="52" t="s">
        <v>31</v>
      </c>
      <c r="P58" s="48"/>
      <c r="Q58" s="48"/>
      <c r="R58" s="48"/>
      <c r="S58" s="48"/>
      <c r="T58" s="48"/>
      <c r="U58" s="48"/>
      <c r="V58" s="48"/>
      <c r="W58" s="48">
        <v>0.2</v>
      </c>
      <c r="X58" s="48"/>
      <c r="Y58" s="48"/>
      <c r="Z58" s="48"/>
      <c r="AA58" s="48"/>
      <c r="AB58" s="48">
        <v>0.2</v>
      </c>
      <c r="AC58" s="48"/>
      <c r="AD58" s="48"/>
      <c r="AE58" s="48">
        <v>0.2</v>
      </c>
      <c r="AF58" s="48" t="s">
        <v>110</v>
      </c>
      <c r="AG58" s="48" t="s">
        <v>119</v>
      </c>
      <c r="AH58" s="48" t="s">
        <v>37</v>
      </c>
      <c r="AI58" s="48" t="s">
        <v>39</v>
      </c>
      <c r="AJ58" s="48" t="s">
        <v>54</v>
      </c>
      <c r="AK58" s="48" t="s">
        <v>57</v>
      </c>
      <c r="AL58" s="61">
        <v>60</v>
      </c>
      <c r="AM58" s="48"/>
    </row>
    <row r="59" spans="1:39" s="55" customFormat="1" ht="15" customHeight="1" x14ac:dyDescent="0.35">
      <c r="A59" s="52" t="s">
        <v>64</v>
      </c>
      <c r="B59" s="48">
        <v>47063115</v>
      </c>
      <c r="C59" s="52" t="s">
        <v>70</v>
      </c>
      <c r="D59" s="52" t="s">
        <v>72</v>
      </c>
      <c r="E59" s="75" t="s">
        <v>292</v>
      </c>
      <c r="F59" s="48" t="s">
        <v>227</v>
      </c>
      <c r="G59" s="48" t="s">
        <v>228</v>
      </c>
      <c r="H59" s="48" t="s">
        <v>63</v>
      </c>
      <c r="I59" s="118">
        <v>42200</v>
      </c>
      <c r="J59" s="48">
        <v>1830</v>
      </c>
      <c r="K59" s="48">
        <v>15</v>
      </c>
      <c r="L59" s="48">
        <v>1850</v>
      </c>
      <c r="M59" s="48">
        <v>16</v>
      </c>
      <c r="N59" s="48">
        <v>400</v>
      </c>
      <c r="O59" s="52" t="s">
        <v>31</v>
      </c>
      <c r="P59" s="48"/>
      <c r="Q59" s="48"/>
      <c r="R59" s="48">
        <v>5</v>
      </c>
      <c r="S59" s="48"/>
      <c r="T59" s="48"/>
      <c r="U59" s="48"/>
      <c r="V59" s="48"/>
      <c r="W59" s="48"/>
      <c r="X59" s="48"/>
      <c r="Y59" s="48"/>
      <c r="Z59" s="48"/>
      <c r="AA59" s="48"/>
      <c r="AB59" s="48">
        <v>5</v>
      </c>
      <c r="AC59" s="48"/>
      <c r="AD59" s="48"/>
      <c r="AE59" s="48">
        <v>5</v>
      </c>
      <c r="AF59" s="48" t="s">
        <v>114</v>
      </c>
      <c r="AG59" s="48" t="s">
        <v>126</v>
      </c>
      <c r="AH59" s="48" t="s">
        <v>37</v>
      </c>
      <c r="AI59" s="48" t="s">
        <v>46</v>
      </c>
      <c r="AJ59" s="48" t="s">
        <v>54</v>
      </c>
      <c r="AK59" s="48" t="s">
        <v>55</v>
      </c>
      <c r="AL59" s="61">
        <v>1500</v>
      </c>
      <c r="AM59" s="48" t="s">
        <v>58</v>
      </c>
    </row>
    <row r="60" spans="1:39" s="55" customFormat="1" ht="15" customHeight="1" x14ac:dyDescent="0.35">
      <c r="A60" s="52" t="s">
        <v>95</v>
      </c>
      <c r="B60" s="48">
        <v>48061714</v>
      </c>
      <c r="C60" s="53" t="s">
        <v>85</v>
      </c>
      <c r="D60" s="57" t="s">
        <v>85</v>
      </c>
      <c r="E60" s="75" t="s">
        <v>288</v>
      </c>
      <c r="F60" s="48" t="s">
        <v>229</v>
      </c>
      <c r="G60" s="48" t="s">
        <v>230</v>
      </c>
      <c r="H60" s="48" t="s">
        <v>63</v>
      </c>
      <c r="I60" s="118">
        <v>42201</v>
      </c>
      <c r="J60" s="48">
        <v>1550</v>
      </c>
      <c r="K60" s="48">
        <v>16</v>
      </c>
      <c r="L60" s="48">
        <v>1615</v>
      </c>
      <c r="M60" s="48">
        <v>16</v>
      </c>
      <c r="N60" s="48">
        <v>1724</v>
      </c>
      <c r="O60" s="52" t="s">
        <v>48</v>
      </c>
      <c r="P60" s="48"/>
      <c r="Q60" s="48"/>
      <c r="R60" s="48"/>
      <c r="S60" s="48"/>
      <c r="T60" s="48"/>
      <c r="U60" s="48">
        <v>1</v>
      </c>
      <c r="V60" s="48"/>
      <c r="W60" s="48"/>
      <c r="X60" s="48"/>
      <c r="Y60" s="48">
        <v>0.5</v>
      </c>
      <c r="Z60" s="48">
        <v>1</v>
      </c>
      <c r="AA60" s="48"/>
      <c r="AB60" s="48"/>
      <c r="AC60" s="48"/>
      <c r="AD60" s="48">
        <v>0.5</v>
      </c>
      <c r="AE60" s="48">
        <v>1.5</v>
      </c>
      <c r="AF60" s="48" t="s">
        <v>114</v>
      </c>
      <c r="AG60" s="48" t="s">
        <v>115</v>
      </c>
      <c r="AH60" s="48" t="s">
        <v>37</v>
      </c>
      <c r="AI60" s="48" t="s">
        <v>46</v>
      </c>
      <c r="AJ60" s="48" t="s">
        <v>220</v>
      </c>
      <c r="AK60" s="48" t="s">
        <v>55</v>
      </c>
      <c r="AL60" s="61">
        <v>91040</v>
      </c>
      <c r="AM60" s="48"/>
    </row>
    <row r="61" spans="1:39" s="55" customFormat="1" ht="15" customHeight="1" x14ac:dyDescent="0.35">
      <c r="A61" s="52" t="s">
        <v>64</v>
      </c>
      <c r="B61" s="48">
        <v>49063115</v>
      </c>
      <c r="C61" s="52" t="s">
        <v>70</v>
      </c>
      <c r="D61" s="52" t="s">
        <v>72</v>
      </c>
      <c r="E61" s="75" t="s">
        <v>292</v>
      </c>
      <c r="F61" s="48" t="s">
        <v>210</v>
      </c>
      <c r="G61" s="48" t="s">
        <v>231</v>
      </c>
      <c r="H61" s="48" t="s">
        <v>63</v>
      </c>
      <c r="I61" s="118">
        <v>42202</v>
      </c>
      <c r="J61" s="48">
        <v>2030</v>
      </c>
      <c r="K61" s="48">
        <v>17</v>
      </c>
      <c r="L61" s="48">
        <v>2050</v>
      </c>
      <c r="M61" s="48">
        <v>18</v>
      </c>
      <c r="N61" s="48">
        <v>740</v>
      </c>
      <c r="O61" s="52" t="s">
        <v>31</v>
      </c>
      <c r="P61" s="48"/>
      <c r="Q61" s="48"/>
      <c r="R61" s="48">
        <v>8</v>
      </c>
      <c r="S61" s="48"/>
      <c r="T61" s="48"/>
      <c r="U61" s="48"/>
      <c r="V61" s="48"/>
      <c r="W61" s="48"/>
      <c r="X61" s="48"/>
      <c r="Y61" s="48"/>
      <c r="Z61" s="48"/>
      <c r="AA61" s="48"/>
      <c r="AB61" s="48">
        <v>8</v>
      </c>
      <c r="AC61" s="48"/>
      <c r="AD61" s="48"/>
      <c r="AE61" s="48">
        <v>8</v>
      </c>
      <c r="AF61" s="48" t="s">
        <v>114</v>
      </c>
      <c r="AG61" s="48" t="s">
        <v>126</v>
      </c>
      <c r="AH61" s="48" t="s">
        <v>37</v>
      </c>
      <c r="AI61" s="48" t="s">
        <v>46</v>
      </c>
      <c r="AJ61" s="48" t="s">
        <v>56</v>
      </c>
      <c r="AK61" s="48" t="s">
        <v>45</v>
      </c>
      <c r="AL61" s="61">
        <v>2400</v>
      </c>
      <c r="AM61" s="48" t="s">
        <v>58</v>
      </c>
    </row>
    <row r="62" spans="1:39" s="55" customFormat="1" ht="15" customHeight="1" x14ac:dyDescent="0.35">
      <c r="A62" s="52" t="s">
        <v>81</v>
      </c>
      <c r="B62" s="48">
        <v>50063415</v>
      </c>
      <c r="C62" s="53" t="s">
        <v>66</v>
      </c>
      <c r="D62" s="57" t="s">
        <v>66</v>
      </c>
      <c r="E62" s="75" t="s">
        <v>232</v>
      </c>
      <c r="F62" s="48" t="s">
        <v>233</v>
      </c>
      <c r="G62" s="48" t="s">
        <v>234</v>
      </c>
      <c r="H62" s="48" t="s">
        <v>63</v>
      </c>
      <c r="I62" s="118">
        <v>42207</v>
      </c>
      <c r="J62" s="48">
        <v>900</v>
      </c>
      <c r="K62" s="48">
        <v>22</v>
      </c>
      <c r="L62" s="48">
        <v>1010</v>
      </c>
      <c r="M62" s="48">
        <v>22</v>
      </c>
      <c r="N62" s="48">
        <v>1100</v>
      </c>
      <c r="O62" s="52" t="s">
        <v>48</v>
      </c>
      <c r="P62" s="48"/>
      <c r="Q62" s="48"/>
      <c r="R62" s="48"/>
      <c r="S62" s="48"/>
      <c r="T62" s="48"/>
      <c r="U62" s="48">
        <v>0.5</v>
      </c>
      <c r="V62" s="48"/>
      <c r="W62" s="48"/>
      <c r="X62" s="48"/>
      <c r="Y62" s="48"/>
      <c r="Z62" s="48">
        <v>0.5</v>
      </c>
      <c r="AA62" s="48"/>
      <c r="AB62" s="48"/>
      <c r="AC62" s="48"/>
      <c r="AD62" s="48"/>
      <c r="AE62" s="48">
        <v>0.5</v>
      </c>
      <c r="AF62" s="48" t="s">
        <v>110</v>
      </c>
      <c r="AG62" s="48" t="s">
        <v>119</v>
      </c>
      <c r="AH62" s="48" t="s">
        <v>37</v>
      </c>
      <c r="AI62" s="48" t="s">
        <v>47</v>
      </c>
      <c r="AJ62" s="48" t="s">
        <v>54</v>
      </c>
      <c r="AK62" s="48" t="s">
        <v>57</v>
      </c>
      <c r="AL62" s="61">
        <v>10597.5</v>
      </c>
      <c r="AM62" s="48"/>
    </row>
    <row r="63" spans="1:39" s="55" customFormat="1" ht="15" customHeight="1" x14ac:dyDescent="0.35">
      <c r="A63" s="52" t="s">
        <v>81</v>
      </c>
      <c r="B63" s="48">
        <v>51061915</v>
      </c>
      <c r="C63" s="52" t="s">
        <v>81</v>
      </c>
      <c r="D63" s="52" t="s">
        <v>98</v>
      </c>
      <c r="E63" s="75" t="s">
        <v>87</v>
      </c>
      <c r="F63" s="48" t="s">
        <v>235</v>
      </c>
      <c r="G63" s="48" t="s">
        <v>236</v>
      </c>
      <c r="H63" s="48" t="s">
        <v>63</v>
      </c>
      <c r="I63" s="118">
        <v>42207</v>
      </c>
      <c r="J63" s="48">
        <v>1330</v>
      </c>
      <c r="K63" s="48">
        <v>22</v>
      </c>
      <c r="L63" s="48">
        <v>1415</v>
      </c>
      <c r="M63" s="48">
        <v>22</v>
      </c>
      <c r="N63" s="48">
        <v>2000</v>
      </c>
      <c r="O63" s="52" t="s">
        <v>237</v>
      </c>
      <c r="P63" s="48">
        <v>15</v>
      </c>
      <c r="Q63" s="48"/>
      <c r="R63" s="48"/>
      <c r="S63" s="48"/>
      <c r="T63" s="48"/>
      <c r="U63" s="48"/>
      <c r="V63" s="48"/>
      <c r="W63" s="48"/>
      <c r="X63" s="48"/>
      <c r="Y63" s="48"/>
      <c r="Z63" s="48">
        <v>15</v>
      </c>
      <c r="AA63" s="48"/>
      <c r="AB63" s="48"/>
      <c r="AC63" s="48"/>
      <c r="AD63" s="48"/>
      <c r="AE63" s="48">
        <v>15</v>
      </c>
      <c r="AF63" s="48" t="s">
        <v>110</v>
      </c>
      <c r="AG63" s="48" t="s">
        <v>119</v>
      </c>
      <c r="AH63" s="48" t="s">
        <v>37</v>
      </c>
      <c r="AI63" s="48" t="s">
        <v>46</v>
      </c>
      <c r="AJ63" s="48" t="s">
        <v>54</v>
      </c>
      <c r="AK63" s="48" t="s">
        <v>57</v>
      </c>
      <c r="AL63" s="61">
        <v>145360</v>
      </c>
      <c r="AM63" s="48" t="s">
        <v>58</v>
      </c>
    </row>
    <row r="64" spans="1:39" s="55" customFormat="1" ht="15" customHeight="1" x14ac:dyDescent="0.35">
      <c r="A64" s="52" t="s">
        <v>81</v>
      </c>
      <c r="B64" s="48">
        <v>52064015</v>
      </c>
      <c r="C64" s="52" t="s">
        <v>81</v>
      </c>
      <c r="D64" s="52" t="s">
        <v>81</v>
      </c>
      <c r="E64" s="75" t="s">
        <v>87</v>
      </c>
      <c r="F64" s="48" t="s">
        <v>238</v>
      </c>
      <c r="G64" s="48" t="s">
        <v>239</v>
      </c>
      <c r="H64" s="48" t="s">
        <v>63</v>
      </c>
      <c r="I64" s="118">
        <v>42208</v>
      </c>
      <c r="J64" s="48">
        <v>1240</v>
      </c>
      <c r="K64" s="48">
        <v>23</v>
      </c>
      <c r="L64" s="48">
        <v>1250</v>
      </c>
      <c r="M64" s="48">
        <v>23</v>
      </c>
      <c r="N64" s="48">
        <v>1515</v>
      </c>
      <c r="O64" s="52" t="s">
        <v>44</v>
      </c>
      <c r="P64" s="48">
        <v>2</v>
      </c>
      <c r="Q64" s="48"/>
      <c r="R64" s="48"/>
      <c r="S64" s="48"/>
      <c r="T64" s="48"/>
      <c r="U64" s="48"/>
      <c r="V64" s="48"/>
      <c r="W64" s="48">
        <v>0.5</v>
      </c>
      <c r="X64" s="48"/>
      <c r="Y64" s="48"/>
      <c r="Z64" s="48">
        <v>2</v>
      </c>
      <c r="AA64" s="48"/>
      <c r="AB64" s="48">
        <v>0.5</v>
      </c>
      <c r="AC64" s="48"/>
      <c r="AD64" s="48"/>
      <c r="AE64" s="48">
        <v>2.5</v>
      </c>
      <c r="AF64" s="48" t="s">
        <v>110</v>
      </c>
      <c r="AG64" s="48" t="s">
        <v>119</v>
      </c>
      <c r="AH64" s="48" t="s">
        <v>37</v>
      </c>
      <c r="AI64" s="48" t="s">
        <v>38</v>
      </c>
      <c r="AJ64" s="48" t="s">
        <v>54</v>
      </c>
      <c r="AK64" s="48" t="s">
        <v>57</v>
      </c>
      <c r="AL64" s="61">
        <v>10150</v>
      </c>
      <c r="AM64" s="48" t="s">
        <v>58</v>
      </c>
    </row>
    <row r="65" spans="1:39" s="55" customFormat="1" ht="15" customHeight="1" x14ac:dyDescent="0.35">
      <c r="A65" s="47" t="s">
        <v>99</v>
      </c>
      <c r="B65" s="48">
        <v>53064815</v>
      </c>
      <c r="C65" s="52" t="s">
        <v>75</v>
      </c>
      <c r="D65" s="52" t="s">
        <v>82</v>
      </c>
      <c r="E65" s="75" t="s">
        <v>103</v>
      </c>
      <c r="F65" s="48" t="s">
        <v>240</v>
      </c>
      <c r="G65" s="48" t="s">
        <v>241</v>
      </c>
      <c r="H65" s="48" t="s">
        <v>63</v>
      </c>
      <c r="I65" s="118">
        <v>42208</v>
      </c>
      <c r="J65" s="48">
        <v>1300</v>
      </c>
      <c r="K65" s="48">
        <v>23</v>
      </c>
      <c r="L65" s="48">
        <v>1345</v>
      </c>
      <c r="M65" s="48">
        <v>23</v>
      </c>
      <c r="N65" s="48">
        <v>2120</v>
      </c>
      <c r="O65" s="52" t="s">
        <v>31</v>
      </c>
      <c r="P65" s="48"/>
      <c r="Q65" s="48"/>
      <c r="R65" s="48"/>
      <c r="S65" s="48"/>
      <c r="T65" s="48"/>
      <c r="U65" s="48"/>
      <c r="V65" s="48"/>
      <c r="W65" s="48">
        <v>3</v>
      </c>
      <c r="X65" s="48"/>
      <c r="Y65" s="48"/>
      <c r="Z65" s="48"/>
      <c r="AA65" s="48"/>
      <c r="AB65" s="48">
        <v>3</v>
      </c>
      <c r="AC65" s="48"/>
      <c r="AD65" s="48"/>
      <c r="AE65" s="48">
        <v>3</v>
      </c>
      <c r="AF65" s="48" t="s">
        <v>110</v>
      </c>
      <c r="AG65" s="48" t="s">
        <v>119</v>
      </c>
      <c r="AH65" s="48" t="s">
        <v>37</v>
      </c>
      <c r="AI65" s="48" t="s">
        <v>38</v>
      </c>
      <c r="AJ65" s="48" t="s">
        <v>54</v>
      </c>
      <c r="AK65" s="48" t="s">
        <v>57</v>
      </c>
      <c r="AL65" s="61">
        <v>900</v>
      </c>
      <c r="AM65" s="48"/>
    </row>
    <row r="66" spans="1:39" s="55" customFormat="1" ht="15" customHeight="1" x14ac:dyDescent="0.35">
      <c r="A66" s="47" t="s">
        <v>99</v>
      </c>
      <c r="B66" s="48">
        <v>54064815</v>
      </c>
      <c r="C66" s="52" t="s">
        <v>75</v>
      </c>
      <c r="D66" s="52" t="s">
        <v>82</v>
      </c>
      <c r="E66" s="75" t="s">
        <v>88</v>
      </c>
      <c r="F66" s="48" t="s">
        <v>242</v>
      </c>
      <c r="G66" s="48" t="s">
        <v>243</v>
      </c>
      <c r="H66" s="48" t="s">
        <v>63</v>
      </c>
      <c r="I66" s="118">
        <v>42208</v>
      </c>
      <c r="J66" s="48">
        <v>1510</v>
      </c>
      <c r="K66" s="48">
        <v>23</v>
      </c>
      <c r="L66" s="48">
        <v>1545</v>
      </c>
      <c r="M66" s="48">
        <v>23</v>
      </c>
      <c r="N66" s="48">
        <v>2100</v>
      </c>
      <c r="O66" s="52" t="s">
        <v>44</v>
      </c>
      <c r="P66" s="48">
        <v>0.5</v>
      </c>
      <c r="Q66" s="48"/>
      <c r="R66" s="48">
        <v>0.5</v>
      </c>
      <c r="S66" s="48"/>
      <c r="T66" s="48"/>
      <c r="U66" s="48"/>
      <c r="V66" s="48"/>
      <c r="W66" s="48"/>
      <c r="X66" s="48"/>
      <c r="Y66" s="48"/>
      <c r="Z66" s="48">
        <v>0.5</v>
      </c>
      <c r="AA66" s="48"/>
      <c r="AB66" s="48">
        <v>0.5</v>
      </c>
      <c r="AC66" s="48"/>
      <c r="AD66" s="48"/>
      <c r="AE66" s="48">
        <v>1</v>
      </c>
      <c r="AF66" s="48" t="s">
        <v>114</v>
      </c>
      <c r="AG66" s="48" t="s">
        <v>126</v>
      </c>
      <c r="AH66" s="48" t="s">
        <v>37</v>
      </c>
      <c r="AI66" s="48" t="s">
        <v>38</v>
      </c>
      <c r="AJ66" s="48" t="s">
        <v>54</v>
      </c>
      <c r="AK66" s="48" t="s">
        <v>57</v>
      </c>
      <c r="AL66" s="61">
        <v>60150</v>
      </c>
      <c r="AM66" s="48" t="s">
        <v>58</v>
      </c>
    </row>
    <row r="67" spans="1:39" s="55" customFormat="1" ht="15" customHeight="1" x14ac:dyDescent="0.35">
      <c r="A67" s="47" t="s">
        <v>99</v>
      </c>
      <c r="B67" s="48">
        <v>55064815</v>
      </c>
      <c r="C67" s="52" t="s">
        <v>75</v>
      </c>
      <c r="D67" s="52" t="s">
        <v>82</v>
      </c>
      <c r="E67" s="75" t="s">
        <v>88</v>
      </c>
      <c r="F67" s="48" t="s">
        <v>244</v>
      </c>
      <c r="G67" s="48" t="s">
        <v>245</v>
      </c>
      <c r="H67" s="48" t="s">
        <v>63</v>
      </c>
      <c r="I67" s="118">
        <v>42209</v>
      </c>
      <c r="J67" s="48">
        <v>1500</v>
      </c>
      <c r="K67" s="48">
        <v>24</v>
      </c>
      <c r="L67" s="48">
        <v>1600</v>
      </c>
      <c r="M67" s="48">
        <v>24</v>
      </c>
      <c r="N67" s="48">
        <v>1730</v>
      </c>
      <c r="O67" s="52" t="s">
        <v>31</v>
      </c>
      <c r="P67" s="48"/>
      <c r="Q67" s="48"/>
      <c r="R67" s="48">
        <v>2.5</v>
      </c>
      <c r="S67" s="48"/>
      <c r="T67" s="48"/>
      <c r="U67" s="48"/>
      <c r="V67" s="48"/>
      <c r="W67" s="48"/>
      <c r="X67" s="48"/>
      <c r="Y67" s="48">
        <v>0.5</v>
      </c>
      <c r="Z67" s="48"/>
      <c r="AA67" s="48"/>
      <c r="AB67" s="48">
        <v>2.5</v>
      </c>
      <c r="AC67" s="48"/>
      <c r="AD67" s="48">
        <v>0.5</v>
      </c>
      <c r="AE67" s="48">
        <v>3</v>
      </c>
      <c r="AF67" s="48" t="s">
        <v>114</v>
      </c>
      <c r="AG67" s="48" t="s">
        <v>126</v>
      </c>
      <c r="AH67" s="48" t="s">
        <v>37</v>
      </c>
      <c r="AI67" s="48" t="s">
        <v>40</v>
      </c>
      <c r="AJ67" s="48" t="s">
        <v>54</v>
      </c>
      <c r="AK67" s="48" t="s">
        <v>57</v>
      </c>
      <c r="AL67" s="61">
        <v>60750</v>
      </c>
      <c r="AM67" s="48" t="s">
        <v>58</v>
      </c>
    </row>
    <row r="68" spans="1:39" s="55" customFormat="1" ht="15" customHeight="1" x14ac:dyDescent="0.35">
      <c r="A68" s="52" t="s">
        <v>79</v>
      </c>
      <c r="B68" s="48">
        <v>56063515</v>
      </c>
      <c r="C68" s="52" t="s">
        <v>79</v>
      </c>
      <c r="D68" s="52" t="s">
        <v>80</v>
      </c>
      <c r="E68" s="75" t="s">
        <v>246</v>
      </c>
      <c r="F68" s="48" t="s">
        <v>247</v>
      </c>
      <c r="G68" s="48" t="s">
        <v>248</v>
      </c>
      <c r="H68" s="48" t="s">
        <v>63</v>
      </c>
      <c r="I68" s="118">
        <v>42209</v>
      </c>
      <c r="J68" s="48">
        <v>1830</v>
      </c>
      <c r="K68" s="48">
        <v>24</v>
      </c>
      <c r="L68" s="48">
        <v>1920</v>
      </c>
      <c r="M68" s="48">
        <v>24</v>
      </c>
      <c r="N68" s="48">
        <v>2100</v>
      </c>
      <c r="O68" s="52" t="s">
        <v>31</v>
      </c>
      <c r="P68" s="48"/>
      <c r="Q68" s="48"/>
      <c r="R68" s="48">
        <v>3</v>
      </c>
      <c r="S68" s="48"/>
      <c r="T68" s="48"/>
      <c r="U68" s="48"/>
      <c r="V68" s="48"/>
      <c r="W68" s="48"/>
      <c r="X68" s="48"/>
      <c r="Y68" s="48"/>
      <c r="Z68" s="48"/>
      <c r="AA68" s="48"/>
      <c r="AB68" s="48">
        <v>3</v>
      </c>
      <c r="AC68" s="48"/>
      <c r="AD68" s="48"/>
      <c r="AE68" s="48">
        <v>3</v>
      </c>
      <c r="AF68" s="48" t="s">
        <v>134</v>
      </c>
      <c r="AG68" s="48" t="s">
        <v>135</v>
      </c>
      <c r="AH68" s="48" t="s">
        <v>37</v>
      </c>
      <c r="AI68" s="48" t="s">
        <v>46</v>
      </c>
      <c r="AJ68" s="49" t="s">
        <v>54</v>
      </c>
      <c r="AK68" s="48" t="s">
        <v>45</v>
      </c>
      <c r="AL68" s="61">
        <v>900</v>
      </c>
      <c r="AM68" s="48"/>
    </row>
    <row r="69" spans="1:39" s="55" customFormat="1" ht="15" customHeight="1" x14ac:dyDescent="0.35">
      <c r="A69" s="47" t="s">
        <v>99</v>
      </c>
      <c r="B69" s="48">
        <v>57061115</v>
      </c>
      <c r="C69" s="52" t="s">
        <v>75</v>
      </c>
      <c r="D69" s="52" t="s">
        <v>75</v>
      </c>
      <c r="E69" s="75" t="s">
        <v>76</v>
      </c>
      <c r="F69" s="48" t="s">
        <v>249</v>
      </c>
      <c r="G69" s="48" t="s">
        <v>250</v>
      </c>
      <c r="H69" s="48" t="s">
        <v>63</v>
      </c>
      <c r="I69" s="118">
        <v>42213</v>
      </c>
      <c r="J69" s="48">
        <v>1344</v>
      </c>
      <c r="K69" s="48">
        <v>28</v>
      </c>
      <c r="L69" s="48">
        <v>1421</v>
      </c>
      <c r="M69" s="48">
        <v>28</v>
      </c>
      <c r="N69" s="48">
        <v>1620</v>
      </c>
      <c r="O69" s="52" t="s">
        <v>31</v>
      </c>
      <c r="P69" s="48"/>
      <c r="Q69" s="48"/>
      <c r="R69" s="48">
        <v>0.5</v>
      </c>
      <c r="S69" s="48"/>
      <c r="T69" s="48"/>
      <c r="U69" s="48"/>
      <c r="V69" s="48"/>
      <c r="W69" s="48"/>
      <c r="X69" s="48"/>
      <c r="Y69" s="48"/>
      <c r="Z69" s="48"/>
      <c r="AA69" s="48"/>
      <c r="AB69" s="48">
        <v>0.5</v>
      </c>
      <c r="AC69" s="48"/>
      <c r="AD69" s="48"/>
      <c r="AE69" s="48">
        <v>0.5</v>
      </c>
      <c r="AF69" s="48" t="s">
        <v>110</v>
      </c>
      <c r="AG69" s="48" t="s">
        <v>119</v>
      </c>
      <c r="AH69" s="48" t="s">
        <v>37</v>
      </c>
      <c r="AI69" s="48" t="s">
        <v>38</v>
      </c>
      <c r="AJ69" s="48" t="s">
        <v>54</v>
      </c>
      <c r="AK69" s="48" t="s">
        <v>57</v>
      </c>
      <c r="AL69" s="61">
        <v>150</v>
      </c>
      <c r="AM69" s="48" t="s">
        <v>58</v>
      </c>
    </row>
    <row r="70" spans="1:39" s="55" customFormat="1" ht="15" customHeight="1" x14ac:dyDescent="0.35">
      <c r="A70" s="52" t="s">
        <v>81</v>
      </c>
      <c r="B70" s="48">
        <v>58064015</v>
      </c>
      <c r="C70" s="52" t="s">
        <v>81</v>
      </c>
      <c r="D70" s="52" t="s">
        <v>81</v>
      </c>
      <c r="E70" s="75" t="s">
        <v>293</v>
      </c>
      <c r="F70" s="48" t="s">
        <v>251</v>
      </c>
      <c r="G70" s="48" t="s">
        <v>252</v>
      </c>
      <c r="H70" s="48" t="s">
        <v>63</v>
      </c>
      <c r="I70" s="118">
        <v>42214</v>
      </c>
      <c r="J70" s="48">
        <v>1250</v>
      </c>
      <c r="K70" s="48">
        <v>29</v>
      </c>
      <c r="L70" s="48">
        <v>1350</v>
      </c>
      <c r="M70" s="48">
        <v>29</v>
      </c>
      <c r="N70" s="48">
        <v>1550</v>
      </c>
      <c r="O70" s="52" t="s">
        <v>42</v>
      </c>
      <c r="P70" s="48"/>
      <c r="Q70" s="48">
        <v>0.5</v>
      </c>
      <c r="R70" s="48"/>
      <c r="S70" s="48"/>
      <c r="T70" s="48"/>
      <c r="U70" s="48"/>
      <c r="V70" s="48"/>
      <c r="W70" s="48">
        <v>1.5</v>
      </c>
      <c r="X70" s="48"/>
      <c r="Y70" s="48">
        <v>0.5</v>
      </c>
      <c r="Z70" s="48"/>
      <c r="AA70" s="48">
        <v>0.5</v>
      </c>
      <c r="AB70" s="48">
        <v>1.5</v>
      </c>
      <c r="AC70" s="48"/>
      <c r="AD70" s="48">
        <v>0.5</v>
      </c>
      <c r="AE70" s="48">
        <v>2.5</v>
      </c>
      <c r="AF70" s="48" t="s">
        <v>110</v>
      </c>
      <c r="AG70" s="48" t="s">
        <v>119</v>
      </c>
      <c r="AH70" s="48" t="s">
        <v>37</v>
      </c>
      <c r="AI70" s="48" t="s">
        <v>47</v>
      </c>
      <c r="AJ70" s="48" t="s">
        <v>56</v>
      </c>
      <c r="AK70" s="48" t="s">
        <v>57</v>
      </c>
      <c r="AL70" s="61">
        <v>10150</v>
      </c>
      <c r="AM70" s="48" t="s">
        <v>58</v>
      </c>
    </row>
    <row r="71" spans="1:39" s="55" customFormat="1" ht="15" customHeight="1" x14ac:dyDescent="0.35">
      <c r="A71" s="47" t="s">
        <v>99</v>
      </c>
      <c r="B71" s="48">
        <v>59065115</v>
      </c>
      <c r="C71" s="47" t="s">
        <v>99</v>
      </c>
      <c r="D71" s="56" t="s">
        <v>101</v>
      </c>
      <c r="E71" s="75" t="s">
        <v>253</v>
      </c>
      <c r="F71" s="48" t="s">
        <v>254</v>
      </c>
      <c r="G71" s="48" t="s">
        <v>255</v>
      </c>
      <c r="H71" s="48" t="s">
        <v>63</v>
      </c>
      <c r="I71" s="118">
        <v>42215</v>
      </c>
      <c r="J71" s="48">
        <v>1215</v>
      </c>
      <c r="K71" s="48">
        <v>30</v>
      </c>
      <c r="L71" s="48">
        <v>1310</v>
      </c>
      <c r="M71" s="48">
        <v>30</v>
      </c>
      <c r="N71" s="48">
        <v>1420</v>
      </c>
      <c r="O71" s="52" t="s">
        <v>31</v>
      </c>
      <c r="P71" s="48"/>
      <c r="Q71" s="48"/>
      <c r="R71" s="48"/>
      <c r="S71" s="48"/>
      <c r="T71" s="48"/>
      <c r="U71" s="48"/>
      <c r="V71" s="48"/>
      <c r="W71" s="48">
        <v>0.5</v>
      </c>
      <c r="X71" s="48"/>
      <c r="Y71" s="48">
        <v>0.5</v>
      </c>
      <c r="Z71" s="48"/>
      <c r="AA71" s="48"/>
      <c r="AB71" s="48">
        <v>0.5</v>
      </c>
      <c r="AC71" s="48"/>
      <c r="AD71" s="48">
        <v>0.5</v>
      </c>
      <c r="AE71" s="48">
        <v>1</v>
      </c>
      <c r="AF71" s="48" t="s">
        <v>110</v>
      </c>
      <c r="AG71" s="48" t="s">
        <v>119</v>
      </c>
      <c r="AH71" s="48" t="s">
        <v>37</v>
      </c>
      <c r="AI71" s="48" t="s">
        <v>39</v>
      </c>
      <c r="AJ71" s="48" t="s">
        <v>54</v>
      </c>
      <c r="AK71" s="48" t="s">
        <v>57</v>
      </c>
      <c r="AL71" s="61">
        <v>60150</v>
      </c>
      <c r="AM71" s="48"/>
    </row>
    <row r="72" spans="1:39" s="55" customFormat="1" ht="15" customHeight="1" x14ac:dyDescent="0.35">
      <c r="A72" s="52" t="s">
        <v>64</v>
      </c>
      <c r="B72" s="48">
        <v>60063115</v>
      </c>
      <c r="C72" s="52" t="s">
        <v>70</v>
      </c>
      <c r="D72" s="52" t="s">
        <v>72</v>
      </c>
      <c r="E72" s="75" t="s">
        <v>292</v>
      </c>
      <c r="F72" s="48" t="s">
        <v>256</v>
      </c>
      <c r="G72" s="48" t="s">
        <v>257</v>
      </c>
      <c r="H72" s="48" t="s">
        <v>63</v>
      </c>
      <c r="I72" s="118">
        <v>42215</v>
      </c>
      <c r="J72" s="48">
        <v>1300</v>
      </c>
      <c r="K72" s="48">
        <v>30</v>
      </c>
      <c r="L72" s="48">
        <v>1325</v>
      </c>
      <c r="M72" s="48">
        <v>30</v>
      </c>
      <c r="N72" s="48">
        <v>2230</v>
      </c>
      <c r="O72" s="52" t="s">
        <v>36</v>
      </c>
      <c r="P72" s="48">
        <v>1</v>
      </c>
      <c r="Q72" s="48"/>
      <c r="R72" s="48">
        <v>6</v>
      </c>
      <c r="S72" s="48"/>
      <c r="T72" s="48"/>
      <c r="U72" s="48"/>
      <c r="V72" s="48"/>
      <c r="W72" s="48"/>
      <c r="X72" s="48"/>
      <c r="Y72" s="48">
        <v>1</v>
      </c>
      <c r="Z72" s="48">
        <v>1</v>
      </c>
      <c r="AA72" s="48"/>
      <c r="AB72" s="48">
        <v>6</v>
      </c>
      <c r="AC72" s="48"/>
      <c r="AD72" s="48">
        <v>1</v>
      </c>
      <c r="AE72" s="48">
        <v>8</v>
      </c>
      <c r="AF72" s="48" t="s">
        <v>141</v>
      </c>
      <c r="AG72" s="48" t="s">
        <v>141</v>
      </c>
      <c r="AH72" s="48" t="s">
        <v>37</v>
      </c>
      <c r="AI72" s="48" t="s">
        <v>46</v>
      </c>
      <c r="AJ72" s="48" t="s">
        <v>56</v>
      </c>
      <c r="AK72" s="48" t="s">
        <v>57</v>
      </c>
      <c r="AL72" s="61">
        <v>124400</v>
      </c>
      <c r="AM72" s="48" t="s">
        <v>58</v>
      </c>
    </row>
    <row r="73" spans="1:39" s="55" customFormat="1" ht="15" customHeight="1" x14ac:dyDescent="0.35">
      <c r="A73" s="52" t="s">
        <v>64</v>
      </c>
      <c r="B73" s="48">
        <v>61064115</v>
      </c>
      <c r="C73" s="52" t="s">
        <v>64</v>
      </c>
      <c r="D73" s="52" t="s">
        <v>65</v>
      </c>
      <c r="E73" s="75" t="s">
        <v>258</v>
      </c>
      <c r="F73" s="48" t="s">
        <v>259</v>
      </c>
      <c r="G73" s="48" t="s">
        <v>260</v>
      </c>
      <c r="H73" s="48" t="s">
        <v>63</v>
      </c>
      <c r="I73" s="118">
        <v>42215</v>
      </c>
      <c r="J73" s="48">
        <v>1330</v>
      </c>
      <c r="K73" s="48">
        <v>30</v>
      </c>
      <c r="L73" s="48">
        <v>1340</v>
      </c>
      <c r="M73" s="48">
        <v>30</v>
      </c>
      <c r="N73" s="48">
        <v>1445</v>
      </c>
      <c r="O73" s="52" t="s">
        <v>31</v>
      </c>
      <c r="P73" s="48"/>
      <c r="Q73" s="48"/>
      <c r="R73" s="48"/>
      <c r="S73" s="48"/>
      <c r="T73" s="48"/>
      <c r="U73" s="48"/>
      <c r="V73" s="48"/>
      <c r="W73" s="48">
        <v>0.5</v>
      </c>
      <c r="X73" s="48"/>
      <c r="Y73" s="48"/>
      <c r="Z73" s="48"/>
      <c r="AA73" s="48"/>
      <c r="AB73" s="48">
        <v>0.5</v>
      </c>
      <c r="AC73" s="48"/>
      <c r="AD73" s="48"/>
      <c r="AE73" s="48">
        <v>0.5</v>
      </c>
      <c r="AF73" s="48" t="s">
        <v>141</v>
      </c>
      <c r="AG73" s="48" t="s">
        <v>141</v>
      </c>
      <c r="AH73" s="48" t="s">
        <v>37</v>
      </c>
      <c r="AI73" s="48" t="s">
        <v>38</v>
      </c>
      <c r="AJ73" s="48" t="s">
        <v>56</v>
      </c>
      <c r="AK73" s="48" t="s">
        <v>55</v>
      </c>
      <c r="AL73" s="61">
        <v>150</v>
      </c>
      <c r="AM73" s="48"/>
    </row>
    <row r="74" spans="1:39" s="55" customFormat="1" ht="15" customHeight="1" x14ac:dyDescent="0.35">
      <c r="A74" s="52" t="s">
        <v>81</v>
      </c>
      <c r="B74" s="48">
        <v>62061815</v>
      </c>
      <c r="C74" s="52" t="s">
        <v>81</v>
      </c>
      <c r="D74" s="52" t="s">
        <v>89</v>
      </c>
      <c r="E74" s="75" t="s">
        <v>87</v>
      </c>
      <c r="F74" s="48" t="s">
        <v>261</v>
      </c>
      <c r="G74" s="48" t="s">
        <v>262</v>
      </c>
      <c r="H74" s="48" t="s">
        <v>63</v>
      </c>
      <c r="I74" s="118">
        <v>42216</v>
      </c>
      <c r="J74" s="48">
        <v>1300</v>
      </c>
      <c r="K74" s="48">
        <v>31</v>
      </c>
      <c r="L74" s="48">
        <v>1340</v>
      </c>
      <c r="M74" s="48">
        <v>31</v>
      </c>
      <c r="N74" s="48">
        <v>1620</v>
      </c>
      <c r="O74" s="52" t="s">
        <v>43</v>
      </c>
      <c r="P74" s="48">
        <v>6</v>
      </c>
      <c r="Q74" s="48"/>
      <c r="R74" s="48"/>
      <c r="S74" s="48"/>
      <c r="T74" s="48"/>
      <c r="U74" s="48"/>
      <c r="V74" s="48"/>
      <c r="W74" s="48"/>
      <c r="X74" s="48"/>
      <c r="Y74" s="48"/>
      <c r="Z74" s="48">
        <v>6</v>
      </c>
      <c r="AA74" s="48"/>
      <c r="AB74" s="48"/>
      <c r="AC74" s="48"/>
      <c r="AD74" s="48"/>
      <c r="AE74" s="48">
        <v>6</v>
      </c>
      <c r="AF74" s="48" t="s">
        <v>110</v>
      </c>
      <c r="AG74" s="48" t="s">
        <v>119</v>
      </c>
      <c r="AH74" s="48" t="s">
        <v>37</v>
      </c>
      <c r="AI74" s="48" t="s">
        <v>47</v>
      </c>
      <c r="AJ74" s="48" t="s">
        <v>54</v>
      </c>
      <c r="AK74" s="48" t="s">
        <v>57</v>
      </c>
      <c r="AL74" s="61">
        <v>30000</v>
      </c>
      <c r="AM74" s="48" t="s">
        <v>58</v>
      </c>
    </row>
    <row r="75" spans="1:39" s="55" customFormat="1" ht="15" customHeight="1" x14ac:dyDescent="0.35">
      <c r="A75" s="47" t="s">
        <v>99</v>
      </c>
      <c r="B75" s="48">
        <v>63064915</v>
      </c>
      <c r="C75" s="52" t="s">
        <v>86</v>
      </c>
      <c r="D75" s="54" t="s">
        <v>284</v>
      </c>
      <c r="E75" s="75" t="s">
        <v>97</v>
      </c>
      <c r="F75" s="48" t="s">
        <v>263</v>
      </c>
      <c r="G75" s="48" t="s">
        <v>264</v>
      </c>
      <c r="H75" s="48" t="s">
        <v>63</v>
      </c>
      <c r="I75" s="118">
        <v>42216</v>
      </c>
      <c r="J75" s="48">
        <v>930</v>
      </c>
      <c r="K75" s="48">
        <v>31</v>
      </c>
      <c r="L75" s="48">
        <v>1040</v>
      </c>
      <c r="M75" s="48">
        <v>2</v>
      </c>
      <c r="N75" s="48">
        <v>530</v>
      </c>
      <c r="O75" s="52" t="s">
        <v>52</v>
      </c>
      <c r="P75" s="58"/>
      <c r="Q75" s="58">
        <v>1.5</v>
      </c>
      <c r="R75" s="58">
        <v>45</v>
      </c>
      <c r="S75" s="58"/>
      <c r="T75" s="58"/>
      <c r="U75" s="58"/>
      <c r="V75" s="58"/>
      <c r="W75" s="58"/>
      <c r="X75" s="58"/>
      <c r="Y75" s="58"/>
      <c r="Z75" s="58"/>
      <c r="AA75" s="58">
        <v>1.5</v>
      </c>
      <c r="AB75" s="58">
        <v>45</v>
      </c>
      <c r="AC75" s="58"/>
      <c r="AD75" s="58"/>
      <c r="AE75" s="58">
        <v>46.5</v>
      </c>
      <c r="AF75" s="58" t="s">
        <v>114</v>
      </c>
      <c r="AG75" s="58" t="s">
        <v>126</v>
      </c>
      <c r="AH75" s="58" t="s">
        <v>37</v>
      </c>
      <c r="AI75" s="58" t="s">
        <v>38</v>
      </c>
      <c r="AJ75" s="58" t="s">
        <v>54</v>
      </c>
      <c r="AK75" s="59" t="s">
        <v>45</v>
      </c>
      <c r="AL75" s="61">
        <v>13500</v>
      </c>
      <c r="AM75" s="48" t="s">
        <v>58</v>
      </c>
    </row>
    <row r="76" spans="1:39" s="55" customFormat="1" ht="15" customHeight="1" x14ac:dyDescent="0.35">
      <c r="A76" s="52" t="s">
        <v>83</v>
      </c>
      <c r="B76" s="48">
        <v>64065015</v>
      </c>
      <c r="C76" s="53" t="s">
        <v>69</v>
      </c>
      <c r="D76" s="57" t="s">
        <v>69</v>
      </c>
      <c r="E76" s="76" t="s">
        <v>289</v>
      </c>
      <c r="F76" s="48" t="s">
        <v>265</v>
      </c>
      <c r="G76" s="48" t="s">
        <v>266</v>
      </c>
      <c r="H76" s="48" t="s">
        <v>63</v>
      </c>
      <c r="I76" s="118">
        <v>42201</v>
      </c>
      <c r="J76" s="48">
        <v>1430</v>
      </c>
      <c r="K76" s="48">
        <v>16</v>
      </c>
      <c r="L76" s="48">
        <v>1450</v>
      </c>
      <c r="M76" s="48">
        <v>16</v>
      </c>
      <c r="N76" s="48">
        <v>1625</v>
      </c>
      <c r="O76" s="52" t="s">
        <v>267</v>
      </c>
      <c r="P76" s="48"/>
      <c r="Q76" s="48"/>
      <c r="R76" s="48"/>
      <c r="S76" s="48"/>
      <c r="T76" s="48"/>
      <c r="U76" s="48">
        <v>0.8</v>
      </c>
      <c r="V76" s="48">
        <v>0.2</v>
      </c>
      <c r="W76" s="48"/>
      <c r="X76" s="48"/>
      <c r="Y76" s="48">
        <v>0.5</v>
      </c>
      <c r="Z76" s="48">
        <v>0.8</v>
      </c>
      <c r="AA76" s="48">
        <v>0.2</v>
      </c>
      <c r="AB76" s="48"/>
      <c r="AC76" s="48"/>
      <c r="AD76" s="48">
        <v>0.5</v>
      </c>
      <c r="AE76" s="48">
        <v>1.5</v>
      </c>
      <c r="AF76" s="50" t="s">
        <v>110</v>
      </c>
      <c r="AG76" s="60" t="s">
        <v>111</v>
      </c>
      <c r="AH76" s="50" t="s">
        <v>37</v>
      </c>
      <c r="AI76" s="48" t="s">
        <v>46</v>
      </c>
      <c r="AJ76" s="58" t="s">
        <v>220</v>
      </c>
      <c r="AK76" s="59" t="s">
        <v>55</v>
      </c>
      <c r="AL76" s="61">
        <v>39800</v>
      </c>
      <c r="AM76" s="48"/>
    </row>
    <row r="77" spans="1:39" s="55" customFormat="1" ht="15" customHeight="1" x14ac:dyDescent="0.35">
      <c r="A77" s="52" t="s">
        <v>81</v>
      </c>
      <c r="B77" s="48">
        <v>65064015</v>
      </c>
      <c r="C77" s="52" t="s">
        <v>81</v>
      </c>
      <c r="D77" s="52" t="s">
        <v>81</v>
      </c>
      <c r="E77" s="76" t="s">
        <v>268</v>
      </c>
      <c r="F77" s="48" t="s">
        <v>269</v>
      </c>
      <c r="G77" s="48" t="s">
        <v>270</v>
      </c>
      <c r="H77" s="48" t="s">
        <v>63</v>
      </c>
      <c r="I77" s="118">
        <v>42217</v>
      </c>
      <c r="J77" s="48">
        <v>1310</v>
      </c>
      <c r="K77" s="48">
        <v>1</v>
      </c>
      <c r="L77" s="48">
        <v>1320</v>
      </c>
      <c r="M77" s="48">
        <v>1</v>
      </c>
      <c r="N77" s="48">
        <v>1630</v>
      </c>
      <c r="O77" s="52" t="s">
        <v>31</v>
      </c>
      <c r="P77" s="48"/>
      <c r="Q77" s="48"/>
      <c r="R77" s="48"/>
      <c r="S77" s="48"/>
      <c r="T77" s="48"/>
      <c r="U77" s="48"/>
      <c r="V77" s="48"/>
      <c r="W77" s="48">
        <v>2</v>
      </c>
      <c r="X77" s="48"/>
      <c r="Y77" s="48">
        <v>2</v>
      </c>
      <c r="Z77" s="48"/>
      <c r="AA77" s="48"/>
      <c r="AB77" s="48">
        <v>2</v>
      </c>
      <c r="AC77" s="48"/>
      <c r="AD77" s="48">
        <v>2</v>
      </c>
      <c r="AE77" s="48">
        <v>4</v>
      </c>
      <c r="AF77" s="64" t="s">
        <v>110</v>
      </c>
      <c r="AG77" s="66" t="s">
        <v>111</v>
      </c>
      <c r="AH77" s="58" t="s">
        <v>37</v>
      </c>
      <c r="AI77" s="58" t="s">
        <v>39</v>
      </c>
      <c r="AJ77" s="58" t="s">
        <v>60</v>
      </c>
      <c r="AK77" s="59" t="s">
        <v>55</v>
      </c>
      <c r="AL77" s="67">
        <v>240600</v>
      </c>
      <c r="AM77" s="48"/>
    </row>
    <row r="78" spans="1:39" s="55" customFormat="1" ht="15" customHeight="1" x14ac:dyDescent="0.35">
      <c r="A78" s="47" t="s">
        <v>99</v>
      </c>
      <c r="B78" s="48">
        <v>66064815</v>
      </c>
      <c r="C78" s="52" t="s">
        <v>75</v>
      </c>
      <c r="D78" s="52" t="s">
        <v>82</v>
      </c>
      <c r="E78" s="75" t="s">
        <v>290</v>
      </c>
      <c r="F78" s="48" t="s">
        <v>271</v>
      </c>
      <c r="G78" s="48" t="s">
        <v>272</v>
      </c>
      <c r="H78" s="48" t="s">
        <v>63</v>
      </c>
      <c r="I78" s="118">
        <v>42219</v>
      </c>
      <c r="J78" s="48">
        <v>1400</v>
      </c>
      <c r="K78" s="48">
        <v>3</v>
      </c>
      <c r="L78" s="48">
        <v>1405</v>
      </c>
      <c r="M78" s="48">
        <v>3</v>
      </c>
      <c r="N78" s="48">
        <v>1930</v>
      </c>
      <c r="O78" s="52" t="s">
        <v>31</v>
      </c>
      <c r="P78" s="58"/>
      <c r="Q78" s="62"/>
      <c r="R78" s="58"/>
      <c r="S78" s="62"/>
      <c r="T78" s="62"/>
      <c r="U78" s="62"/>
      <c r="V78" s="62"/>
      <c r="W78" s="58">
        <v>2</v>
      </c>
      <c r="X78" s="62"/>
      <c r="Y78" s="58"/>
      <c r="Z78" s="58"/>
      <c r="AA78" s="62"/>
      <c r="AB78" s="58">
        <v>2</v>
      </c>
      <c r="AC78" s="62"/>
      <c r="AD78" s="58"/>
      <c r="AE78" s="58">
        <v>2</v>
      </c>
      <c r="AF78" s="51" t="s">
        <v>114</v>
      </c>
      <c r="AG78" s="51" t="s">
        <v>126</v>
      </c>
      <c r="AH78" s="58" t="s">
        <v>37</v>
      </c>
      <c r="AI78" s="58" t="s">
        <v>38</v>
      </c>
      <c r="AJ78" s="58" t="s">
        <v>60</v>
      </c>
      <c r="AK78" s="59" t="s">
        <v>55</v>
      </c>
      <c r="AL78" s="68">
        <v>600</v>
      </c>
      <c r="AM78" s="48"/>
    </row>
    <row r="79" spans="1:39" s="55" customFormat="1" ht="15" customHeight="1" x14ac:dyDescent="0.35">
      <c r="A79" s="52" t="s">
        <v>64</v>
      </c>
      <c r="B79" s="48">
        <v>67064115</v>
      </c>
      <c r="C79" s="52" t="s">
        <v>64</v>
      </c>
      <c r="D79" s="52" t="s">
        <v>65</v>
      </c>
      <c r="E79" s="75" t="s">
        <v>71</v>
      </c>
      <c r="F79" s="48" t="s">
        <v>273</v>
      </c>
      <c r="G79" s="48" t="s">
        <v>274</v>
      </c>
      <c r="H79" s="48" t="s">
        <v>63</v>
      </c>
      <c r="I79" s="118">
        <v>42219</v>
      </c>
      <c r="J79" s="48">
        <v>1850</v>
      </c>
      <c r="K79" s="48">
        <v>3</v>
      </c>
      <c r="L79" s="48">
        <v>1900</v>
      </c>
      <c r="M79" s="48">
        <v>3</v>
      </c>
      <c r="N79" s="48">
        <v>2105</v>
      </c>
      <c r="O79" s="52" t="s">
        <v>31</v>
      </c>
      <c r="P79" s="58"/>
      <c r="Q79" s="58"/>
      <c r="R79" s="58">
        <v>1</v>
      </c>
      <c r="S79" s="58"/>
      <c r="T79" s="58"/>
      <c r="U79" s="58"/>
      <c r="V79" s="58"/>
      <c r="W79" s="58"/>
      <c r="X79" s="58"/>
      <c r="Y79" s="58"/>
      <c r="Z79" s="58"/>
      <c r="AA79" s="58"/>
      <c r="AB79" s="58">
        <v>1</v>
      </c>
      <c r="AC79" s="58"/>
      <c r="AD79" s="58"/>
      <c r="AE79" s="58">
        <v>1</v>
      </c>
      <c r="AF79" s="50" t="s">
        <v>141</v>
      </c>
      <c r="AG79" s="50" t="s">
        <v>141</v>
      </c>
      <c r="AH79" s="50" t="s">
        <v>37</v>
      </c>
      <c r="AI79" s="60" t="s">
        <v>38</v>
      </c>
      <c r="AJ79" s="50" t="s">
        <v>54</v>
      </c>
      <c r="AK79" s="59" t="s">
        <v>45</v>
      </c>
      <c r="AL79" s="68">
        <v>300</v>
      </c>
      <c r="AM79" s="48" t="s">
        <v>58</v>
      </c>
    </row>
    <row r="80" spans="1:39" s="55" customFormat="1" ht="15" customHeight="1" x14ac:dyDescent="0.35">
      <c r="A80" s="52" t="s">
        <v>81</v>
      </c>
      <c r="B80" s="48">
        <v>68061815</v>
      </c>
      <c r="C80" s="52" t="s">
        <v>81</v>
      </c>
      <c r="D80" s="52" t="s">
        <v>89</v>
      </c>
      <c r="E80" s="75" t="s">
        <v>291</v>
      </c>
      <c r="F80" s="48" t="s">
        <v>275</v>
      </c>
      <c r="G80" s="48" t="s">
        <v>276</v>
      </c>
      <c r="H80" s="48" t="s">
        <v>63</v>
      </c>
      <c r="I80" s="118">
        <v>42220</v>
      </c>
      <c r="J80" s="48">
        <v>1000</v>
      </c>
      <c r="K80" s="48">
        <v>4</v>
      </c>
      <c r="L80" s="48">
        <v>1015</v>
      </c>
      <c r="M80" s="48">
        <v>4</v>
      </c>
      <c r="N80" s="48">
        <v>1145</v>
      </c>
      <c r="O80" s="52"/>
      <c r="P80" s="58"/>
      <c r="Q80" s="58"/>
      <c r="R80" s="58"/>
      <c r="S80" s="58"/>
      <c r="T80" s="58"/>
      <c r="U80" s="58"/>
      <c r="V80" s="58"/>
      <c r="W80" s="58"/>
      <c r="X80" s="58"/>
      <c r="Y80" s="58">
        <v>0.5</v>
      </c>
      <c r="Z80" s="58"/>
      <c r="AA80" s="58"/>
      <c r="AB80" s="58"/>
      <c r="AC80" s="58"/>
      <c r="AD80" s="58">
        <v>0.5</v>
      </c>
      <c r="AE80" s="58">
        <v>0.5</v>
      </c>
      <c r="AF80" s="50" t="s">
        <v>110</v>
      </c>
      <c r="AG80" s="60" t="s">
        <v>111</v>
      </c>
      <c r="AH80" s="50" t="s">
        <v>37</v>
      </c>
      <c r="AI80" s="64" t="s">
        <v>39</v>
      </c>
      <c r="AJ80" s="50" t="s">
        <v>54</v>
      </c>
      <c r="AK80" s="59" t="s">
        <v>55</v>
      </c>
      <c r="AL80" s="67">
        <v>240000</v>
      </c>
      <c r="AM80" s="48"/>
    </row>
    <row r="81" spans="1:39" s="55" customFormat="1" ht="15" customHeight="1" x14ac:dyDescent="0.35">
      <c r="A81" s="52" t="s">
        <v>81</v>
      </c>
      <c r="B81" s="48">
        <v>69063415</v>
      </c>
      <c r="C81" s="53" t="s">
        <v>66</v>
      </c>
      <c r="D81" s="57" t="s">
        <v>66</v>
      </c>
      <c r="E81" s="75" t="s">
        <v>277</v>
      </c>
      <c r="F81" s="48" t="s">
        <v>278</v>
      </c>
      <c r="G81" s="48" t="s">
        <v>279</v>
      </c>
      <c r="H81" s="48" t="s">
        <v>63</v>
      </c>
      <c r="I81" s="118">
        <v>42223</v>
      </c>
      <c r="J81" s="48">
        <v>1345</v>
      </c>
      <c r="K81" s="48">
        <v>7</v>
      </c>
      <c r="L81" s="48">
        <v>1500</v>
      </c>
      <c r="M81" s="48">
        <v>8</v>
      </c>
      <c r="N81" s="48">
        <v>230</v>
      </c>
      <c r="O81" s="52" t="s">
        <v>48</v>
      </c>
      <c r="P81" s="58"/>
      <c r="Q81" s="58"/>
      <c r="R81" s="58"/>
      <c r="S81" s="58"/>
      <c r="T81" s="58"/>
      <c r="U81" s="58">
        <v>4</v>
      </c>
      <c r="V81" s="58"/>
      <c r="W81" s="58"/>
      <c r="X81" s="58"/>
      <c r="Y81" s="58"/>
      <c r="Z81" s="48">
        <v>4</v>
      </c>
      <c r="AA81" s="48"/>
      <c r="AB81" s="48"/>
      <c r="AC81" s="48"/>
      <c r="AD81" s="48"/>
      <c r="AE81" s="48">
        <v>4</v>
      </c>
      <c r="AF81" s="48" t="s">
        <v>114</v>
      </c>
      <c r="AG81" s="48" t="s">
        <v>126</v>
      </c>
      <c r="AH81" s="50" t="s">
        <v>37</v>
      </c>
      <c r="AI81" s="50" t="s">
        <v>47</v>
      </c>
      <c r="AJ81" s="50" t="s">
        <v>54</v>
      </c>
      <c r="AK81" s="59" t="s">
        <v>55</v>
      </c>
      <c r="AL81" s="68">
        <v>251200</v>
      </c>
      <c r="AM81" s="48"/>
    </row>
    <row r="82" spans="1:39" s="55" customFormat="1" ht="15" customHeight="1" thickBot="1" x14ac:dyDescent="0.4">
      <c r="A82" s="80" t="s">
        <v>95</v>
      </c>
      <c r="B82" s="81">
        <v>70060515</v>
      </c>
      <c r="C82" s="80" t="s">
        <v>95</v>
      </c>
      <c r="D82" s="80" t="s">
        <v>96</v>
      </c>
      <c r="E82" s="82" t="s">
        <v>298</v>
      </c>
      <c r="F82" s="81" t="s">
        <v>280</v>
      </c>
      <c r="G82" s="81" t="s">
        <v>281</v>
      </c>
      <c r="H82" s="81" t="s">
        <v>63</v>
      </c>
      <c r="I82" s="120">
        <v>42234</v>
      </c>
      <c r="J82" s="81">
        <v>1230</v>
      </c>
      <c r="K82" s="81">
        <v>18</v>
      </c>
      <c r="L82" s="81">
        <v>1245</v>
      </c>
      <c r="M82" s="81">
        <v>18</v>
      </c>
      <c r="N82" s="81">
        <v>1415</v>
      </c>
      <c r="O82" s="80" t="s">
        <v>41</v>
      </c>
      <c r="P82" s="83"/>
      <c r="Q82" s="83">
        <v>1</v>
      </c>
      <c r="R82" s="83"/>
      <c r="S82" s="83"/>
      <c r="T82" s="83"/>
      <c r="U82" s="83"/>
      <c r="V82" s="83"/>
      <c r="W82" s="83"/>
      <c r="X82" s="83"/>
      <c r="Y82" s="83"/>
      <c r="Z82" s="81"/>
      <c r="AA82" s="81">
        <v>1</v>
      </c>
      <c r="AB82" s="81"/>
      <c r="AC82" s="81"/>
      <c r="AD82" s="81"/>
      <c r="AE82" s="81">
        <v>1</v>
      </c>
      <c r="AF82" s="81" t="s">
        <v>114</v>
      </c>
      <c r="AG82" s="81" t="s">
        <v>126</v>
      </c>
      <c r="AH82" s="84" t="s">
        <v>37</v>
      </c>
      <c r="AI82" s="85" t="s">
        <v>38</v>
      </c>
      <c r="AJ82" s="83" t="s">
        <v>60</v>
      </c>
      <c r="AK82" s="86" t="s">
        <v>45</v>
      </c>
      <c r="AL82" s="87">
        <v>300</v>
      </c>
      <c r="AM82" s="81" t="s">
        <v>58</v>
      </c>
    </row>
    <row r="83" spans="1:39" ht="15" thickBot="1" x14ac:dyDescent="0.4">
      <c r="A83" s="110" t="s">
        <v>28</v>
      </c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79"/>
      <c r="P83" s="79">
        <f>SUM(P12:P82)</f>
        <v>90.5</v>
      </c>
      <c r="Q83" s="79">
        <f t="shared" ref="Q83:AE83" si="0">SUM(Q12:Q82)</f>
        <v>82</v>
      </c>
      <c r="R83" s="79">
        <f t="shared" si="0"/>
        <v>159.25</v>
      </c>
      <c r="S83" s="79">
        <f t="shared" si="0"/>
        <v>0</v>
      </c>
      <c r="T83" s="79">
        <f t="shared" si="0"/>
        <v>0</v>
      </c>
      <c r="U83" s="79">
        <f t="shared" si="0"/>
        <v>16.3</v>
      </c>
      <c r="V83" s="79">
        <f t="shared" si="0"/>
        <v>30.7</v>
      </c>
      <c r="W83" s="79">
        <f t="shared" si="0"/>
        <v>150.19999999999999</v>
      </c>
      <c r="X83" s="79">
        <f t="shared" si="0"/>
        <v>0</v>
      </c>
      <c r="Y83" s="79">
        <f t="shared" si="0"/>
        <v>15.9</v>
      </c>
      <c r="Z83" s="79">
        <f t="shared" si="0"/>
        <v>106.8</v>
      </c>
      <c r="AA83" s="79">
        <f t="shared" si="0"/>
        <v>112.7</v>
      </c>
      <c r="AB83" s="79">
        <f t="shared" si="0"/>
        <v>309.45</v>
      </c>
      <c r="AC83" s="79">
        <f t="shared" si="0"/>
        <v>0</v>
      </c>
      <c r="AD83" s="79">
        <f t="shared" si="0"/>
        <v>15.9</v>
      </c>
      <c r="AE83" s="79">
        <f t="shared" si="0"/>
        <v>544.84999999999991</v>
      </c>
      <c r="AF83" s="79"/>
      <c r="AG83" s="79"/>
      <c r="AH83" s="79"/>
      <c r="AI83" s="79"/>
      <c r="AJ83" s="79"/>
      <c r="AK83" s="79"/>
      <c r="AL83" s="89">
        <f>SUM(AL12:AL82)</f>
        <v>3785932.5</v>
      </c>
      <c r="AM83" s="88"/>
    </row>
  </sheetData>
  <mergeCells count="34">
    <mergeCell ref="J10:J11"/>
    <mergeCell ref="A9:A11"/>
    <mergeCell ref="AJ9:AJ11"/>
    <mergeCell ref="AK9:AK11"/>
    <mergeCell ref="AL9:AL11"/>
    <mergeCell ref="AM9:AM11"/>
    <mergeCell ref="A83:N83"/>
    <mergeCell ref="U10:Y10"/>
    <mergeCell ref="Z10:AE10"/>
    <mergeCell ref="K10:K11"/>
    <mergeCell ref="L10:L11"/>
    <mergeCell ref="M10:M11"/>
    <mergeCell ref="N10:N11"/>
    <mergeCell ref="P10:T10"/>
    <mergeCell ref="F10:F11"/>
    <mergeCell ref="G10:G11"/>
    <mergeCell ref="H10:H11"/>
    <mergeCell ref="I10:I11"/>
    <mergeCell ref="B1:AK1"/>
    <mergeCell ref="B4:AK4"/>
    <mergeCell ref="B8:AK8"/>
    <mergeCell ref="B9:B11"/>
    <mergeCell ref="C9:C11"/>
    <mergeCell ref="D9:D11"/>
    <mergeCell ref="E9:E11"/>
    <mergeCell ref="F9:H9"/>
    <mergeCell ref="I9:J9"/>
    <mergeCell ref="K9:L9"/>
    <mergeCell ref="M9:N9"/>
    <mergeCell ref="O9:O11"/>
    <mergeCell ref="P9:AE9"/>
    <mergeCell ref="AF9:AG10"/>
    <mergeCell ref="AH9:AH11"/>
    <mergeCell ref="AI9:AI1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2026-02-03T22:28:30Z</dcterms:modified>
</cp:coreProperties>
</file>