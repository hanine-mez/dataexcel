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ue Info 38\Downloads\"/>
    </mc:Choice>
  </mc:AlternateContent>
  <bookViews>
    <workbookView xWindow="240" yWindow="20" windowWidth="15480" windowHeight="10170" activeTab="6"/>
  </bookViews>
  <sheets>
    <sheet name="abrevations" sheetId="2" r:id="rId1"/>
    <sheet name=" JUIN " sheetId="3" r:id="rId2"/>
    <sheet name="JUILLET" sheetId="4" r:id="rId3"/>
    <sheet name="AOUT" sheetId="5" r:id="rId4"/>
    <sheet name="SEPTEMBRE" sheetId="6" r:id="rId5"/>
    <sheet name="OCTOBRE" sheetId="7" r:id="rId6"/>
    <sheet name="BILAN ANNUEL " sheetId="8" r:id="rId7"/>
  </sheets>
  <definedNames>
    <definedName name="_xlnm._FilterDatabase" localSheetId="1" hidden="1">' JUIN '!$A$12:$AL$21</definedName>
    <definedName name="_xlnm._FilterDatabase" localSheetId="3" hidden="1">AOUT!$A$11:$CQ$73</definedName>
    <definedName name="_xlnm._FilterDatabase" localSheetId="6" hidden="1">'BILAN ANNUEL '!$A$11:$AL$148</definedName>
    <definedName name="_xlnm._FilterDatabase" localSheetId="2" hidden="1">JUILLET!$A$12:$EN$73</definedName>
    <definedName name="_xlnm._FilterDatabase" localSheetId="5" hidden="1">OCTOBRE!$A$12:$AL$15</definedName>
    <definedName name="_xlnm._FilterDatabase" localSheetId="4" hidden="1">SEPTEMBRE!$A$11:$AL$17</definedName>
  </definedNames>
  <calcPr calcId="152511"/>
</workbook>
</file>

<file path=xl/calcChain.xml><?xml version="1.0" encoding="utf-8"?>
<calcChain xmlns="http://schemas.openxmlformats.org/spreadsheetml/2006/main">
  <c r="AK148" i="8" l="1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O148" i="8"/>
  <c r="AK15" i="7"/>
  <c r="AD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O15" i="7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O73" i="5"/>
  <c r="AK73" i="4"/>
  <c r="AK17" i="6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U21" i="3"/>
  <c r="V21" i="3"/>
  <c r="W21" i="3"/>
  <c r="X21" i="3"/>
  <c r="Y21" i="3"/>
  <c r="Z21" i="3"/>
  <c r="AA21" i="3"/>
  <c r="AB21" i="3"/>
  <c r="AC21" i="3"/>
  <c r="AD21" i="3"/>
  <c r="AK21" i="3"/>
</calcChain>
</file>

<file path=xl/sharedStrings.xml><?xml version="1.0" encoding="utf-8"?>
<sst xmlns="http://schemas.openxmlformats.org/spreadsheetml/2006/main" count="4110" uniqueCount="596">
  <si>
    <t>R E P U B L I Q U E   A L G E R I E N N E   D E M O C R A T I Q U E   E T   P O P U L A I R E</t>
  </si>
  <si>
    <t>N°</t>
  </si>
  <si>
    <t>DAIRA</t>
  </si>
  <si>
    <t>COMMUNE</t>
  </si>
  <si>
    <t>DECLARATION</t>
  </si>
  <si>
    <t>INTERVENTION</t>
  </si>
  <si>
    <t>EXTINCTION</t>
  </si>
  <si>
    <t xml:space="preserve">SUPERFICIES PARCOURUES PAR LE FEU </t>
  </si>
  <si>
    <t>ORGANISMES</t>
  </si>
  <si>
    <t>EVALUATION</t>
  </si>
  <si>
    <t>ENQUETE</t>
  </si>
  <si>
    <t>DATE</t>
  </si>
  <si>
    <t>HEURE</t>
  </si>
  <si>
    <t>DOMANIALE</t>
  </si>
  <si>
    <t>PRIVEE</t>
  </si>
  <si>
    <t>AUTEUR</t>
  </si>
  <si>
    <t>PARTICIPANTS</t>
  </si>
  <si>
    <t>(*)</t>
  </si>
  <si>
    <t>FORET</t>
  </si>
  <si>
    <t>MAQUIS</t>
  </si>
  <si>
    <t>BROUSS</t>
  </si>
  <si>
    <t>ALFA</t>
  </si>
  <si>
    <t>AUTRES</t>
  </si>
  <si>
    <t>TOTAL</t>
  </si>
  <si>
    <t>(TEMPERATURE ET VENTS)</t>
  </si>
  <si>
    <t>A LA LUTTE</t>
  </si>
  <si>
    <t xml:space="preserve"> </t>
  </si>
  <si>
    <t>SERVICE DES FORETS</t>
  </si>
  <si>
    <t>PROTECTION CIVILE</t>
  </si>
  <si>
    <t>PC</t>
  </si>
  <si>
    <t>DARAK EL WATANI</t>
  </si>
  <si>
    <t xml:space="preserve">DW </t>
  </si>
  <si>
    <t>POPULATION</t>
  </si>
  <si>
    <t xml:space="preserve">POP </t>
  </si>
  <si>
    <t>SURETE NATIONALE</t>
  </si>
  <si>
    <t xml:space="preserve">SN </t>
  </si>
  <si>
    <t>VOLONTAIRE</t>
  </si>
  <si>
    <t>POLICE COMMUNALE</t>
  </si>
  <si>
    <t>PCO</t>
  </si>
  <si>
    <t>ARMEE NATIONALE POPULAIRE</t>
  </si>
  <si>
    <t xml:space="preserve">ANP </t>
  </si>
  <si>
    <t>COMITE DE RIVERAINS</t>
  </si>
  <si>
    <t xml:space="preserve">SF  </t>
  </si>
  <si>
    <t xml:space="preserve">EAPC </t>
  </si>
  <si>
    <t>EMPLOYERS ASSEMBLEE POPULAIRE COMMUNALE</t>
  </si>
  <si>
    <t>PA</t>
  </si>
  <si>
    <t>PIN D'ALEP</t>
  </si>
  <si>
    <t>PM</t>
  </si>
  <si>
    <t>PIN MARITIME</t>
  </si>
  <si>
    <t>PP</t>
  </si>
  <si>
    <t>PIN PIGNON</t>
  </si>
  <si>
    <t>CL</t>
  </si>
  <si>
    <t>CHENE LIEGE</t>
  </si>
  <si>
    <t>CV</t>
  </si>
  <si>
    <t>CHENE VERT</t>
  </si>
  <si>
    <t>CZ</t>
  </si>
  <si>
    <t>CHENE ZEEN</t>
  </si>
  <si>
    <t>CA</t>
  </si>
  <si>
    <t>CHENE AFARES</t>
  </si>
  <si>
    <t>CED</t>
  </si>
  <si>
    <t>CEDRE</t>
  </si>
  <si>
    <t>EUC</t>
  </si>
  <si>
    <t>EUCALYPTUS</t>
  </si>
  <si>
    <t>BROUSSAILLE</t>
  </si>
  <si>
    <t>OLEA</t>
  </si>
  <si>
    <t>OLEASTRE</t>
  </si>
  <si>
    <t>CONDITIONS METEO</t>
  </si>
  <si>
    <t>(VITESSE ET DIRECTION)</t>
  </si>
  <si>
    <t>CYP</t>
  </si>
  <si>
    <t>CYPRES</t>
  </si>
  <si>
    <t>CW : Code Wilaya</t>
  </si>
  <si>
    <t>CC : Code Commune</t>
  </si>
  <si>
    <t>NI: Numéro Incendie</t>
  </si>
  <si>
    <t>AA: Année</t>
  </si>
  <si>
    <t>EMPLOYERS  SAISONNIER</t>
  </si>
  <si>
    <t>EMPS</t>
  </si>
  <si>
    <t xml:space="preserve">COMR </t>
  </si>
  <si>
    <t>THUYA</t>
  </si>
  <si>
    <t>PV</t>
  </si>
  <si>
    <t>BM</t>
  </si>
  <si>
    <t>RIVER</t>
  </si>
  <si>
    <t>DW</t>
  </si>
  <si>
    <t>SN</t>
  </si>
  <si>
    <t>PCOMM</t>
  </si>
  <si>
    <t>ANP</t>
  </si>
  <si>
    <t>AS</t>
  </si>
  <si>
    <t>POSTE DE VIGIE</t>
  </si>
  <si>
    <t>BRIGADE MOBILE</t>
  </si>
  <si>
    <t>RIVERAIN</t>
  </si>
  <si>
    <t>AVION DE SURVEILLANCE</t>
  </si>
  <si>
    <t>IMP</t>
  </si>
  <si>
    <t>ORGANISMES PARTICIPANTS A LA LUTTE</t>
  </si>
  <si>
    <t>CODIFICATION DE L'INCENDIE</t>
  </si>
  <si>
    <t>ESSENCES</t>
  </si>
  <si>
    <t>CIT</t>
  </si>
  <si>
    <t>CITOYEN</t>
  </si>
  <si>
    <t>SIGNALE PAR</t>
  </si>
  <si>
    <t>CAUSES PROBABLES</t>
  </si>
  <si>
    <t>INCC</t>
  </si>
  <si>
    <t>INCINERATION DES CHAUMES</t>
  </si>
  <si>
    <t>NEGLIGENCE</t>
  </si>
  <si>
    <t>NEG</t>
  </si>
  <si>
    <t>DECS</t>
  </si>
  <si>
    <t>DECHARGE SAUVAGE</t>
  </si>
  <si>
    <t>VOL</t>
  </si>
  <si>
    <t>INC</t>
  </si>
  <si>
    <t>INCONNUE</t>
  </si>
  <si>
    <t>ACTA</t>
  </si>
  <si>
    <t>ACTIVITES AGRICOLES</t>
  </si>
  <si>
    <t>AUT</t>
  </si>
  <si>
    <t>AUTRES (A préciser)</t>
  </si>
  <si>
    <t>AUTEURS PRESUMES</t>
  </si>
  <si>
    <t>CON</t>
  </si>
  <si>
    <t>INCON</t>
  </si>
  <si>
    <t>CONNU</t>
  </si>
  <si>
    <t>INCONNU</t>
  </si>
  <si>
    <t>ABREVATIONS A UTILISER POUR REMPLIR LE CANEVA</t>
  </si>
  <si>
    <t>G P S</t>
  </si>
  <si>
    <t>COORDONNEES GEOGRAPHIQUES</t>
  </si>
  <si>
    <t xml:space="preserve">LONGITUDE </t>
  </si>
  <si>
    <t xml:space="preserve">LATITUDE </t>
  </si>
  <si>
    <t>CONSERVATION DES FORETS DE LA WILAYA DE: BEJAIA</t>
  </si>
  <si>
    <t>CONSERVATION DES FORETS DE LA WILAYA DE:BEJAIA</t>
  </si>
  <si>
    <t>DIRECTION GENERALE DES FORETS</t>
  </si>
  <si>
    <t>CONSERVATION DES FORETS DE LA WILAYA DE: BEIAIA</t>
  </si>
  <si>
    <t>BILAN MENSUEL DES INCENDIES DE FORETS</t>
  </si>
  <si>
    <t xml:space="preserve"> BILAN  MENSUEL DES INCENDIES</t>
  </si>
  <si>
    <t>ESSENCE PRINCIPAL</t>
  </si>
  <si>
    <t>NOM DE FORET OU LIEU DIT</t>
  </si>
  <si>
    <t>FINANCIERE</t>
  </si>
  <si>
    <t xml:space="preserve"> DES DEGATS EN (DA)</t>
  </si>
  <si>
    <t>CONDITIONS METEO (TEMPERATURE ET VENTS) (VITESSE ET DIRECTION)</t>
  </si>
  <si>
    <t>EVALUATION FINANCIERE  DES DEGATS(DA)</t>
  </si>
  <si>
    <t xml:space="preserve">ENQUETE (*) </t>
  </si>
  <si>
    <t xml:space="preserve">CONDITIONS METEO (TEMPERATURE ET VENTS)(VITESSE ET DIRECTION) </t>
  </si>
  <si>
    <t>EVALUATION FINANCIERE  DES DEGATS EN (DA)</t>
  </si>
  <si>
    <t>ENQUETE (*)</t>
  </si>
  <si>
    <t>CAUSE PROBABLE</t>
  </si>
  <si>
    <t xml:space="preserve">IMPRUDENCE </t>
  </si>
  <si>
    <t>MINISTERE DE L'AGRICULTURE, DU DEVELOPPEMENT RURAL ET DE LA PECHE</t>
  </si>
  <si>
    <t xml:space="preserve">  BILAN  ANNUEL DES INCENDIES DE FORETS DE LA CAMPAGNE 2018</t>
  </si>
  <si>
    <t>DU MOIS DE JUILLET 2019</t>
  </si>
  <si>
    <t>DU MOIS DE JUIN 2019</t>
  </si>
  <si>
    <t>DU MOIS D'AOUT 2019</t>
  </si>
  <si>
    <t>DU MOIS DE SEPTEMBRE 2019</t>
  </si>
  <si>
    <t xml:space="preserve"> DU MOIS D'OCTOBRE 2019</t>
  </si>
  <si>
    <t xml:space="preserve"> DU 01/06/2019 AU 31/10/2019</t>
  </si>
  <si>
    <t>Ouzellaguen</t>
  </si>
  <si>
    <t>Négligence</t>
  </si>
  <si>
    <t>Brulages agricoles</t>
  </si>
  <si>
    <t>Temps très chaud, vent faible</t>
  </si>
  <si>
    <t>PC,SF</t>
  </si>
  <si>
    <t>IBRAHAM Saddek</t>
  </si>
  <si>
    <t>Tazemalt</t>
  </si>
  <si>
    <t>Boudjellil</t>
  </si>
  <si>
    <t>Iarkab</t>
  </si>
  <si>
    <t>PC,SF,VOL</t>
  </si>
  <si>
    <t>Tazmalt</t>
  </si>
  <si>
    <t>Imakiren</t>
  </si>
  <si>
    <t>Inconnue</t>
  </si>
  <si>
    <t>Seddouk</t>
  </si>
  <si>
    <t>Zounina</t>
  </si>
  <si>
    <t>Temps très chaud, vent moyen</t>
  </si>
  <si>
    <t>Beni mellikèche</t>
  </si>
  <si>
    <t>Reprise</t>
  </si>
  <si>
    <t>PC,SF,VOL,EAPC</t>
  </si>
  <si>
    <t>DFN Beni slimane</t>
  </si>
  <si>
    <t>Barbacha</t>
  </si>
  <si>
    <t>En cours</t>
  </si>
  <si>
    <t>Akbou</t>
  </si>
  <si>
    <t>Ighrem</t>
  </si>
  <si>
    <t>Tibhirine</t>
  </si>
  <si>
    <t>Chellata</t>
  </si>
  <si>
    <t>Beni Maouche</t>
  </si>
  <si>
    <t>Tioual</t>
  </si>
  <si>
    <t>CLASSE</t>
  </si>
  <si>
    <t>SOUS CLASSE</t>
  </si>
  <si>
    <t>04°41'46.27"</t>
  </si>
  <si>
    <t>GPS</t>
  </si>
  <si>
    <t>Temps très chaud, vent fort</t>
  </si>
  <si>
    <t>36°34'23.08"</t>
  </si>
  <si>
    <t>04°41'46.65"</t>
  </si>
  <si>
    <t>Nessroune</t>
  </si>
  <si>
    <t>04°34'25.83"</t>
  </si>
  <si>
    <t>36°33'37.40"</t>
  </si>
  <si>
    <t>04°24'13.99"</t>
  </si>
  <si>
    <t>36°20'40,00"</t>
  </si>
  <si>
    <t>04°34'35.07"</t>
  </si>
  <si>
    <t>36°33'53.14"</t>
  </si>
  <si>
    <t>04°23'41.37"</t>
  </si>
  <si>
    <t>36°26'17.76"</t>
  </si>
  <si>
    <t>04°38'55.46"</t>
  </si>
  <si>
    <t>36°07'02.53"</t>
  </si>
  <si>
    <t>04°30'20.25"</t>
  </si>
  <si>
    <t>36°28'20.90"</t>
  </si>
  <si>
    <t>04°31'57.75"</t>
  </si>
  <si>
    <t>36°31'14.00"</t>
  </si>
  <si>
    <t>Kherrata</t>
  </si>
  <si>
    <t>Boughezran</t>
  </si>
  <si>
    <t>Tamokra</t>
  </si>
  <si>
    <t>Taourirt</t>
  </si>
  <si>
    <t>PA+BROUSS</t>
  </si>
  <si>
    <t>Volontaire</t>
  </si>
  <si>
    <t>Irrésponsable (malade mentale)</t>
  </si>
  <si>
    <t>Malade mentale</t>
  </si>
  <si>
    <t>El kseur</t>
  </si>
  <si>
    <t>Toudja</t>
  </si>
  <si>
    <t>Ighil ouberouak</t>
  </si>
  <si>
    <t>PC,SF,EAPC</t>
  </si>
  <si>
    <t>Décharge officiel</t>
  </si>
  <si>
    <t xml:space="preserve"> 36°23’08.39’’</t>
  </si>
  <si>
    <t>Ighil ali</t>
  </si>
  <si>
    <t>DFN Beni abbas</t>
  </si>
  <si>
    <t xml:space="preserve">Adekar </t>
  </si>
  <si>
    <t>Beni ksila</t>
  </si>
  <si>
    <t>DFN Mzala</t>
  </si>
  <si>
    <t>SF</t>
  </si>
  <si>
    <t>Fenaia</t>
  </si>
  <si>
    <t>Tikheroubines</t>
  </si>
  <si>
    <t>Tichy</t>
  </si>
  <si>
    <t>Boukhelifa</t>
  </si>
  <si>
    <t xml:space="preserve">Chemini </t>
  </si>
  <si>
    <t>Akfadou</t>
  </si>
  <si>
    <t>Ires</t>
  </si>
  <si>
    <t>DFN Taguemount</t>
  </si>
  <si>
    <t>Aokas</t>
  </si>
  <si>
    <t>Tzi n'berber</t>
  </si>
  <si>
    <t>DFN Beni melloul</t>
  </si>
  <si>
    <t>Intérêt  Pastoral (Regénération des parcours)</t>
  </si>
  <si>
    <t>Total</t>
  </si>
  <si>
    <t>M'cisna</t>
  </si>
  <si>
    <t>Amizour</t>
  </si>
  <si>
    <t>Beni djellil</t>
  </si>
  <si>
    <t>CZ+BROUSS</t>
  </si>
  <si>
    <t>MAQUIS+BROUSS</t>
  </si>
  <si>
    <t>Iarichen</t>
  </si>
  <si>
    <t>Tala hamza</t>
  </si>
  <si>
    <t>Tahanout</t>
  </si>
  <si>
    <t>Intérêt  Agricole (défrichement)</t>
  </si>
  <si>
    <t>Intérêt  (modification utilisation des terres)</t>
  </si>
  <si>
    <t>DFN Akfadou est</t>
  </si>
  <si>
    <t>CL+BROUSS</t>
  </si>
  <si>
    <t>Loisirs (Barbecue)</t>
  </si>
  <si>
    <t>Darguina</t>
  </si>
  <si>
    <t>DFN Darguina</t>
  </si>
  <si>
    <t>Aguemoune oukerdouche</t>
  </si>
  <si>
    <t>Adrar n'djoua</t>
  </si>
  <si>
    <t>Hellafa</t>
  </si>
  <si>
    <t>Iazounène</t>
  </si>
  <si>
    <t>Ait Boujit</t>
  </si>
  <si>
    <t>Timezrit</t>
  </si>
  <si>
    <t>DFN Beni immel</t>
  </si>
  <si>
    <t>CL+MAQUIS</t>
  </si>
  <si>
    <t>Imaghedassen</t>
  </si>
  <si>
    <t>Décharge illégale</t>
  </si>
  <si>
    <t>DFN Nezla</t>
  </si>
  <si>
    <t>Ifalazen</t>
  </si>
  <si>
    <t>DFN Beni mimoun</t>
  </si>
  <si>
    <t>Zioui</t>
  </si>
  <si>
    <t>Conflit (représailles contre un groupe)</t>
  </si>
  <si>
    <t>CZ+MAQUIS</t>
  </si>
  <si>
    <t>Tifernine</t>
  </si>
  <si>
    <t>Kendira</t>
  </si>
  <si>
    <t>Affroun cheikh</t>
  </si>
  <si>
    <t>Agueni messaoud</t>
  </si>
  <si>
    <t>Bouchibane</t>
  </si>
  <si>
    <t>Taskriout</t>
  </si>
  <si>
    <t>AKfadou</t>
  </si>
  <si>
    <t>Timri mahmoud</t>
  </si>
  <si>
    <t>Ait smail</t>
  </si>
  <si>
    <t>Boumedjber</t>
  </si>
  <si>
    <t>Taguemount</t>
  </si>
  <si>
    <t>Bouthizits</t>
  </si>
  <si>
    <t>Bouissi</t>
  </si>
  <si>
    <t>Agoumadh</t>
  </si>
  <si>
    <t>PC,SF,DW,ANP</t>
  </si>
  <si>
    <t>CV+BROUSS</t>
  </si>
  <si>
    <t>CA+BROUSS</t>
  </si>
  <si>
    <t>PC,SF,ANP</t>
  </si>
  <si>
    <t>Tazerout</t>
  </si>
  <si>
    <t>Tala bouzel</t>
  </si>
  <si>
    <t>Takhlicht</t>
  </si>
  <si>
    <t>Souk el tenine</t>
  </si>
  <si>
    <t>Tamridjet</t>
  </si>
  <si>
    <t xml:space="preserve">DFN Oued agrioun </t>
  </si>
  <si>
    <t>Temps chaud, vent faible</t>
  </si>
  <si>
    <t>DFN Illoula</t>
  </si>
  <si>
    <t xml:space="preserve"> 36°15’26.93’’</t>
  </si>
  <si>
    <t xml:space="preserve"> 36°15’28.67’’</t>
  </si>
  <si>
    <t xml:space="preserve"> 36°27’44.69’’</t>
  </si>
  <si>
    <t xml:space="preserve"> 36°34’14.24’’</t>
  </si>
  <si>
    <t xml:space="preserve"> 36°34’27.70’’</t>
  </si>
  <si>
    <t xml:space="preserve"> 36°33’42,11’’</t>
  </si>
  <si>
    <t>Taarkoubt</t>
  </si>
  <si>
    <t>Temps très chaud, vent violent</t>
  </si>
  <si>
    <t>Melbou</t>
  </si>
  <si>
    <t>Thoulmouts</t>
  </si>
  <si>
    <t>Bourafaa</t>
  </si>
  <si>
    <t>DFN Oued djemaa</t>
  </si>
  <si>
    <t>SF,VOL</t>
  </si>
  <si>
    <t>Bejaia</t>
  </si>
  <si>
    <t>Ait boujit</t>
  </si>
  <si>
    <t>Baktour</t>
  </si>
  <si>
    <t>Kefrida</t>
  </si>
  <si>
    <t>04°36'21.53"</t>
  </si>
  <si>
    <t>36°37'70.28"</t>
  </si>
  <si>
    <t>36°28'54.00"</t>
  </si>
  <si>
    <t>04°45'40.92"</t>
  </si>
  <si>
    <t>36°35'51.51"</t>
  </si>
  <si>
    <t>04°44'52.85"</t>
  </si>
  <si>
    <t>36°35'44.18"</t>
  </si>
  <si>
    <t>36°35'13,57"</t>
  </si>
  <si>
    <t>04°35'33,01"</t>
  </si>
  <si>
    <t>36°37'20,43"</t>
  </si>
  <si>
    <t>36°35'90,91"</t>
  </si>
  <si>
    <t>04°35'27,75"</t>
  </si>
  <si>
    <t>36°37'33,19"</t>
  </si>
  <si>
    <t>04°36'30,19"</t>
  </si>
  <si>
    <t>36°38'33,41"</t>
  </si>
  <si>
    <t>04°35'18,33"</t>
  </si>
  <si>
    <t>36°34'51,86"</t>
  </si>
  <si>
    <t>04°35'16,40"</t>
  </si>
  <si>
    <t>36°37'26,93"</t>
  </si>
  <si>
    <t>04°36'53,94"</t>
  </si>
  <si>
    <t>36°35'54,05"</t>
  </si>
  <si>
    <t>04°36'13,37"</t>
  </si>
  <si>
    <t>04°37'13.00"</t>
  </si>
  <si>
    <t>36°50'55.00"</t>
  </si>
  <si>
    <t>04°36'26.25"</t>
  </si>
  <si>
    <t>36°42'41.16"</t>
  </si>
  <si>
    <t>04°34'24.35"</t>
  </si>
  <si>
    <t>36°43'21.42"</t>
  </si>
  <si>
    <t>04°40'37.41"</t>
  </si>
  <si>
    <t>36°43'02.19"</t>
  </si>
  <si>
    <t>04°36'30.14"</t>
  </si>
  <si>
    <t>36°43'16.33"</t>
  </si>
  <si>
    <t>04°38'05.30"</t>
  </si>
  <si>
    <t>04°36'43.26"</t>
  </si>
  <si>
    <t>36°43'11.47"</t>
  </si>
  <si>
    <t>05°14'36.66"</t>
  </si>
  <si>
    <t>36°35'48.95"</t>
  </si>
  <si>
    <t>05°14'01.09"</t>
  </si>
  <si>
    <t>36°34'41.56"</t>
  </si>
  <si>
    <t>05°01'43.28"</t>
  </si>
  <si>
    <t>36°41'57.35"</t>
  </si>
  <si>
    <t>05°11'46.09"</t>
  </si>
  <si>
    <t>36°34'49.15"</t>
  </si>
  <si>
    <t>36°39'22.58"</t>
  </si>
  <si>
    <t>05°03'50.96"</t>
  </si>
  <si>
    <t>05°05'31.64"</t>
  </si>
  <si>
    <t>36°40'36.18"</t>
  </si>
  <si>
    <t>05°10'55.25"</t>
  </si>
  <si>
    <t>36°34'33.60"</t>
  </si>
  <si>
    <t>05°09'59.71"</t>
  </si>
  <si>
    <t>36°34'10.00"</t>
  </si>
  <si>
    <t>05°11'28.55"</t>
  </si>
  <si>
    <t>36°34'37.95"</t>
  </si>
  <si>
    <t>05°11'07.78"</t>
  </si>
  <si>
    <t>36°34'57.95"</t>
  </si>
  <si>
    <t>05°05'59.35"</t>
  </si>
  <si>
    <t>04°38'33.33"</t>
  </si>
  <si>
    <t>36°43'46.30"</t>
  </si>
  <si>
    <t>36°43'46.28"</t>
  </si>
  <si>
    <t>04°38'33.31"</t>
  </si>
  <si>
    <t>Sidi djaber</t>
  </si>
  <si>
    <t xml:space="preserve">DFN Beni segoual </t>
  </si>
  <si>
    <t>Tighilt messaoud</t>
  </si>
  <si>
    <t>Carte</t>
  </si>
  <si>
    <t xml:space="preserve"> 36°41’11.96’’</t>
  </si>
  <si>
    <t xml:space="preserve"> 36°41’12.06’’</t>
  </si>
  <si>
    <t>DFN Madala</t>
  </si>
  <si>
    <t>CL+CZ+BROUSS</t>
  </si>
  <si>
    <t>DFN Ait ouaret ouali</t>
  </si>
  <si>
    <t xml:space="preserve">Kherrata </t>
  </si>
  <si>
    <t xml:space="preserve">Draa el gaid </t>
  </si>
  <si>
    <t>Lahrayèche</t>
  </si>
  <si>
    <t>Ighil hessain</t>
  </si>
  <si>
    <t>Lota</t>
  </si>
  <si>
    <t>DFN Laalam</t>
  </si>
  <si>
    <t>05°27'19.61"</t>
  </si>
  <si>
    <t>33°27'42.35"</t>
  </si>
  <si>
    <t>05°31'23.36"</t>
  </si>
  <si>
    <t>33°31'32.93"</t>
  </si>
  <si>
    <t>05°31'18.99"</t>
  </si>
  <si>
    <t>33°31'58.80"</t>
  </si>
  <si>
    <t>33°31'48.12"</t>
  </si>
  <si>
    <t>05°31'27.22"</t>
  </si>
  <si>
    <t>33°31'34.86"</t>
  </si>
  <si>
    <t>05°28'19.35"</t>
  </si>
  <si>
    <t>33°29'38.46"</t>
  </si>
  <si>
    <t>04°45'15.74"</t>
  </si>
  <si>
    <t>33°27'24.73"</t>
  </si>
  <si>
    <t>05°33'20.81"</t>
  </si>
  <si>
    <t>33°32'34.72"</t>
  </si>
  <si>
    <t>05°29'55.53"</t>
  </si>
  <si>
    <t>33°31'15.47"</t>
  </si>
  <si>
    <t>05°35'36.26"</t>
  </si>
  <si>
    <t>33°31'04.68"</t>
  </si>
  <si>
    <t>36°40’14.03’’</t>
  </si>
  <si>
    <t>36°30’04.20’’</t>
  </si>
  <si>
    <t>36°40’54.73’’</t>
  </si>
  <si>
    <t>36°44'01.68"</t>
  </si>
  <si>
    <t>04°53'14.52"</t>
  </si>
  <si>
    <t>36°34'49.84"</t>
  </si>
  <si>
    <t>04°46'52.61"</t>
  </si>
  <si>
    <t>36°33'08.60"</t>
  </si>
  <si>
    <t>04°58'42.85"</t>
  </si>
  <si>
    <t xml:space="preserve"> 04°40’55.56’’  </t>
  </si>
  <si>
    <t xml:space="preserve"> 04°33’44.06’’  </t>
  </si>
  <si>
    <t>Accidentelle</t>
  </si>
  <si>
    <t>Travaux agricoles</t>
  </si>
  <si>
    <t xml:space="preserve"> 04°30’09.47’’  </t>
  </si>
  <si>
    <t xml:space="preserve"> 04°46’45.05’’  </t>
  </si>
  <si>
    <t xml:space="preserve"> 04°12’10.08’’  </t>
  </si>
  <si>
    <t xml:space="preserve"> 04°34’31.36’’  </t>
  </si>
  <si>
    <t xml:space="preserve"> 04°33’42.11’’  </t>
  </si>
  <si>
    <t xml:space="preserve"> 04°33’44.65’’  </t>
  </si>
  <si>
    <t xml:space="preserve"> 04°47’24.67’’  </t>
  </si>
  <si>
    <t xml:space="preserve"> 04°34’27.32’’  </t>
  </si>
  <si>
    <t xml:space="preserve"> 04°33’55.71’’  </t>
  </si>
  <si>
    <t xml:space="preserve"> 05°30'09.52"</t>
  </si>
  <si>
    <t xml:space="preserve"> 04°45'52.69"</t>
  </si>
  <si>
    <t xml:space="preserve"> 04°34'15,08"</t>
  </si>
  <si>
    <t xml:space="preserve"> 04°44’12.98’’  </t>
  </si>
  <si>
    <t>Mezouara</t>
  </si>
  <si>
    <t>DFN Taourirt ighil</t>
  </si>
  <si>
    <t>Ifigha</t>
  </si>
  <si>
    <t>CL+MAQUIS+BROUSS</t>
  </si>
  <si>
    <t>Bradma</t>
  </si>
  <si>
    <t>Alma</t>
  </si>
  <si>
    <t>Beni merai</t>
  </si>
  <si>
    <t>36°42’59.56’’</t>
  </si>
  <si>
    <t>36°43’08.16’’</t>
  </si>
  <si>
    <t>04°27'36.10"</t>
  </si>
  <si>
    <t>36°27'46.60"</t>
  </si>
  <si>
    <t>04°31'23.78"</t>
  </si>
  <si>
    <t>36°30'34.19"</t>
  </si>
  <si>
    <t>Boukriche</t>
  </si>
  <si>
    <t>Ougana</t>
  </si>
  <si>
    <t>Tizi meghlaz</t>
  </si>
  <si>
    <t>Tibane</t>
  </si>
  <si>
    <t>Mezgoug</t>
  </si>
  <si>
    <t>Ansaf</t>
  </si>
  <si>
    <t>04°57'18.88"</t>
  </si>
  <si>
    <t>36°40'23.84"</t>
  </si>
  <si>
    <t>36°32'02.12"</t>
  </si>
  <si>
    <t>05°02'08.45"</t>
  </si>
  <si>
    <t>05°03'05.61"</t>
  </si>
  <si>
    <t>36°32'24.30"</t>
  </si>
  <si>
    <t>04°46'45.69"</t>
  </si>
  <si>
    <t>36°41'21.58"</t>
  </si>
  <si>
    <t>36°40'42.24"</t>
  </si>
  <si>
    <t>04°44'42.63"</t>
  </si>
  <si>
    <t>Taachachet</t>
  </si>
  <si>
    <t>Iguerfiouene</t>
  </si>
  <si>
    <t>04°31'36.20"</t>
  </si>
  <si>
    <t>36°31'14.56"</t>
  </si>
  <si>
    <t>36°41'22.90"</t>
  </si>
  <si>
    <t>04°37'40.29"</t>
  </si>
  <si>
    <t>04°35'29.17"</t>
  </si>
  <si>
    <t>36°39'26.75"</t>
  </si>
  <si>
    <t>04°37'54.99"</t>
  </si>
  <si>
    <t>36°37'00.92"</t>
  </si>
  <si>
    <t>Amadel</t>
  </si>
  <si>
    <t>36°35'06.94"</t>
  </si>
  <si>
    <t>05°10'10.50"</t>
  </si>
  <si>
    <t>05°09'51.22"</t>
  </si>
  <si>
    <t>36°38'21.43"</t>
  </si>
  <si>
    <t>05°05'18.23"</t>
  </si>
  <si>
    <t>36°39'45.11"</t>
  </si>
  <si>
    <t>05°14'41.25"</t>
  </si>
  <si>
    <t>36°36'13.62"</t>
  </si>
  <si>
    <t>04°57'55.34"</t>
  </si>
  <si>
    <t>36°46'07.68"</t>
  </si>
  <si>
    <t>05°11'09.20"</t>
  </si>
  <si>
    <t>36°35'14.19"</t>
  </si>
  <si>
    <t>05°09'01.26"</t>
  </si>
  <si>
    <t>36°36'05.83"</t>
  </si>
  <si>
    <t>05°13'15.83"</t>
  </si>
  <si>
    <t>36°35'01.59"</t>
  </si>
  <si>
    <t>05°11'03.25"</t>
  </si>
  <si>
    <t>36°34'39.11"</t>
  </si>
  <si>
    <t>05°01'51.83"</t>
  </si>
  <si>
    <t>36°44'17.14"</t>
  </si>
  <si>
    <t>05°14'49.36"</t>
  </si>
  <si>
    <t>36°35'48.99"</t>
  </si>
  <si>
    <t>05°11'36.98"</t>
  </si>
  <si>
    <t>36°36'40.65"</t>
  </si>
  <si>
    <t>04°59'50.57"</t>
  </si>
  <si>
    <t>36°46'20.17"</t>
  </si>
  <si>
    <t>05°05'39.23"</t>
  </si>
  <si>
    <t>36°38'19.15"</t>
  </si>
  <si>
    <t>04°59'04.42"</t>
  </si>
  <si>
    <t>36°48'30.14"</t>
  </si>
  <si>
    <t>05°03'18.18"</t>
  </si>
  <si>
    <t>36°32'54.53"</t>
  </si>
  <si>
    <t>05°24'37.25"</t>
  </si>
  <si>
    <t>36°36'42.57"</t>
  </si>
  <si>
    <t>36°37'27.16</t>
  </si>
  <si>
    <t>05°18'33.80"</t>
  </si>
  <si>
    <t>36°32'55.72"</t>
  </si>
  <si>
    <t>05°13'21.73"</t>
  </si>
  <si>
    <t>36°32'42.40</t>
  </si>
  <si>
    <t>05°15'29.75"</t>
  </si>
  <si>
    <t>36°36'19.38"</t>
  </si>
  <si>
    <t>05°21'14.69"</t>
  </si>
  <si>
    <t>36°34'23.92"</t>
  </si>
  <si>
    <t>05°16'51.20"</t>
  </si>
  <si>
    <t>36°34'50.95"</t>
  </si>
  <si>
    <t>05°18'50.68"</t>
  </si>
  <si>
    <t>36°34'30.07"</t>
  </si>
  <si>
    <t>05°24'22.06"</t>
  </si>
  <si>
    <t>36°35'11.01"</t>
  </si>
  <si>
    <t>05°15'41.10"</t>
  </si>
  <si>
    <t>36°35'57.68"</t>
  </si>
  <si>
    <t>05°23'51.80"</t>
  </si>
  <si>
    <t>05°15'46.62"</t>
  </si>
  <si>
    <t>05°21'49.34"</t>
  </si>
  <si>
    <t>05°19'07.75"</t>
  </si>
  <si>
    <t>36°36'44.10"</t>
  </si>
  <si>
    <t>05°20'28.49"</t>
  </si>
  <si>
    <t>36°35'32.27"</t>
  </si>
  <si>
    <t>05°21'23.36"</t>
  </si>
  <si>
    <t>36°26'35.66"</t>
  </si>
  <si>
    <t>05°17'11.38"</t>
  </si>
  <si>
    <t>36°37'14.10"</t>
  </si>
  <si>
    <t>05°19'19.53"</t>
  </si>
  <si>
    <t>36°33'49.58"</t>
  </si>
  <si>
    <t>05°51'40.36"</t>
  </si>
  <si>
    <t>36°36'33.99"</t>
  </si>
  <si>
    <t>05°23'39.03"</t>
  </si>
  <si>
    <t>36°37'56.59"</t>
  </si>
  <si>
    <t>05°21'52.38"</t>
  </si>
  <si>
    <t>36°37'19.95"</t>
  </si>
  <si>
    <t>05°19'20.73"</t>
  </si>
  <si>
    <t>05°23'04.80"</t>
  </si>
  <si>
    <t>36°34'24.63"</t>
  </si>
  <si>
    <t>05°17'31.02"</t>
  </si>
  <si>
    <t>36°36'42.21"</t>
  </si>
  <si>
    <t>05°24'27.20"</t>
  </si>
  <si>
    <t>05°17'16.32"</t>
  </si>
  <si>
    <t>36°34'23.81"</t>
  </si>
  <si>
    <t>05°20'30.54"</t>
  </si>
  <si>
    <t>36°33'24.73"</t>
  </si>
  <si>
    <t>36°33'48.81"</t>
  </si>
  <si>
    <t>05°15'57.96"</t>
  </si>
  <si>
    <t>36°35'20.15"</t>
  </si>
  <si>
    <t>05°14'21.54"</t>
  </si>
  <si>
    <t>36°30'46.46"</t>
  </si>
  <si>
    <t>05°19'00.85"</t>
  </si>
  <si>
    <t>Souk oufella</t>
  </si>
  <si>
    <t>Beni maouche</t>
  </si>
  <si>
    <t>Adrar n'tébessa</t>
  </si>
  <si>
    <t>Ighil oumejbar</t>
  </si>
  <si>
    <t>05°21'05.24"</t>
  </si>
  <si>
    <t>05°22'04.30"</t>
  </si>
  <si>
    <t>36°38'08.27"</t>
  </si>
  <si>
    <t>36°34'05.51"</t>
  </si>
  <si>
    <t>36°35'06.86"</t>
  </si>
  <si>
    <t>36°39'00.13"</t>
  </si>
  <si>
    <t>36°36'08.90"</t>
  </si>
  <si>
    <t>36°31'05.45"</t>
  </si>
  <si>
    <t>36°34'05.70"</t>
  </si>
  <si>
    <t>PA+MAQUIS+BROUSS</t>
  </si>
  <si>
    <t>Objets incandescents</t>
  </si>
  <si>
    <t>04°32'42.92"</t>
  </si>
  <si>
    <t>36°32'41.38"</t>
  </si>
  <si>
    <t>04°31'42.92"</t>
  </si>
  <si>
    <t>36°31'23.94"</t>
  </si>
  <si>
    <t xml:space="preserve">  04°34’56.26’’  </t>
  </si>
  <si>
    <t xml:space="preserve">  04°35’38.33’’  </t>
  </si>
  <si>
    <t xml:space="preserve">Taarkoubt </t>
  </si>
  <si>
    <t>04°56'09.39"</t>
  </si>
  <si>
    <t>36°31'54.59"</t>
  </si>
  <si>
    <t>04°37'00.48"</t>
  </si>
  <si>
    <t>36°37'16.10"</t>
  </si>
  <si>
    <t xml:space="preserve">  04°38'22.74"</t>
  </si>
  <si>
    <t xml:space="preserve"> 36°36'42.48"</t>
  </si>
  <si>
    <t>Ankia</t>
  </si>
  <si>
    <t>Taourt ouath rahma</t>
  </si>
  <si>
    <t>05°05'58.04"</t>
  </si>
  <si>
    <t>36°41'07.05"</t>
  </si>
  <si>
    <t>Sidi aich</t>
  </si>
  <si>
    <t>Tifra</t>
  </si>
  <si>
    <t xml:space="preserve"> 04°38'22.74"</t>
  </si>
  <si>
    <t>04°38'42.69"</t>
  </si>
  <si>
    <t>36°40'17.99"</t>
  </si>
  <si>
    <t>Tasta el azla</t>
  </si>
  <si>
    <t>Temps tempéré, vent faible</t>
  </si>
  <si>
    <t xml:space="preserve"> 05°04'24.04"</t>
  </si>
  <si>
    <t>36°37'25.80"</t>
  </si>
  <si>
    <t>05°04'24.04"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</si>
  <si>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</si>
  <si>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CL+CV+MAQUIS</t>
  </si>
  <si>
    <t>04°39'05.32"</t>
  </si>
  <si>
    <t>36°37'47.30"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</si>
</sst>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\ _€"/>
    <numFmt numFmtId="178" formatCode="0.000"/>
  </numFmts>
  <fonts count="6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10"/>
      <name val="Arial"/>
      <family val="2"/>
    </font>
    <font>
      <b/>
      <sz val="11"/>
      <color indexed="10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Times New Roman"/>
      <family val="1"/>
    </font>
    <font>
      <b/>
      <sz val="12"/>
      <name val="Arial"/>
      <family val="2"/>
    </font>
    <font>
      <b/>
      <u/>
      <sz val="9"/>
      <name val="Times New Roman"/>
      <family val="1"/>
    </font>
    <font>
      <sz val="9"/>
      <color indexed="8"/>
      <name val="Times New Roman"/>
      <family val="1"/>
    </font>
    <font>
      <b/>
      <u/>
      <sz val="10"/>
      <name val="Arial"/>
      <family val="2"/>
    </font>
    <font>
      <sz val="10"/>
      <color indexed="8"/>
      <name val="Calibri"/>
      <family val="2"/>
    </font>
    <font>
      <b/>
      <sz val="12"/>
      <name val="Times New Roman"/>
      <family val="1"/>
    </font>
    <font>
      <sz val="10"/>
      <color indexed="8"/>
      <name val="Arial"/>
      <family val="2"/>
    </font>
    <font>
      <b/>
      <sz val="10"/>
      <name val="Arial Narrow"/>
      <family val="2"/>
    </font>
    <font>
      <b/>
      <sz val="10"/>
      <color indexed="8"/>
      <name val="Arial Narrow"/>
      <family val="2"/>
    </font>
    <font>
      <u/>
      <sz val="10"/>
      <name val="Arial"/>
      <family val="2"/>
    </font>
    <font>
      <b/>
      <u/>
      <sz val="12"/>
      <name val="Arial"/>
      <family val="2"/>
    </font>
    <font>
      <b/>
      <u/>
      <sz val="12"/>
      <color indexed="8"/>
      <name val="Calibri"/>
      <family val="2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  <font>
      <b/>
      <sz val="12"/>
      <color indexed="8"/>
      <name val="Arial Narrow"/>
      <family val="2"/>
    </font>
    <font>
      <b/>
      <sz val="10"/>
      <color indexed="10"/>
      <name val="Arial Narrow"/>
      <family val="2"/>
    </font>
    <font>
      <b/>
      <sz val="11"/>
      <name val="Arial Narrow"/>
      <family val="2"/>
    </font>
    <font>
      <b/>
      <sz val="11"/>
      <color indexed="10"/>
      <name val="Arial Narrow"/>
      <family val="2"/>
    </font>
    <font>
      <b/>
      <u/>
      <sz val="10"/>
      <name val="Arial Narrow"/>
      <family val="2"/>
    </font>
    <font>
      <b/>
      <sz val="12"/>
      <name val="Arial Narrow"/>
      <family val="2"/>
    </font>
    <font>
      <b/>
      <sz val="10"/>
      <color indexed="8"/>
      <name val="Calibri"/>
      <family val="2"/>
    </font>
    <font>
      <b/>
      <u/>
      <sz val="12"/>
      <name val="Arial Narrow"/>
      <family val="2"/>
    </font>
    <font>
      <b/>
      <u/>
      <sz val="11"/>
      <name val="Arial Narrow"/>
      <family val="2"/>
    </font>
    <font>
      <b/>
      <u/>
      <sz val="11"/>
      <color indexed="8"/>
      <name val="Arial Narrow"/>
      <family val="2"/>
    </font>
    <font>
      <b/>
      <u/>
      <sz val="9"/>
      <name val="Arial Narrow"/>
      <family val="2"/>
    </font>
    <font>
      <b/>
      <sz val="9"/>
      <name val="Arial Narrow"/>
      <family val="2"/>
    </font>
    <font>
      <b/>
      <sz val="9"/>
      <color indexed="10"/>
      <name val="Arial Narrow"/>
      <family val="2"/>
    </font>
    <font>
      <b/>
      <sz val="8"/>
      <name val="Arial Narrow"/>
      <family val="2"/>
    </font>
    <font>
      <b/>
      <sz val="8"/>
      <color indexed="8"/>
      <name val="Arial Narrow"/>
      <family val="2"/>
    </font>
    <font>
      <u/>
      <sz val="12"/>
      <name val="Arial"/>
      <family val="2"/>
    </font>
    <font>
      <b/>
      <u/>
      <sz val="11"/>
      <name val="Arial"/>
      <family val="2"/>
    </font>
    <font>
      <b/>
      <sz val="14"/>
      <color indexed="8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13">
    <xf numFmtId="0" fontId="0" fillId="0" borderId="0" xfId="0"/>
    <xf numFmtId="0" fontId="1" fillId="0" borderId="0" xfId="1"/>
    <xf numFmtId="0" fontId="6" fillId="0" borderId="0" xfId="1" applyFont="1"/>
    <xf numFmtId="0" fontId="1" fillId="0" borderId="0" xfId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7" xfId="2" applyFont="1" applyBorder="1"/>
    <xf numFmtId="0" fontId="7" fillId="0" borderId="8" xfId="2" applyFont="1" applyBorder="1"/>
    <xf numFmtId="0" fontId="7" fillId="0" borderId="9" xfId="2" applyFont="1" applyBorder="1"/>
    <xf numFmtId="0" fontId="10" fillId="0" borderId="0" xfId="0" applyFont="1"/>
    <xf numFmtId="0" fontId="7" fillId="0" borderId="10" xfId="2" applyFont="1" applyFill="1" applyBorder="1"/>
    <xf numFmtId="0" fontId="0" fillId="0" borderId="11" xfId="0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0" fillId="0" borderId="12" xfId="0" applyBorder="1"/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0" borderId="0" xfId="1" applyFont="1"/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17" xfId="0" applyFill="1" applyBorder="1"/>
    <xf numFmtId="0" fontId="0" fillId="0" borderId="17" xfId="0" applyBorder="1"/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0" fontId="12" fillId="0" borderId="18" xfId="0" applyFont="1" applyBorder="1"/>
    <xf numFmtId="0" fontId="0" fillId="3" borderId="0" xfId="0" applyNumberFormat="1" applyFill="1"/>
    <xf numFmtId="0" fontId="0" fillId="3" borderId="17" xfId="0" applyNumberFormat="1" applyFill="1" applyBorder="1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Fill="1"/>
    <xf numFmtId="0" fontId="13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1" applyAlignment="1"/>
    <xf numFmtId="0" fontId="0" fillId="0" borderId="0" xfId="0" applyAlignment="1"/>
    <xf numFmtId="0" fontId="5" fillId="0" borderId="0" xfId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2" fontId="0" fillId="0" borderId="0" xfId="0" applyNumberFormat="1"/>
    <xf numFmtId="0" fontId="12" fillId="0" borderId="0" xfId="0" applyFont="1" applyBorder="1"/>
    <xf numFmtId="0" fontId="7" fillId="0" borderId="0" xfId="1" applyFont="1" applyFill="1" applyBorder="1" applyAlignment="1">
      <alignment horizontal="center" vertical="center" wrapText="1"/>
    </xf>
    <xf numFmtId="2" fontId="0" fillId="3" borderId="0" xfId="0" applyNumberFormat="1" applyFill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5" fillId="0" borderId="12" xfId="1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18" fillId="0" borderId="0" xfId="1" applyFont="1"/>
    <xf numFmtId="0" fontId="28" fillId="0" borderId="0" xfId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0" xfId="1" applyFont="1"/>
    <xf numFmtId="0" fontId="27" fillId="0" borderId="0" xfId="1" applyFont="1"/>
    <xf numFmtId="0" fontId="27" fillId="0" borderId="0" xfId="1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32" fillId="3" borderId="0" xfId="0" applyFont="1" applyFill="1" applyBorder="1"/>
    <xf numFmtId="0" fontId="21" fillId="0" borderId="0" xfId="1" applyFont="1" applyAlignment="1">
      <alignment horizontal="left"/>
    </xf>
    <xf numFmtId="0" fontId="24" fillId="0" borderId="0" xfId="0" applyFont="1" applyAlignment="1">
      <alignment horizontal="left"/>
    </xf>
    <xf numFmtId="0" fontId="7" fillId="0" borderId="0" xfId="1" applyFont="1"/>
    <xf numFmtId="0" fontId="10" fillId="0" borderId="0" xfId="0" applyFont="1" applyAlignment="1">
      <alignment horizontal="left"/>
    </xf>
    <xf numFmtId="0" fontId="28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/>
    <xf numFmtId="1" fontId="25" fillId="4" borderId="12" xfId="1" applyNumberFormat="1" applyFont="1" applyFill="1" applyBorder="1" applyAlignment="1">
      <alignment horizontal="center" vertical="center" wrapText="1"/>
    </xf>
    <xf numFmtId="1" fontId="25" fillId="4" borderId="19" xfId="1" applyNumberFormat="1" applyFont="1" applyFill="1" applyBorder="1" applyAlignment="1">
      <alignment horizontal="center" vertical="center" wrapText="1"/>
    </xf>
    <xf numFmtId="0" fontId="25" fillId="4" borderId="12" xfId="1" applyFont="1" applyFill="1" applyBorder="1" applyAlignment="1">
      <alignment horizontal="center" vertical="center" wrapText="1"/>
    </xf>
    <xf numFmtId="0" fontId="25" fillId="4" borderId="12" xfId="1" applyFont="1" applyFill="1" applyBorder="1" applyAlignment="1">
      <alignment horizontal="left" vertical="center" wrapText="1"/>
    </xf>
    <xf numFmtId="2" fontId="25" fillId="4" borderId="12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51" fillId="0" borderId="0" xfId="0" applyFont="1"/>
    <xf numFmtId="0" fontId="51" fillId="0" borderId="17" xfId="0" applyFont="1" applyBorder="1"/>
    <xf numFmtId="2" fontId="0" fillId="0" borderId="0" xfId="0" applyNumberFormat="1" applyAlignment="1">
      <alignment horizontal="center" vertical="center"/>
    </xf>
    <xf numFmtId="1" fontId="25" fillId="0" borderId="12" xfId="1" applyNumberFormat="1" applyFont="1" applyFill="1" applyBorder="1" applyAlignment="1">
      <alignment horizontal="left" vertical="center" wrapText="1"/>
    </xf>
    <xf numFmtId="0" fontId="25" fillId="0" borderId="12" xfId="1" applyFont="1" applyFill="1" applyBorder="1" applyAlignment="1">
      <alignment horizontal="center" vertical="center" wrapText="1"/>
    </xf>
    <xf numFmtId="1" fontId="25" fillId="0" borderId="12" xfId="1" applyNumberFormat="1" applyFont="1" applyFill="1" applyBorder="1" applyAlignment="1">
      <alignment horizontal="center" vertical="center" wrapText="1"/>
    </xf>
    <xf numFmtId="0" fontId="25" fillId="0" borderId="0" xfId="1" applyFont="1" applyFill="1" applyBorder="1" applyAlignment="1">
      <alignment horizontal="center" vertical="center" wrapText="1"/>
    </xf>
    <xf numFmtId="0" fontId="7" fillId="0" borderId="16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0" fillId="0" borderId="17" xfId="0" applyBorder="1" applyAlignment="1"/>
    <xf numFmtId="0" fontId="2" fillId="0" borderId="0" xfId="1" applyFont="1" applyAlignment="1">
      <alignment vertical="center" wrapText="1"/>
    </xf>
    <xf numFmtId="0" fontId="19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4" fillId="0" borderId="0" xfId="1" applyFont="1" applyBorder="1" applyAlignment="1">
      <alignment horizontal="center"/>
    </xf>
    <xf numFmtId="0" fontId="0" fillId="0" borderId="0" xfId="0" quotePrefix="1"/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2" fontId="25" fillId="4" borderId="22" xfId="1" applyNumberFormat="1" applyFont="1" applyFill="1" applyBorder="1" applyAlignment="1">
      <alignment horizontal="center" vertical="center"/>
    </xf>
    <xf numFmtId="2" fontId="25" fillId="4" borderId="22" xfId="1" applyNumberFormat="1" applyFont="1" applyFill="1" applyBorder="1" applyAlignment="1">
      <alignment horizontal="center" vertical="center" wrapText="1"/>
    </xf>
    <xf numFmtId="0" fontId="25" fillId="4" borderId="23" xfId="1" applyFont="1" applyFill="1" applyBorder="1" applyAlignment="1">
      <alignment horizontal="center" vertical="center" wrapText="1"/>
    </xf>
    <xf numFmtId="1" fontId="25" fillId="4" borderId="24" xfId="1" applyNumberFormat="1" applyFont="1" applyFill="1" applyBorder="1" applyAlignment="1">
      <alignment horizontal="center" vertical="center" wrapText="1"/>
    </xf>
    <xf numFmtId="1" fontId="25" fillId="4" borderId="25" xfId="1" applyNumberFormat="1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vertical="center" wrapText="1"/>
    </xf>
    <xf numFmtId="1" fontId="25" fillId="0" borderId="24" xfId="1" applyNumberFormat="1" applyFont="1" applyFill="1" applyBorder="1" applyAlignment="1">
      <alignment horizontal="center" vertical="center" wrapText="1"/>
    </xf>
    <xf numFmtId="0" fontId="25" fillId="3" borderId="0" xfId="1" applyFont="1" applyFill="1" applyBorder="1" applyAlignment="1">
      <alignment vertical="center" wrapText="1"/>
    </xf>
    <xf numFmtId="1" fontId="25" fillId="4" borderId="12" xfId="1" applyNumberFormat="1" applyFont="1" applyFill="1" applyBorder="1" applyAlignment="1">
      <alignment vertical="center" wrapText="1"/>
    </xf>
    <xf numFmtId="2" fontId="25" fillId="4" borderId="12" xfId="1" applyNumberFormat="1" applyFont="1" applyFill="1" applyBorder="1" applyAlignment="1">
      <alignment horizontal="center" vertical="center"/>
    </xf>
    <xf numFmtId="1" fontId="25" fillId="4" borderId="26" xfId="1" applyNumberFormat="1" applyFont="1" applyFill="1" applyBorder="1" applyAlignment="1">
      <alignment horizontal="center" vertical="center" wrapText="1"/>
    </xf>
    <xf numFmtId="2" fontId="10" fillId="0" borderId="0" xfId="0" applyNumberFormat="1" applyFont="1"/>
    <xf numFmtId="178" fontId="25" fillId="0" borderId="12" xfId="1" applyNumberFormat="1" applyFont="1" applyFill="1" applyBorder="1" applyAlignment="1">
      <alignment horizontal="center" vertical="center" wrapText="1"/>
    </xf>
    <xf numFmtId="0" fontId="25" fillId="0" borderId="12" xfId="1" applyFont="1" applyFill="1" applyBorder="1" applyAlignment="1">
      <alignment vertical="center" wrapText="1"/>
    </xf>
    <xf numFmtId="1" fontId="25" fillId="0" borderId="19" xfId="1" applyNumberFormat="1" applyFont="1" applyFill="1" applyBorder="1" applyAlignment="1">
      <alignment horizontal="center" vertical="center" wrapText="1"/>
    </xf>
    <xf numFmtId="0" fontId="25" fillId="0" borderId="25" xfId="1" applyFont="1" applyFill="1" applyBorder="1" applyAlignment="1">
      <alignment horizontal="center" vertical="center" wrapText="1"/>
    </xf>
    <xf numFmtId="1" fontId="25" fillId="0" borderId="27" xfId="1" applyNumberFormat="1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5" fillId="0" borderId="24" xfId="1" applyFont="1" applyFill="1" applyBorder="1" applyAlignment="1">
      <alignment horizontal="center" vertical="center" wrapText="1"/>
    </xf>
    <xf numFmtId="0" fontId="35" fillId="0" borderId="16" xfId="1" applyFont="1" applyBorder="1" applyAlignment="1">
      <alignment horizontal="center" vertical="center" wrapText="1"/>
    </xf>
    <xf numFmtId="0" fontId="35" fillId="0" borderId="16" xfId="1" applyFont="1" applyFill="1" applyBorder="1" applyAlignment="1">
      <alignment horizontal="center" vertical="center" wrapText="1"/>
    </xf>
    <xf numFmtId="2" fontId="25" fillId="0" borderId="12" xfId="1" applyNumberFormat="1" applyFont="1" applyFill="1" applyBorder="1" applyAlignment="1">
      <alignment horizontal="center" vertical="center"/>
    </xf>
    <xf numFmtId="0" fontId="25" fillId="0" borderId="12" xfId="1" applyFont="1" applyFill="1" applyBorder="1" applyAlignment="1">
      <alignment horizontal="left" vertical="center" wrapText="1"/>
    </xf>
    <xf numFmtId="0" fontId="25" fillId="0" borderId="12" xfId="1" applyFont="1" applyFill="1" applyBorder="1" applyAlignment="1">
      <alignment horizontal="left" vertical="center"/>
    </xf>
    <xf numFmtId="0" fontId="25" fillId="0" borderId="28" xfId="1" applyFont="1" applyFill="1" applyBorder="1" applyAlignment="1">
      <alignment horizontal="center" vertical="center" wrapText="1"/>
    </xf>
    <xf numFmtId="0" fontId="37" fillId="0" borderId="0" xfId="1" applyFont="1" applyAlignment="1">
      <alignment horizontal="left"/>
    </xf>
    <xf numFmtId="0" fontId="35" fillId="4" borderId="12" xfId="1" applyFont="1" applyFill="1" applyBorder="1" applyAlignment="1">
      <alignment horizontal="center" vertical="center" wrapText="1"/>
    </xf>
    <xf numFmtId="1" fontId="35" fillId="4" borderId="12" xfId="1" applyNumberFormat="1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vertical="center" wrapText="1"/>
    </xf>
    <xf numFmtId="1" fontId="35" fillId="4" borderId="12" xfId="1" applyNumberFormat="1" applyFont="1" applyFill="1" applyBorder="1" applyAlignment="1">
      <alignment horizontal="left" vertical="center" wrapText="1"/>
    </xf>
    <xf numFmtId="0" fontId="35" fillId="0" borderId="29" xfId="1" applyFont="1" applyFill="1" applyBorder="1" applyAlignment="1">
      <alignment horizontal="center" vertical="center" wrapText="1"/>
    </xf>
    <xf numFmtId="0" fontId="25" fillId="4" borderId="12" xfId="1" applyFont="1" applyFill="1" applyBorder="1" applyAlignment="1">
      <alignment vertical="center" wrapText="1"/>
    </xf>
    <xf numFmtId="4" fontId="25" fillId="0" borderId="12" xfId="1" applyNumberFormat="1" applyFont="1" applyFill="1" applyBorder="1" applyAlignment="1">
      <alignment vertical="center" wrapText="1"/>
    </xf>
    <xf numFmtId="2" fontId="0" fillId="0" borderId="0" xfId="0" applyNumberFormat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left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left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5" xfId="1" applyFont="1" applyFill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left" vertical="center" wrapText="1"/>
    </xf>
    <xf numFmtId="176" fontId="0" fillId="0" borderId="0" xfId="0" applyNumberFormat="1" applyAlignment="1">
      <alignment vertical="center"/>
    </xf>
    <xf numFmtId="1" fontId="25" fillId="4" borderId="27" xfId="1" applyNumberFormat="1" applyFont="1" applyFill="1" applyBorder="1" applyAlignment="1">
      <alignment horizontal="center" vertical="center" wrapText="1"/>
    </xf>
    <xf numFmtId="0" fontId="25" fillId="4" borderId="27" xfId="1" applyFont="1" applyFill="1" applyBorder="1" applyAlignment="1">
      <alignment horizontal="center" vertical="center" wrapText="1"/>
    </xf>
    <xf numFmtId="2" fontId="25" fillId="4" borderId="27" xfId="1" applyNumberFormat="1" applyFont="1" applyFill="1" applyBorder="1" applyAlignment="1">
      <alignment horizontal="center" vertical="center"/>
    </xf>
    <xf numFmtId="2" fontId="25" fillId="4" borderId="27" xfId="1" applyNumberFormat="1" applyFont="1" applyFill="1" applyBorder="1" applyAlignment="1">
      <alignment horizontal="center" vertical="center" wrapText="1"/>
    </xf>
    <xf numFmtId="4" fontId="0" fillId="0" borderId="0" xfId="0" applyNumberFormat="1" applyAlignment="1"/>
    <xf numFmtId="4" fontId="1" fillId="0" borderId="0" xfId="1" applyNumberFormat="1" applyAlignment="1"/>
    <xf numFmtId="4" fontId="7" fillId="3" borderId="0" xfId="1" applyNumberFormat="1" applyFont="1" applyFill="1" applyBorder="1" applyAlignment="1">
      <alignment vertical="center"/>
    </xf>
    <xf numFmtId="0" fontId="25" fillId="4" borderId="24" xfId="1" applyFont="1" applyFill="1" applyBorder="1" applyAlignment="1">
      <alignment horizontal="center" vertical="center" wrapText="1"/>
    </xf>
    <xf numFmtId="0" fontId="0" fillId="4" borderId="0" xfId="0" applyFill="1"/>
    <xf numFmtId="0" fontId="2" fillId="4" borderId="0" xfId="1" applyFont="1" applyFill="1" applyAlignment="1">
      <alignment horizontal="left"/>
    </xf>
    <xf numFmtId="0" fontId="6" fillId="4" borderId="0" xfId="1" applyFont="1" applyFill="1"/>
    <xf numFmtId="0" fontId="2" fillId="0" borderId="0" xfId="1" applyFont="1" applyFill="1" applyAlignment="1">
      <alignment horizontal="left"/>
    </xf>
    <xf numFmtId="0" fontId="6" fillId="0" borderId="0" xfId="1" applyFont="1" applyFill="1"/>
    <xf numFmtId="0" fontId="25" fillId="0" borderId="31" xfId="1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vertical="center" wrapText="1"/>
    </xf>
    <xf numFmtId="4" fontId="25" fillId="4" borderId="12" xfId="1" applyNumberFormat="1" applyFont="1" applyFill="1" applyBorder="1" applyAlignment="1">
      <alignment horizontal="right" vertical="center" wrapText="1"/>
    </xf>
    <xf numFmtId="0" fontId="26" fillId="0" borderId="27" xfId="0" applyFont="1" applyFill="1" applyBorder="1" applyAlignment="1">
      <alignment vertical="center" wrapText="1"/>
    </xf>
    <xf numFmtId="0" fontId="25" fillId="0" borderId="27" xfId="1" applyFont="1" applyFill="1" applyBorder="1" applyAlignment="1">
      <alignment horizontal="left" vertical="center"/>
    </xf>
    <xf numFmtId="4" fontId="25" fillId="4" borderId="27" xfId="1" applyNumberFormat="1" applyFont="1" applyFill="1" applyBorder="1" applyAlignment="1">
      <alignment horizontal="right" vertical="center" wrapText="1"/>
    </xf>
    <xf numFmtId="2" fontId="23" fillId="0" borderId="32" xfId="1" applyNumberFormat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9" fillId="0" borderId="32" xfId="1" applyFont="1" applyBorder="1" applyAlignment="1">
      <alignment vertical="center" wrapText="1"/>
    </xf>
    <xf numFmtId="0" fontId="10" fillId="0" borderId="33" xfId="0" applyFont="1" applyBorder="1"/>
    <xf numFmtId="4" fontId="25" fillId="0" borderId="12" xfId="1" applyNumberFormat="1" applyFont="1" applyFill="1" applyBorder="1" applyAlignment="1">
      <alignment horizontal="right" vertical="center" wrapText="1"/>
    </xf>
    <xf numFmtId="2" fontId="0" fillId="3" borderId="0" xfId="0" applyNumberFormat="1" applyFill="1" applyBorder="1" applyAlignment="1">
      <alignment horizontal="center" vertical="center" wrapText="1"/>
    </xf>
    <xf numFmtId="2" fontId="0" fillId="0" borderId="0" xfId="0" applyNumberFormat="1" applyAlignment="1">
      <alignment horizontal="left"/>
    </xf>
    <xf numFmtId="2" fontId="51" fillId="0" borderId="0" xfId="0" applyNumberFormat="1" applyFont="1"/>
    <xf numFmtId="2" fontId="0" fillId="0" borderId="0" xfId="0" applyNumberFormat="1" applyAlignment="1"/>
    <xf numFmtId="1" fontId="2" fillId="0" borderId="0" xfId="1" applyNumberFormat="1" applyFont="1" applyAlignment="1"/>
    <xf numFmtId="1" fontId="2" fillId="0" borderId="0" xfId="1" applyNumberFormat="1" applyFont="1" applyAlignment="1">
      <alignment horizontal="left"/>
    </xf>
    <xf numFmtId="1" fontId="0" fillId="0" borderId="17" xfId="0" applyNumberFormat="1" applyBorder="1"/>
    <xf numFmtId="1" fontId="0" fillId="3" borderId="0" xfId="0" applyNumberFormat="1" applyFill="1"/>
    <xf numFmtId="1" fontId="0" fillId="0" borderId="0" xfId="0" applyNumberFormat="1" applyAlignment="1">
      <alignment horizontal="left"/>
    </xf>
    <xf numFmtId="1" fontId="51" fillId="0" borderId="0" xfId="0" applyNumberFormat="1" applyFont="1"/>
    <xf numFmtId="1" fontId="0" fillId="0" borderId="0" xfId="0" applyNumberFormat="1" applyBorder="1" applyAlignment="1">
      <alignment horizontal="left"/>
    </xf>
    <xf numFmtId="2" fontId="25" fillId="4" borderId="25" xfId="1" applyNumberFormat="1" applyFont="1" applyFill="1" applyBorder="1" applyAlignment="1">
      <alignment horizontal="center" vertical="center" wrapText="1"/>
    </xf>
    <xf numFmtId="1" fontId="25" fillId="4" borderId="19" xfId="1" applyNumberFormat="1" applyFont="1" applyFill="1" applyBorder="1" applyAlignment="1">
      <alignment vertical="center" wrapText="1"/>
    </xf>
    <xf numFmtId="0" fontId="52" fillId="4" borderId="26" xfId="0" applyFont="1" applyFill="1" applyBorder="1" applyAlignment="1">
      <alignment horizontal="center" vertical="center"/>
    </xf>
    <xf numFmtId="0" fontId="25" fillId="4" borderId="26" xfId="1" applyFont="1" applyFill="1" applyBorder="1" applyAlignment="1">
      <alignment vertical="center" wrapText="1"/>
    </xf>
    <xf numFmtId="2" fontId="26" fillId="4" borderId="0" xfId="0" applyNumberFormat="1" applyFont="1" applyFill="1" applyAlignment="1">
      <alignment horizontal="center" vertical="center" wrapText="1"/>
    </xf>
    <xf numFmtId="2" fontId="25" fillId="4" borderId="23" xfId="1" applyNumberFormat="1" applyFont="1" applyFill="1" applyBorder="1" applyAlignment="1">
      <alignment horizontal="center" vertical="center" wrapText="1"/>
    </xf>
    <xf numFmtId="0" fontId="35" fillId="4" borderId="24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" fontId="35" fillId="4" borderId="26" xfId="1" applyNumberFormat="1" applyFont="1" applyFill="1" applyBorder="1" applyAlignment="1">
      <alignment horizontal="center" vertical="center" wrapText="1"/>
    </xf>
    <xf numFmtId="2" fontId="35" fillId="4" borderId="26" xfId="1" applyNumberFormat="1" applyFont="1" applyFill="1" applyBorder="1" applyAlignment="1">
      <alignment horizontal="center" vertical="center" wrapText="1"/>
    </xf>
    <xf numFmtId="2" fontId="35" fillId="4" borderId="34" xfId="1" applyNumberFormat="1" applyFont="1" applyFill="1" applyBorder="1" applyAlignment="1">
      <alignment horizontal="center" vertical="center" wrapText="1"/>
    </xf>
    <xf numFmtId="0" fontId="35" fillId="4" borderId="12" xfId="1" applyFont="1" applyFill="1" applyBorder="1" applyAlignment="1">
      <alignment horizontal="left" vertical="center" wrapText="1"/>
    </xf>
    <xf numFmtId="1" fontId="35" fillId="4" borderId="27" xfId="1" applyNumberFormat="1" applyFont="1" applyFill="1" applyBorder="1" applyAlignment="1">
      <alignment horizontal="center" vertical="center" wrapText="1"/>
    </xf>
    <xf numFmtId="2" fontId="35" fillId="4" borderId="27" xfId="1" applyNumberFormat="1" applyFont="1" applyFill="1" applyBorder="1" applyAlignment="1">
      <alignment horizontal="center" vertical="center" wrapText="1"/>
    </xf>
    <xf numFmtId="0" fontId="35" fillId="4" borderId="12" xfId="1" applyFont="1" applyFill="1" applyBorder="1" applyAlignment="1">
      <alignment vertical="center" wrapText="1"/>
    </xf>
    <xf numFmtId="2" fontId="35" fillId="4" borderId="28" xfId="1" applyNumberFormat="1" applyFont="1" applyFill="1" applyBorder="1" applyAlignment="1">
      <alignment horizontal="center" vertical="center" wrapText="1"/>
    </xf>
    <xf numFmtId="2" fontId="30" fillId="4" borderId="12" xfId="0" applyNumberFormat="1" applyFont="1" applyFill="1" applyBorder="1" applyAlignment="1">
      <alignment horizontal="left" vertical="center" wrapText="1"/>
    </xf>
    <xf numFmtId="2" fontId="35" fillId="4" borderId="12" xfId="1" applyNumberFormat="1" applyFont="1" applyFill="1" applyBorder="1" applyAlignment="1">
      <alignment horizontal="center" vertical="center" wrapText="1"/>
    </xf>
    <xf numFmtId="2" fontId="30" fillId="4" borderId="12" xfId="0" applyNumberFormat="1" applyFont="1" applyFill="1" applyBorder="1" applyAlignment="1">
      <alignment horizontal="center" vertical="center" wrapText="1"/>
    </xf>
    <xf numFmtId="1" fontId="25" fillId="4" borderId="12" xfId="0" applyNumberFormat="1" applyFont="1" applyFill="1" applyBorder="1" applyAlignment="1">
      <alignment vertical="center" wrapText="1"/>
    </xf>
    <xf numFmtId="0" fontId="25" fillId="4" borderId="12" xfId="0" applyFont="1" applyFill="1" applyBorder="1" applyAlignment="1">
      <alignment horizontal="center" vertical="center"/>
    </xf>
    <xf numFmtId="0" fontId="7" fillId="5" borderId="35" xfId="1" applyFont="1" applyFill="1" applyBorder="1" applyAlignment="1">
      <alignment vertical="center" wrapText="1"/>
    </xf>
    <xf numFmtId="0" fontId="7" fillId="5" borderId="28" xfId="1" applyFont="1" applyFill="1" applyBorder="1" applyAlignment="1">
      <alignment horizontal="center" vertical="center" wrapText="1"/>
    </xf>
    <xf numFmtId="0" fontId="35" fillId="4" borderId="16" xfId="1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vertical="center" wrapText="1"/>
    </xf>
    <xf numFmtId="0" fontId="25" fillId="4" borderId="12" xfId="0" applyFont="1" applyFill="1" applyBorder="1" applyAlignment="1">
      <alignment horizontal="center" vertical="center" wrapText="1"/>
    </xf>
    <xf numFmtId="2" fontId="25" fillId="4" borderId="0" xfId="0" applyNumberFormat="1" applyFont="1" applyFill="1" applyAlignment="1">
      <alignment horizontal="center" vertical="center" wrapText="1"/>
    </xf>
    <xf numFmtId="0" fontId="2" fillId="0" borderId="0" xfId="1" applyFont="1" applyAlignment="1" applyProtection="1">
      <alignment horizontal="left"/>
      <protection locked="0"/>
    </xf>
    <xf numFmtId="0" fontId="41" fillId="0" borderId="0" xfId="1" applyFont="1" applyFill="1" applyAlignment="1">
      <alignment horizontal="center"/>
    </xf>
    <xf numFmtId="0" fontId="41" fillId="0" borderId="0" xfId="1" applyFont="1" applyAlignment="1"/>
    <xf numFmtId="0" fontId="41" fillId="0" borderId="0" xfId="1" applyFont="1" applyAlignment="1">
      <alignment horizontal="left"/>
    </xf>
    <xf numFmtId="0" fontId="41" fillId="0" borderId="0" xfId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0" fillId="0" borderId="0" xfId="0" applyFont="1" applyFill="1" applyAlignment="1">
      <alignment horizontal="center"/>
    </xf>
    <xf numFmtId="0" fontId="53" fillId="0" borderId="0" xfId="0" applyFont="1"/>
    <xf numFmtId="0" fontId="1" fillId="4" borderId="0" xfId="1" applyFill="1"/>
    <xf numFmtId="4" fontId="0" fillId="0" borderId="0" xfId="0" applyNumberFormat="1" applyAlignment="1">
      <alignment horizontal="right"/>
    </xf>
    <xf numFmtId="4" fontId="1" fillId="0" borderId="0" xfId="1" applyNumberFormat="1" applyAlignment="1">
      <alignment horizontal="right"/>
    </xf>
    <xf numFmtId="4" fontId="7" fillId="0" borderId="16" xfId="1" applyNumberFormat="1" applyFont="1" applyBorder="1" applyAlignment="1">
      <alignment horizontal="center" vertical="center" wrapText="1"/>
    </xf>
    <xf numFmtId="4" fontId="7" fillId="0" borderId="14" xfId="1" applyNumberFormat="1" applyFont="1" applyFill="1" applyBorder="1" applyAlignment="1">
      <alignment horizontal="center" vertical="center" wrapText="1"/>
    </xf>
    <xf numFmtId="4" fontId="0" fillId="0" borderId="17" xfId="0" applyNumberFormat="1" applyBorder="1" applyAlignment="1">
      <alignment horizontal="right"/>
    </xf>
    <xf numFmtId="4" fontId="1" fillId="0" borderId="0" xfId="1" applyNumberFormat="1" applyAlignment="1">
      <alignment horizontal="right" vertical="center" wrapText="1"/>
    </xf>
    <xf numFmtId="2" fontId="0" fillId="3" borderId="0" xfId="0" applyNumberFormat="1" applyFill="1" applyAlignment="1">
      <alignment horizontal="center"/>
    </xf>
    <xf numFmtId="0" fontId="6" fillId="0" borderId="0" xfId="1" applyFont="1" applyAlignment="1"/>
    <xf numFmtId="4" fontId="0" fillId="0" borderId="0" xfId="0" applyNumberFormat="1" applyFont="1" applyBorder="1" applyAlignment="1">
      <alignment horizontal="right"/>
    </xf>
    <xf numFmtId="0" fontId="0" fillId="0" borderId="0" xfId="0" applyFont="1" applyBorder="1"/>
    <xf numFmtId="0" fontId="2" fillId="0" borderId="0" xfId="1" applyFont="1" applyBorder="1" applyAlignment="1">
      <alignment horizontal="left"/>
    </xf>
    <xf numFmtId="2" fontId="2" fillId="0" borderId="0" xfId="1" applyNumberFormat="1" applyFont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2" fontId="7" fillId="4" borderId="30" xfId="1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43" fillId="0" borderId="0" xfId="1" applyFont="1" applyAlignment="1"/>
    <xf numFmtId="0" fontId="44" fillId="4" borderId="13" xfId="1" applyFont="1" applyFill="1" applyBorder="1" applyAlignment="1">
      <alignment horizontal="center" vertical="center" wrapText="1"/>
    </xf>
    <xf numFmtId="0" fontId="44" fillId="0" borderId="13" xfId="1" applyFont="1" applyBorder="1" applyAlignment="1">
      <alignment horizontal="center" vertical="center" wrapText="1"/>
    </xf>
    <xf numFmtId="0" fontId="44" fillId="0" borderId="13" xfId="1" applyFont="1" applyFill="1" applyBorder="1" applyAlignment="1">
      <alignment horizontal="center" vertical="center" wrapText="1"/>
    </xf>
    <xf numFmtId="0" fontId="44" fillId="0" borderId="0" xfId="1" applyFont="1" applyAlignment="1"/>
    <xf numFmtId="0" fontId="44" fillId="0" borderId="0" xfId="1" applyFont="1" applyAlignment="1">
      <alignment horizontal="left"/>
    </xf>
    <xf numFmtId="0" fontId="44" fillId="4" borderId="0" xfId="1" applyFont="1" applyFill="1" applyAlignment="1"/>
    <xf numFmtId="0" fontId="54" fillId="0" borderId="0" xfId="0" applyFont="1" applyAlignment="1"/>
    <xf numFmtId="0" fontId="54" fillId="4" borderId="0" xfId="0" applyFont="1" applyFill="1" applyAlignment="1"/>
    <xf numFmtId="0" fontId="44" fillId="0" borderId="0" xfId="1" applyFont="1" applyFill="1" applyAlignment="1"/>
    <xf numFmtId="0" fontId="54" fillId="0" borderId="0" xfId="0" applyFont="1" applyAlignment="1">
      <alignment horizontal="left"/>
    </xf>
    <xf numFmtId="4" fontId="44" fillId="0" borderId="0" xfId="1" applyNumberFormat="1" applyFont="1" applyBorder="1" applyAlignment="1"/>
    <xf numFmtId="4" fontId="44" fillId="0" borderId="36" xfId="1" applyNumberFormat="1" applyFont="1" applyBorder="1" applyAlignment="1"/>
    <xf numFmtId="0" fontId="44" fillId="0" borderId="0" xfId="1" applyFont="1"/>
    <xf numFmtId="0" fontId="44" fillId="0" borderId="0" xfId="1" applyFont="1" applyAlignment="1">
      <alignment horizontal="center" vertical="center"/>
    </xf>
    <xf numFmtId="0" fontId="46" fillId="0" borderId="31" xfId="1" applyFont="1" applyFill="1" applyBorder="1" applyAlignment="1">
      <alignment horizontal="center" vertical="center" wrapText="1"/>
    </xf>
    <xf numFmtId="0" fontId="47" fillId="0" borderId="22" xfId="0" applyFont="1" applyFill="1" applyBorder="1" applyAlignment="1">
      <alignment vertical="center" wrapText="1"/>
    </xf>
    <xf numFmtId="0" fontId="46" fillId="4" borderId="12" xfId="1" applyFont="1" applyFill="1" applyBorder="1" applyAlignment="1">
      <alignment horizontal="center" vertical="center" wrapText="1"/>
    </xf>
    <xf numFmtId="0" fontId="46" fillId="4" borderId="22" xfId="1" applyFont="1" applyFill="1" applyBorder="1" applyAlignment="1">
      <alignment horizontal="center" vertical="center" wrapText="1"/>
    </xf>
    <xf numFmtId="1" fontId="46" fillId="0" borderId="22" xfId="1" applyNumberFormat="1" applyFont="1" applyFill="1" applyBorder="1" applyAlignment="1">
      <alignment horizontal="center" vertical="center" wrapText="1"/>
    </xf>
    <xf numFmtId="2" fontId="46" fillId="4" borderId="22" xfId="1" applyNumberFormat="1" applyFont="1" applyFill="1" applyBorder="1" applyAlignment="1">
      <alignment horizontal="center" vertical="center"/>
    </xf>
    <xf numFmtId="2" fontId="46" fillId="4" borderId="22" xfId="1" applyNumberFormat="1" applyFont="1" applyFill="1" applyBorder="1" applyAlignment="1">
      <alignment horizontal="center" vertical="center" wrapText="1"/>
    </xf>
    <xf numFmtId="1" fontId="46" fillId="4" borderId="22" xfId="1" applyNumberFormat="1" applyFont="1" applyFill="1" applyBorder="1" applyAlignment="1">
      <alignment vertical="center" wrapText="1"/>
    </xf>
    <xf numFmtId="0" fontId="46" fillId="4" borderId="23" xfId="1" applyFont="1" applyFill="1" applyBorder="1" applyAlignment="1">
      <alignment horizontal="center" vertical="center" wrapText="1"/>
    </xf>
    <xf numFmtId="0" fontId="46" fillId="0" borderId="24" xfId="1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vertical="center" wrapText="1"/>
    </xf>
    <xf numFmtId="0" fontId="46" fillId="0" borderId="12" xfId="1" applyFont="1" applyFill="1" applyBorder="1" applyAlignment="1">
      <alignment vertical="center" wrapText="1"/>
    </xf>
    <xf numFmtId="1" fontId="46" fillId="0" borderId="12" xfId="1" applyNumberFormat="1" applyFont="1" applyFill="1" applyBorder="1" applyAlignment="1">
      <alignment horizontal="center" vertical="center" wrapText="1"/>
    </xf>
    <xf numFmtId="1" fontId="46" fillId="0" borderId="12" xfId="1" applyNumberFormat="1" applyFont="1" applyFill="1" applyBorder="1" applyAlignment="1">
      <alignment horizontal="left" vertical="center" wrapText="1"/>
    </xf>
    <xf numFmtId="2" fontId="46" fillId="0" borderId="12" xfId="1" applyNumberFormat="1" applyFont="1" applyFill="1" applyBorder="1" applyAlignment="1">
      <alignment horizontal="center" vertical="center" wrapText="1"/>
    </xf>
    <xf numFmtId="2" fontId="46" fillId="4" borderId="12" xfId="1" applyNumberFormat="1" applyFont="1" applyFill="1" applyBorder="1" applyAlignment="1">
      <alignment horizontal="center" vertical="center" wrapText="1"/>
    </xf>
    <xf numFmtId="1" fontId="46" fillId="4" borderId="12" xfId="1" applyNumberFormat="1" applyFont="1" applyFill="1" applyBorder="1" applyAlignment="1">
      <alignment horizontal="center" vertical="center" wrapText="1"/>
    </xf>
    <xf numFmtId="1" fontId="46" fillId="4" borderId="12" xfId="1" applyNumberFormat="1" applyFont="1" applyFill="1" applyBorder="1" applyAlignment="1">
      <alignment vertical="center" wrapText="1"/>
    </xf>
    <xf numFmtId="0" fontId="46" fillId="0" borderId="12" xfId="1" applyFont="1" applyFill="1" applyBorder="1" applyAlignment="1">
      <alignment horizontal="left" vertical="center" wrapText="1"/>
    </xf>
    <xf numFmtId="0" fontId="47" fillId="0" borderId="12" xfId="0" applyFont="1" applyFill="1" applyBorder="1" applyAlignment="1">
      <alignment horizontal="center" vertical="center" wrapText="1"/>
    </xf>
    <xf numFmtId="4" fontId="46" fillId="0" borderId="12" xfId="1" applyNumberFormat="1" applyFont="1" applyFill="1" applyBorder="1" applyAlignment="1">
      <alignment vertical="center" wrapText="1"/>
    </xf>
    <xf numFmtId="0" fontId="46" fillId="0" borderId="25" xfId="1" applyFont="1" applyFill="1" applyBorder="1" applyAlignment="1">
      <alignment horizontal="center" vertical="center" wrapText="1"/>
    </xf>
    <xf numFmtId="1" fontId="46" fillId="0" borderId="24" xfId="1" applyNumberFormat="1" applyFont="1" applyFill="1" applyBorder="1" applyAlignment="1">
      <alignment horizontal="center" vertical="center" wrapText="1"/>
    </xf>
    <xf numFmtId="1" fontId="46" fillId="0" borderId="19" xfId="1" applyNumberFormat="1" applyFont="1" applyFill="1" applyBorder="1" applyAlignment="1">
      <alignment horizontal="center" vertical="center" wrapText="1"/>
    </xf>
    <xf numFmtId="4" fontId="46" fillId="4" borderId="12" xfId="1" applyNumberFormat="1" applyFont="1" applyFill="1" applyBorder="1" applyAlignment="1">
      <alignment horizontal="right" vertical="center" wrapText="1"/>
    </xf>
    <xf numFmtId="1" fontId="46" fillId="4" borderId="25" xfId="1" applyNumberFormat="1" applyFont="1" applyFill="1" applyBorder="1" applyAlignment="1">
      <alignment horizontal="center" vertical="center" wrapText="1"/>
    </xf>
    <xf numFmtId="0" fontId="47" fillId="0" borderId="27" xfId="0" applyFont="1" applyFill="1" applyBorder="1" applyAlignment="1">
      <alignment vertical="center" wrapText="1"/>
    </xf>
    <xf numFmtId="1" fontId="46" fillId="4" borderId="27" xfId="1" applyNumberFormat="1" applyFont="1" applyFill="1" applyBorder="1" applyAlignment="1">
      <alignment horizontal="center" vertical="center" wrapText="1"/>
    </xf>
    <xf numFmtId="2" fontId="46" fillId="4" borderId="27" xfId="1" applyNumberFormat="1" applyFont="1" applyFill="1" applyBorder="1" applyAlignment="1">
      <alignment horizontal="center" vertical="center" wrapText="1"/>
    </xf>
    <xf numFmtId="2" fontId="46" fillId="4" borderId="27" xfId="1" applyNumberFormat="1" applyFont="1" applyFill="1" applyBorder="1" applyAlignment="1">
      <alignment horizontal="center" vertical="center"/>
    </xf>
    <xf numFmtId="4" fontId="46" fillId="4" borderId="27" xfId="1" applyNumberFormat="1" applyFont="1" applyFill="1" applyBorder="1" applyAlignment="1">
      <alignment horizontal="right" vertical="center" wrapText="1"/>
    </xf>
    <xf numFmtId="0" fontId="46" fillId="0" borderId="28" xfId="1" applyFont="1" applyFill="1" applyBorder="1" applyAlignment="1">
      <alignment horizontal="center" vertical="center" wrapText="1"/>
    </xf>
    <xf numFmtId="1" fontId="46" fillId="4" borderId="26" xfId="1" applyNumberFormat="1" applyFont="1" applyFill="1" applyBorder="1" applyAlignment="1">
      <alignment horizontal="center" vertical="center" wrapText="1"/>
    </xf>
    <xf numFmtId="0" fontId="55" fillId="4" borderId="26" xfId="0" applyFont="1" applyFill="1" applyBorder="1" applyAlignment="1">
      <alignment horizontal="center" vertical="center"/>
    </xf>
    <xf numFmtId="2" fontId="46" fillId="4" borderId="23" xfId="1" applyNumberFormat="1" applyFont="1" applyFill="1" applyBorder="1" applyAlignment="1">
      <alignment horizontal="center" vertical="center" wrapText="1"/>
    </xf>
    <xf numFmtId="0" fontId="46" fillId="4" borderId="24" xfId="1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vertical="center" wrapText="1"/>
    </xf>
    <xf numFmtId="0" fontId="46" fillId="4" borderId="12" xfId="0" applyFont="1" applyFill="1" applyBorder="1" applyAlignment="1">
      <alignment horizontal="center" vertical="center" wrapText="1"/>
    </xf>
    <xf numFmtId="2" fontId="46" fillId="4" borderId="25" xfId="1" applyNumberFormat="1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/>
    </xf>
    <xf numFmtId="0" fontId="46" fillId="4" borderId="12" xfId="1" applyFont="1" applyFill="1" applyBorder="1" applyAlignment="1">
      <alignment horizontal="left" vertical="center" wrapText="1"/>
    </xf>
    <xf numFmtId="1" fontId="46" fillId="4" borderId="24" xfId="1" applyNumberFormat="1" applyFont="1" applyFill="1" applyBorder="1" applyAlignment="1">
      <alignment horizontal="center" vertical="center" wrapText="1"/>
    </xf>
    <xf numFmtId="1" fontId="46" fillId="4" borderId="12" xfId="0" applyNumberFormat="1" applyFont="1" applyFill="1" applyBorder="1" applyAlignment="1">
      <alignment vertical="center" wrapText="1"/>
    </xf>
    <xf numFmtId="1" fontId="46" fillId="4" borderId="19" xfId="1" applyNumberFormat="1" applyFont="1" applyFill="1" applyBorder="1" applyAlignment="1">
      <alignment vertical="center" wrapText="1"/>
    </xf>
    <xf numFmtId="4" fontId="0" fillId="0" borderId="0" xfId="0" applyNumberFormat="1"/>
    <xf numFmtId="2" fontId="46" fillId="4" borderId="30" xfId="1" applyNumberFormat="1" applyFont="1" applyFill="1" applyBorder="1" applyAlignment="1">
      <alignment horizontal="center" vertical="center" wrapText="1"/>
    </xf>
    <xf numFmtId="0" fontId="39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Fill="1"/>
    <xf numFmtId="0" fontId="26" fillId="0" borderId="0" xfId="0" applyFont="1"/>
    <xf numFmtId="0" fontId="26" fillId="0" borderId="0" xfId="0" applyFont="1" applyBorder="1"/>
    <xf numFmtId="0" fontId="25" fillId="4" borderId="0" xfId="1" applyFont="1" applyFill="1" applyBorder="1" applyAlignment="1">
      <alignment horizontal="center" vertical="center" wrapText="1"/>
    </xf>
    <xf numFmtId="2" fontId="30" fillId="4" borderId="0" xfId="0" applyNumberFormat="1" applyFont="1" applyFill="1" applyBorder="1" applyAlignment="1">
      <alignment horizontal="center" vertical="center" wrapText="1"/>
    </xf>
    <xf numFmtId="0" fontId="56" fillId="0" borderId="0" xfId="0" applyFont="1"/>
    <xf numFmtId="0" fontId="25" fillId="4" borderId="11" xfId="1" applyFont="1" applyFill="1" applyBorder="1" applyAlignment="1">
      <alignment horizontal="center" vertical="center" wrapText="1"/>
    </xf>
    <xf numFmtId="1" fontId="25" fillId="4" borderId="37" xfId="1" applyNumberFormat="1" applyFont="1" applyFill="1" applyBorder="1" applyAlignment="1">
      <alignment vertical="center" wrapText="1"/>
    </xf>
    <xf numFmtId="0" fontId="48" fillId="0" borderId="0" xfId="1" applyFont="1" applyAlignment="1">
      <alignment horizontal="left"/>
    </xf>
    <xf numFmtId="0" fontId="25" fillId="0" borderId="12" xfId="2" applyFont="1" applyBorder="1" applyAlignment="1">
      <alignment horizontal="center"/>
    </xf>
    <xf numFmtId="1" fontId="35" fillId="4" borderId="27" xfId="1" applyNumberFormat="1" applyFont="1" applyFill="1" applyBorder="1" applyAlignment="1">
      <alignment horizontal="center" wrapText="1"/>
    </xf>
    <xf numFmtId="0" fontId="35" fillId="0" borderId="16" xfId="1" applyFont="1" applyFill="1" applyBorder="1" applyAlignment="1">
      <alignment horizontal="center" vertical="center"/>
    </xf>
    <xf numFmtId="0" fontId="49" fillId="0" borderId="0" xfId="1" applyFont="1" applyAlignment="1">
      <alignment horizontal="left"/>
    </xf>
    <xf numFmtId="0" fontId="49" fillId="0" borderId="0" xfId="1" applyFont="1" applyAlignment="1"/>
    <xf numFmtId="0" fontId="49" fillId="0" borderId="0" xfId="1" applyFont="1" applyAlignment="1">
      <alignment horizontal="center" vertical="center"/>
    </xf>
    <xf numFmtId="0" fontId="49" fillId="0" borderId="0" xfId="1" applyFont="1" applyAlignment="1">
      <alignment horizontal="center"/>
    </xf>
    <xf numFmtId="0" fontId="49" fillId="0" borderId="0" xfId="1" applyFont="1" applyFill="1" applyAlignment="1">
      <alignment horizontal="center"/>
    </xf>
    <xf numFmtId="0" fontId="49" fillId="4" borderId="0" xfId="1" applyFont="1" applyFill="1" applyAlignment="1">
      <alignment horizontal="left"/>
    </xf>
    <xf numFmtId="0" fontId="49" fillId="0" borderId="0" xfId="1" applyFont="1" applyFill="1" applyAlignment="1">
      <alignment horizontal="left"/>
    </xf>
    <xf numFmtId="1" fontId="35" fillId="4" borderId="12" xfId="1" applyNumberFormat="1" applyFont="1" applyFill="1" applyBorder="1" applyAlignment="1">
      <alignment horizontal="center" wrapText="1"/>
    </xf>
    <xf numFmtId="2" fontId="30" fillId="4" borderId="0" xfId="0" applyNumberFormat="1" applyFont="1" applyFill="1" applyBorder="1" applyAlignment="1">
      <alignment horizontal="center" wrapText="1"/>
    </xf>
    <xf numFmtId="2" fontId="30" fillId="4" borderId="12" xfId="0" applyNumberFormat="1" applyFont="1" applyFill="1" applyBorder="1" applyAlignment="1">
      <alignment horizontal="center" wrapText="1"/>
    </xf>
    <xf numFmtId="0" fontId="35" fillId="4" borderId="11" xfId="1" applyFont="1" applyFill="1" applyBorder="1" applyAlignment="1">
      <alignment horizontal="center" vertical="center" wrapText="1"/>
    </xf>
    <xf numFmtId="0" fontId="35" fillId="4" borderId="12" xfId="1" applyFont="1" applyFill="1" applyBorder="1" applyAlignment="1">
      <alignment horizont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6" fillId="4" borderId="30" xfId="1" applyFont="1" applyFill="1" applyBorder="1" applyAlignment="1">
      <alignment horizontal="center" vertical="center" wrapText="1"/>
    </xf>
    <xf numFmtId="1" fontId="46" fillId="4" borderId="30" xfId="1" applyNumberFormat="1" applyFont="1" applyFill="1" applyBorder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57" fillId="0" borderId="0" xfId="0" applyFont="1" applyFill="1" applyAlignment="1">
      <alignment horizontal="center" vertical="center" wrapText="1"/>
    </xf>
    <xf numFmtId="0" fontId="58" fillId="4" borderId="0" xfId="1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2" fontId="60" fillId="0" borderId="38" xfId="0" applyNumberFormat="1" applyFont="1" applyFill="1" applyBorder="1" applyAlignment="1">
      <alignment horizontal="center" vertical="center" wrapText="1"/>
    </xf>
    <xf numFmtId="0" fontId="59" fillId="3" borderId="39" xfId="0" applyFont="1" applyFill="1" applyBorder="1" applyAlignment="1">
      <alignment horizontal="center" vertical="center" wrapText="1"/>
    </xf>
    <xf numFmtId="0" fontId="59" fillId="3" borderId="32" xfId="0" applyFont="1" applyFill="1" applyBorder="1" applyAlignment="1">
      <alignment horizontal="center" vertical="center" wrapText="1"/>
    </xf>
    <xf numFmtId="0" fontId="61" fillId="0" borderId="32" xfId="1" applyFont="1" applyBorder="1" applyAlignment="1">
      <alignment horizontal="center" vertical="center"/>
    </xf>
    <xf numFmtId="0" fontId="59" fillId="3" borderId="33" xfId="0" applyFont="1" applyFill="1" applyBorder="1" applyAlignment="1">
      <alignment horizontal="center" vertical="center" wrapText="1"/>
    </xf>
    <xf numFmtId="1" fontId="25" fillId="4" borderId="27" xfId="1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2" fontId="25" fillId="4" borderId="28" xfId="1" applyNumberFormat="1" applyFont="1" applyFill="1" applyBorder="1" applyAlignment="1">
      <alignment horizontal="center" vertical="center" wrapText="1"/>
    </xf>
    <xf numFmtId="0" fontId="25" fillId="4" borderId="25" xfId="1" applyNumberFormat="1" applyFont="1" applyFill="1" applyBorder="1" applyAlignment="1">
      <alignment horizontal="center" vertical="center" wrapText="1"/>
    </xf>
    <xf numFmtId="2" fontId="25" fillId="0" borderId="25" xfId="1" applyNumberFormat="1" applyFont="1" applyFill="1" applyBorder="1" applyAlignment="1">
      <alignment horizontal="center" vertical="center" wrapText="1"/>
    </xf>
    <xf numFmtId="0" fontId="62" fillId="0" borderId="0" xfId="0" applyFont="1"/>
    <xf numFmtId="1" fontId="46" fillId="4" borderId="27" xfId="1" applyNumberFormat="1" applyFont="1" applyFill="1" applyBorder="1" applyAlignment="1">
      <alignment horizontal="left" vertical="center" wrapText="1"/>
    </xf>
    <xf numFmtId="0" fontId="46" fillId="4" borderId="12" xfId="1" applyFont="1" applyFill="1" applyBorder="1" applyAlignment="1">
      <alignment vertical="center" wrapText="1"/>
    </xf>
    <xf numFmtId="2" fontId="46" fillId="4" borderId="28" xfId="1" applyNumberFormat="1" applyFont="1" applyFill="1" applyBorder="1" applyAlignment="1">
      <alignment horizontal="center" vertical="center" wrapText="1"/>
    </xf>
    <xf numFmtId="2" fontId="46" fillId="0" borderId="25" xfId="1" applyNumberFormat="1" applyFont="1" applyFill="1" applyBorder="1" applyAlignment="1">
      <alignment horizontal="center" vertical="center" wrapText="1"/>
    </xf>
    <xf numFmtId="1" fontId="46" fillId="4" borderId="40" xfId="0" applyNumberFormat="1" applyFont="1" applyFill="1" applyBorder="1" applyAlignment="1">
      <alignment vertical="center" wrapText="1"/>
    </xf>
    <xf numFmtId="0" fontId="46" fillId="4" borderId="27" xfId="1" applyFont="1" applyFill="1" applyBorder="1" applyAlignment="1">
      <alignment horizontal="center" vertical="center" wrapText="1"/>
    </xf>
    <xf numFmtId="0" fontId="46" fillId="4" borderId="30" xfId="1" applyFont="1" applyFill="1" applyBorder="1" applyAlignment="1">
      <alignment vertical="center" wrapText="1"/>
    </xf>
    <xf numFmtId="2" fontId="33" fillId="3" borderId="41" xfId="0" applyNumberFormat="1" applyFont="1" applyFill="1" applyBorder="1" applyAlignment="1">
      <alignment horizontal="center"/>
    </xf>
    <xf numFmtId="0" fontId="25" fillId="4" borderId="26" xfId="1" applyFont="1" applyFill="1" applyBorder="1" applyAlignment="1">
      <alignment horizontal="center" vertical="center" wrapText="1"/>
    </xf>
    <xf numFmtId="0" fontId="52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6" borderId="12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26" fillId="0" borderId="19" xfId="0" applyFont="1" applyFill="1" applyBorder="1" applyAlignment="1">
      <alignment vertical="center" wrapText="1"/>
    </xf>
    <xf numFmtId="1" fontId="25" fillId="4" borderId="19" xfId="1" applyNumberFormat="1" applyFont="1" applyFill="1" applyBorder="1" applyAlignment="1">
      <alignment horizontal="left" vertical="center" wrapText="1"/>
    </xf>
    <xf numFmtId="1" fontId="26" fillId="4" borderId="19" xfId="0" applyNumberFormat="1" applyFont="1" applyFill="1" applyBorder="1" applyAlignment="1">
      <alignment vertical="center" wrapText="1"/>
    </xf>
    <xf numFmtId="1" fontId="25" fillId="4" borderId="22" xfId="1" applyNumberFormat="1" applyFont="1" applyFill="1" applyBorder="1" applyAlignment="1">
      <alignment vertical="center" wrapText="1"/>
    </xf>
    <xf numFmtId="2" fontId="25" fillId="4" borderId="43" xfId="0" applyNumberFormat="1" applyFont="1" applyFill="1" applyBorder="1" applyAlignment="1">
      <alignment vertical="center"/>
    </xf>
    <xf numFmtId="0" fontId="8" fillId="0" borderId="32" xfId="1" applyFont="1" applyBorder="1" applyAlignment="1">
      <alignment vertical="center" wrapText="1"/>
    </xf>
    <xf numFmtId="2" fontId="23" fillId="0" borderId="44" xfId="1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/>
    </xf>
    <xf numFmtId="1" fontId="25" fillId="0" borderId="10" xfId="1" applyNumberFormat="1" applyFont="1" applyFill="1" applyBorder="1" applyAlignment="1">
      <alignment horizontal="left" vertical="center" wrapText="1"/>
    </xf>
    <xf numFmtId="1" fontId="25" fillId="4" borderId="10" xfId="1" applyNumberFormat="1" applyFont="1" applyFill="1" applyBorder="1" applyAlignment="1">
      <alignment horizontal="left" vertical="center" wrapText="1"/>
    </xf>
    <xf numFmtId="2" fontId="25" fillId="4" borderId="31" xfId="1" applyNumberFormat="1" applyFont="1" applyFill="1" applyBorder="1" applyAlignment="1">
      <alignment horizontal="center" vertical="center"/>
    </xf>
    <xf numFmtId="2" fontId="25" fillId="4" borderId="23" xfId="1" applyNumberFormat="1" applyFont="1" applyFill="1" applyBorder="1" applyAlignment="1">
      <alignment horizontal="center" vertical="center"/>
    </xf>
    <xf numFmtId="178" fontId="25" fillId="0" borderId="24" xfId="1" applyNumberFormat="1" applyFont="1" applyFill="1" applyBorder="1" applyAlignment="1">
      <alignment horizontal="center" vertical="center" wrapText="1"/>
    </xf>
    <xf numFmtId="178" fontId="25" fillId="0" borderId="25" xfId="1" applyNumberFormat="1" applyFont="1" applyFill="1" applyBorder="1" applyAlignment="1">
      <alignment horizontal="center" vertical="center" wrapText="1"/>
    </xf>
    <xf numFmtId="2" fontId="25" fillId="0" borderId="24" xfId="1" applyNumberFormat="1" applyFont="1" applyFill="1" applyBorder="1" applyAlignment="1">
      <alignment horizontal="center" vertical="center" wrapText="1"/>
    </xf>
    <xf numFmtId="2" fontId="25" fillId="4" borderId="24" xfId="1" applyNumberFormat="1" applyFont="1" applyFill="1" applyBorder="1" applyAlignment="1">
      <alignment horizontal="center" vertical="center" wrapText="1"/>
    </xf>
    <xf numFmtId="2" fontId="25" fillId="4" borderId="35" xfId="1" applyNumberFormat="1" applyFont="1" applyFill="1" applyBorder="1" applyAlignment="1">
      <alignment horizontal="center" vertical="center" wrapText="1"/>
    </xf>
    <xf numFmtId="2" fontId="25" fillId="4" borderId="45" xfId="1" applyNumberFormat="1" applyFont="1" applyFill="1" applyBorder="1" applyAlignment="1">
      <alignment horizontal="center" vertical="center" wrapText="1"/>
    </xf>
    <xf numFmtId="2" fontId="25" fillId="4" borderId="30" xfId="1" applyNumberFormat="1" applyFont="1" applyFill="1" applyBorder="1" applyAlignment="1">
      <alignment horizontal="center" vertical="center" wrapText="1"/>
    </xf>
    <xf numFmtId="2" fontId="25" fillId="4" borderId="21" xfId="1" applyNumberFormat="1" applyFont="1" applyFill="1" applyBorder="1" applyAlignment="1">
      <alignment horizontal="center" vertical="center" wrapText="1"/>
    </xf>
    <xf numFmtId="1" fontId="25" fillId="4" borderId="46" xfId="1" applyNumberFormat="1" applyFont="1" applyFill="1" applyBorder="1" applyAlignment="1">
      <alignment vertical="center" wrapText="1"/>
    </xf>
    <xf numFmtId="0" fontId="52" fillId="0" borderId="11" xfId="0" applyFont="1" applyBorder="1" applyAlignment="1"/>
    <xf numFmtId="1" fontId="25" fillId="4" borderId="40" xfId="1" applyNumberFormat="1" applyFont="1" applyFill="1" applyBorder="1" applyAlignment="1">
      <alignment vertical="center" wrapText="1"/>
    </xf>
    <xf numFmtId="2" fontId="25" fillId="4" borderId="47" xfId="0" applyNumberFormat="1" applyFont="1" applyFill="1" applyBorder="1" applyAlignment="1">
      <alignment vertical="center"/>
    </xf>
    <xf numFmtId="2" fontId="25" fillId="4" borderId="31" xfId="1" applyNumberFormat="1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7" fillId="0" borderId="15" xfId="1" applyFont="1" applyBorder="1" applyAlignment="1">
      <alignment vertical="center" wrapText="1"/>
    </xf>
    <xf numFmtId="0" fontId="7" fillId="5" borderId="35" xfId="1" applyFont="1" applyFill="1" applyBorder="1" applyAlignment="1">
      <alignment horizontal="center" vertical="center" wrapText="1"/>
    </xf>
    <xf numFmtId="0" fontId="7" fillId="5" borderId="21" xfId="1" applyFont="1" applyFill="1" applyBorder="1" applyAlignment="1">
      <alignment horizontal="center" vertical="center" wrapText="1"/>
    </xf>
    <xf numFmtId="2" fontId="25" fillId="4" borderId="46" xfId="1" applyNumberFormat="1" applyFont="1" applyFill="1" applyBorder="1" applyAlignment="1">
      <alignment horizontal="center" vertical="center"/>
    </xf>
    <xf numFmtId="178" fontId="25" fillId="0" borderId="11" xfId="1" applyNumberFormat="1" applyFont="1" applyFill="1" applyBorder="1" applyAlignment="1">
      <alignment horizontal="center" vertical="center" wrapText="1"/>
    </xf>
    <xf numFmtId="2" fontId="25" fillId="0" borderId="11" xfId="1" applyNumberFormat="1" applyFont="1" applyFill="1" applyBorder="1" applyAlignment="1">
      <alignment horizontal="center" vertical="center" wrapText="1"/>
    </xf>
    <xf numFmtId="2" fontId="25" fillId="4" borderId="11" xfId="1" applyNumberFormat="1" applyFont="1" applyFill="1" applyBorder="1" applyAlignment="1">
      <alignment horizontal="center" vertical="center" wrapText="1"/>
    </xf>
    <xf numFmtId="2" fontId="25" fillId="4" borderId="48" xfId="1" applyNumberFormat="1" applyFont="1" applyFill="1" applyBorder="1" applyAlignment="1">
      <alignment horizontal="center" vertical="center" wrapText="1"/>
    </xf>
    <xf numFmtId="2" fontId="25" fillId="4" borderId="49" xfId="1" applyNumberFormat="1" applyFont="1" applyFill="1" applyBorder="1" applyAlignment="1">
      <alignment horizontal="center" vertical="center" wrapText="1"/>
    </xf>
    <xf numFmtId="2" fontId="23" fillId="0" borderId="50" xfId="1" applyNumberFormat="1" applyFont="1" applyBorder="1" applyAlignment="1">
      <alignment horizontal="center" vertical="center" wrapText="1"/>
    </xf>
    <xf numFmtId="2" fontId="23" fillId="0" borderId="51" xfId="1" applyNumberFormat="1" applyFont="1" applyBorder="1" applyAlignment="1">
      <alignment horizontal="center" vertical="center" wrapText="1"/>
    </xf>
    <xf numFmtId="2" fontId="23" fillId="0" borderId="52" xfId="1" applyNumberFormat="1" applyFont="1" applyBorder="1" applyAlignment="1">
      <alignment horizontal="center" vertical="center" wrapText="1"/>
    </xf>
    <xf numFmtId="2" fontId="25" fillId="4" borderId="53" xfId="1" applyNumberFormat="1" applyFont="1" applyFill="1" applyBorder="1" applyAlignment="1">
      <alignment horizontal="center" vertical="center"/>
    </xf>
    <xf numFmtId="2" fontId="25" fillId="0" borderId="10" xfId="1" applyNumberFormat="1" applyFont="1" applyFill="1" applyBorder="1" applyAlignment="1">
      <alignment horizontal="center" vertical="center" wrapText="1"/>
    </xf>
    <xf numFmtId="2" fontId="25" fillId="4" borderId="10" xfId="1" applyNumberFormat="1" applyFont="1" applyFill="1" applyBorder="1" applyAlignment="1">
      <alignment horizontal="center" vertical="center" wrapText="1"/>
    </xf>
    <xf numFmtId="2" fontId="25" fillId="4" borderId="54" xfId="1" applyNumberFormat="1" applyFont="1" applyFill="1" applyBorder="1" applyAlignment="1">
      <alignment horizontal="center" vertical="center" wrapText="1"/>
    </xf>
    <xf numFmtId="2" fontId="25" fillId="4" borderId="55" xfId="1" applyNumberFormat="1" applyFont="1" applyFill="1" applyBorder="1" applyAlignment="1">
      <alignment horizontal="center" vertical="center" wrapText="1"/>
    </xf>
    <xf numFmtId="2" fontId="23" fillId="0" borderId="38" xfId="1" applyNumberFormat="1" applyFont="1" applyBorder="1" applyAlignment="1">
      <alignment horizontal="center" vertical="center" wrapText="1"/>
    </xf>
    <xf numFmtId="0" fontId="8" fillId="0" borderId="50" xfId="1" applyFont="1" applyBorder="1" applyAlignment="1">
      <alignment vertical="center" wrapText="1"/>
    </xf>
    <xf numFmtId="2" fontId="23" fillId="0" borderId="39" xfId="1" applyNumberFormat="1" applyFont="1" applyBorder="1" applyAlignment="1">
      <alignment horizontal="center" vertical="center" wrapText="1"/>
    </xf>
    <xf numFmtId="2" fontId="23" fillId="4" borderId="39" xfId="1" applyNumberFormat="1" applyFont="1" applyFill="1" applyBorder="1" applyAlignment="1">
      <alignment horizontal="center" vertical="center" wrapText="1"/>
    </xf>
    <xf numFmtId="0" fontId="15" fillId="0" borderId="0" xfId="1" applyFont="1" applyAlignment="1"/>
    <xf numFmtId="0" fontId="7" fillId="0" borderId="14" xfId="1" applyFont="1" applyFill="1" applyBorder="1" applyAlignment="1">
      <alignment vertical="center" wrapText="1"/>
    </xf>
    <xf numFmtId="0" fontId="7" fillId="0" borderId="15" xfId="1" applyFont="1" applyFill="1" applyBorder="1" applyAlignment="1">
      <alignment vertical="center" wrapText="1"/>
    </xf>
    <xf numFmtId="4" fontId="25" fillId="4" borderId="22" xfId="1" applyNumberFormat="1" applyFont="1" applyFill="1" applyBorder="1" applyAlignment="1">
      <alignment vertical="center"/>
    </xf>
    <xf numFmtId="4" fontId="25" fillId="4" borderId="12" xfId="1" applyNumberFormat="1" applyFont="1" applyFill="1" applyBorder="1" applyAlignment="1">
      <alignment vertical="center" wrapText="1"/>
    </xf>
    <xf numFmtId="4" fontId="25" fillId="4" borderId="27" xfId="1" applyNumberFormat="1" applyFont="1" applyFill="1" applyBorder="1" applyAlignment="1">
      <alignment vertical="center" wrapText="1"/>
    </xf>
    <xf numFmtId="4" fontId="18" fillId="0" borderId="32" xfId="1" applyNumberFormat="1" applyFont="1" applyBorder="1" applyAlignment="1">
      <alignment vertical="center" wrapText="1"/>
    </xf>
    <xf numFmtId="1" fontId="46" fillId="4" borderId="19" xfId="1" applyNumberFormat="1" applyFont="1" applyFill="1" applyBorder="1" applyAlignment="1">
      <alignment horizontal="left" vertical="center" wrapText="1"/>
    </xf>
    <xf numFmtId="1" fontId="46" fillId="4" borderId="22" xfId="1" applyNumberFormat="1" applyFont="1" applyFill="1" applyBorder="1" applyAlignment="1">
      <alignment horizontal="left" vertical="center" wrapText="1"/>
    </xf>
    <xf numFmtId="0" fontId="46" fillId="4" borderId="26" xfId="1" applyFont="1" applyFill="1" applyBorder="1" applyAlignment="1">
      <alignment horizontal="center" vertical="center" wrapText="1"/>
    </xf>
    <xf numFmtId="0" fontId="47" fillId="0" borderId="53" xfId="0" applyFont="1" applyBorder="1" applyAlignment="1">
      <alignment horizontal="left"/>
    </xf>
    <xf numFmtId="2" fontId="46" fillId="4" borderId="31" xfId="1" applyNumberFormat="1" applyFont="1" applyFill="1" applyBorder="1" applyAlignment="1">
      <alignment horizontal="center" vertical="center"/>
    </xf>
    <xf numFmtId="2" fontId="46" fillId="4" borderId="23" xfId="1" applyNumberFormat="1" applyFont="1" applyFill="1" applyBorder="1" applyAlignment="1">
      <alignment horizontal="center" vertical="center"/>
    </xf>
    <xf numFmtId="2" fontId="46" fillId="4" borderId="31" xfId="1" applyNumberFormat="1" applyFont="1" applyFill="1" applyBorder="1" applyAlignment="1">
      <alignment horizontal="center" vertical="center" wrapText="1"/>
    </xf>
    <xf numFmtId="1" fontId="46" fillId="4" borderId="46" xfId="1" applyNumberFormat="1" applyFont="1" applyFill="1" applyBorder="1" applyAlignment="1">
      <alignment vertical="center" wrapText="1"/>
    </xf>
    <xf numFmtId="0" fontId="46" fillId="6" borderId="22" xfId="0" applyFont="1" applyFill="1" applyBorder="1" applyAlignment="1">
      <alignment horizontal="center" vertical="center"/>
    </xf>
    <xf numFmtId="0" fontId="46" fillId="4" borderId="26" xfId="1" applyFont="1" applyFill="1" applyBorder="1" applyAlignment="1">
      <alignment vertical="center" wrapText="1"/>
    </xf>
    <xf numFmtId="0" fontId="47" fillId="4" borderId="26" xfId="0" applyFont="1" applyFill="1" applyBorder="1" applyAlignment="1">
      <alignment horizontal="center" vertical="center" wrapText="1"/>
    </xf>
    <xf numFmtId="4" fontId="46" fillId="4" borderId="22" xfId="1" applyNumberFormat="1" applyFont="1" applyFill="1" applyBorder="1" applyAlignment="1">
      <alignment vertical="center"/>
    </xf>
    <xf numFmtId="1" fontId="46" fillId="0" borderId="10" xfId="1" applyNumberFormat="1" applyFont="1" applyFill="1" applyBorder="1" applyAlignment="1">
      <alignment horizontal="left" vertical="center" wrapText="1"/>
    </xf>
    <xf numFmtId="178" fontId="46" fillId="0" borderId="24" xfId="1" applyNumberFormat="1" applyFont="1" applyFill="1" applyBorder="1" applyAlignment="1">
      <alignment horizontal="center" vertical="center" wrapText="1"/>
    </xf>
    <xf numFmtId="178" fontId="46" fillId="0" borderId="12" xfId="1" applyNumberFormat="1" applyFont="1" applyFill="1" applyBorder="1" applyAlignment="1">
      <alignment horizontal="center" vertical="center" wrapText="1"/>
    </xf>
    <xf numFmtId="178" fontId="46" fillId="0" borderId="25" xfId="1" applyNumberFormat="1" applyFont="1" applyFill="1" applyBorder="1" applyAlignment="1">
      <alignment horizontal="center" vertical="center" wrapText="1"/>
    </xf>
    <xf numFmtId="2" fontId="46" fillId="0" borderId="24" xfId="1" applyNumberFormat="1" applyFont="1" applyFill="1" applyBorder="1" applyAlignment="1">
      <alignment horizontal="center" vertical="center" wrapText="1"/>
    </xf>
    <xf numFmtId="0" fontId="55" fillId="0" borderId="11" xfId="0" applyFont="1" applyBorder="1" applyAlignment="1"/>
    <xf numFmtId="0" fontId="55" fillId="0" borderId="12" xfId="0" applyFont="1" applyBorder="1" applyAlignment="1">
      <alignment horizontal="center"/>
    </xf>
    <xf numFmtId="0" fontId="47" fillId="0" borderId="12" xfId="0" applyFont="1" applyBorder="1" applyAlignment="1">
      <alignment horizontal="center"/>
    </xf>
    <xf numFmtId="0" fontId="47" fillId="4" borderId="12" xfId="0" applyFont="1" applyFill="1" applyBorder="1" applyAlignment="1">
      <alignment horizontal="center" vertical="center" wrapText="1"/>
    </xf>
    <xf numFmtId="0" fontId="46" fillId="0" borderId="42" xfId="1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vertical="center" wrapText="1"/>
    </xf>
    <xf numFmtId="0" fontId="47" fillId="0" borderId="10" xfId="0" applyFont="1" applyBorder="1" applyAlignment="1">
      <alignment horizontal="left"/>
    </xf>
    <xf numFmtId="2" fontId="46" fillId="4" borderId="47" xfId="0" applyNumberFormat="1" applyFont="1" applyFill="1" applyBorder="1" applyAlignment="1">
      <alignment vertical="center"/>
    </xf>
    <xf numFmtId="2" fontId="46" fillId="4" borderId="43" xfId="0" applyNumberFormat="1" applyFont="1" applyFill="1" applyBorder="1" applyAlignment="1">
      <alignment vertical="center"/>
    </xf>
    <xf numFmtId="0" fontId="46" fillId="0" borderId="12" xfId="1" applyFont="1" applyFill="1" applyBorder="1" applyAlignment="1">
      <alignment horizontal="left" vertical="center"/>
    </xf>
    <xf numFmtId="2" fontId="46" fillId="4" borderId="24" xfId="1" applyNumberFormat="1" applyFont="1" applyFill="1" applyBorder="1" applyAlignment="1">
      <alignment horizontal="center" vertical="center" wrapText="1"/>
    </xf>
    <xf numFmtId="2" fontId="46" fillId="4" borderId="10" xfId="1" applyNumberFormat="1" applyFont="1" applyFill="1" applyBorder="1" applyAlignment="1">
      <alignment horizontal="center" vertical="center" wrapText="1"/>
    </xf>
    <xf numFmtId="1" fontId="46" fillId="4" borderId="40" xfId="1" applyNumberFormat="1" applyFont="1" applyFill="1" applyBorder="1" applyAlignment="1">
      <alignment vertical="center" wrapText="1"/>
    </xf>
    <xf numFmtId="4" fontId="46" fillId="4" borderId="12" xfId="1" applyNumberFormat="1" applyFont="1" applyFill="1" applyBorder="1" applyAlignment="1">
      <alignment vertical="center" wrapText="1"/>
    </xf>
    <xf numFmtId="1" fontId="47" fillId="4" borderId="19" xfId="0" applyNumberFormat="1" applyFont="1" applyFill="1" applyBorder="1" applyAlignment="1">
      <alignment vertical="center" wrapText="1"/>
    </xf>
    <xf numFmtId="0" fontId="47" fillId="4" borderId="27" xfId="0" applyFont="1" applyFill="1" applyBorder="1" applyAlignment="1">
      <alignment horizontal="center" vertical="center" wrapText="1"/>
    </xf>
    <xf numFmtId="1" fontId="46" fillId="4" borderId="10" xfId="1" applyNumberFormat="1" applyFont="1" applyFill="1" applyBorder="1" applyAlignment="1">
      <alignment horizontal="left" vertical="center" wrapText="1"/>
    </xf>
    <xf numFmtId="2" fontId="46" fillId="4" borderId="35" xfId="1" applyNumberFormat="1" applyFont="1" applyFill="1" applyBorder="1" applyAlignment="1">
      <alignment horizontal="center" vertical="center" wrapText="1"/>
    </xf>
    <xf numFmtId="2" fontId="46" fillId="4" borderId="54" xfId="1" applyNumberFormat="1" applyFont="1" applyFill="1" applyBorder="1" applyAlignment="1">
      <alignment horizontal="center" vertical="center" wrapText="1"/>
    </xf>
    <xf numFmtId="4" fontId="46" fillId="4" borderId="27" xfId="1" applyNumberFormat="1" applyFont="1" applyFill="1" applyBorder="1" applyAlignment="1">
      <alignment vertical="center" wrapText="1"/>
    </xf>
    <xf numFmtId="1" fontId="46" fillId="4" borderId="45" xfId="1" applyNumberFormat="1" applyFont="1" applyFill="1" applyBorder="1" applyAlignment="1">
      <alignment horizontal="center" vertical="center" wrapText="1"/>
    </xf>
    <xf numFmtId="1" fontId="46" fillId="4" borderId="30" xfId="0" applyNumberFormat="1" applyFont="1" applyFill="1" applyBorder="1" applyAlignment="1">
      <alignment vertical="center" wrapText="1"/>
    </xf>
    <xf numFmtId="0" fontId="46" fillId="0" borderId="30" xfId="1" applyFont="1" applyFill="1" applyBorder="1" applyAlignment="1">
      <alignment horizontal="left" vertical="center"/>
    </xf>
    <xf numFmtId="1" fontId="46" fillId="0" borderId="30" xfId="1" applyNumberFormat="1" applyFont="1" applyFill="1" applyBorder="1" applyAlignment="1">
      <alignment horizontal="center" vertical="center" wrapText="1"/>
    </xf>
    <xf numFmtId="2" fontId="46" fillId="4" borderId="21" xfId="1" applyNumberFormat="1" applyFont="1" applyFill="1" applyBorder="1" applyAlignment="1">
      <alignment horizontal="center" vertical="center" wrapText="1"/>
    </xf>
    <xf numFmtId="2" fontId="46" fillId="4" borderId="45" xfId="1" applyNumberFormat="1" applyFont="1" applyFill="1" applyBorder="1" applyAlignment="1">
      <alignment horizontal="center" vertical="center" wrapText="1"/>
    </xf>
    <xf numFmtId="1" fontId="46" fillId="4" borderId="56" xfId="1" applyNumberFormat="1" applyFont="1" applyFill="1" applyBorder="1" applyAlignment="1">
      <alignment vertical="center" wrapText="1"/>
    </xf>
    <xf numFmtId="1" fontId="46" fillId="4" borderId="44" xfId="1" applyNumberFormat="1" applyFont="1" applyFill="1" applyBorder="1" applyAlignment="1">
      <alignment vertical="center" wrapText="1"/>
    </xf>
    <xf numFmtId="0" fontId="55" fillId="0" borderId="30" xfId="0" applyFont="1" applyBorder="1" applyAlignment="1">
      <alignment horizontal="center"/>
    </xf>
    <xf numFmtId="0" fontId="47" fillId="4" borderId="30" xfId="0" applyFont="1" applyFill="1" applyBorder="1" applyAlignment="1">
      <alignment horizontal="center" vertical="center" wrapText="1"/>
    </xf>
    <xf numFmtId="4" fontId="46" fillId="4" borderId="30" xfId="1" applyNumberFormat="1" applyFont="1" applyFill="1" applyBorder="1" applyAlignment="1">
      <alignment vertical="center" wrapText="1"/>
    </xf>
    <xf numFmtId="0" fontId="46" fillId="0" borderId="21" xfId="1" applyFont="1" applyFill="1" applyBorder="1" applyAlignment="1">
      <alignment horizontal="center" vertical="center" wrapText="1"/>
    </xf>
    <xf numFmtId="1" fontId="46" fillId="4" borderId="55" xfId="1" applyNumberFormat="1" applyFont="1" applyFill="1" applyBorder="1" applyAlignment="1">
      <alignment horizontal="left" vertical="center" wrapText="1"/>
    </xf>
    <xf numFmtId="0" fontId="34" fillId="2" borderId="16" xfId="1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1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5" fillId="4" borderId="42" xfId="1" applyFont="1" applyFill="1" applyBorder="1" applyAlignment="1">
      <alignment horizontal="center" vertical="center" wrapText="1"/>
    </xf>
    <xf numFmtId="0" fontId="26" fillId="4" borderId="19" xfId="0" applyFont="1" applyFill="1" applyBorder="1" applyAlignment="1">
      <alignment vertical="center" wrapText="1"/>
    </xf>
    <xf numFmtId="1" fontId="25" fillId="4" borderId="12" xfId="1" applyNumberFormat="1" applyFont="1" applyFill="1" applyBorder="1" applyAlignment="1">
      <alignment horizontal="left" vertical="center" wrapText="1"/>
    </xf>
    <xf numFmtId="1" fontId="25" fillId="0" borderId="12" xfId="1" applyNumberFormat="1" applyFont="1" applyFill="1" applyBorder="1" applyAlignment="1">
      <alignment vertical="center" wrapText="1"/>
    </xf>
    <xf numFmtId="0" fontId="25" fillId="0" borderId="35" xfId="1" applyFont="1" applyFill="1" applyBorder="1" applyAlignment="1">
      <alignment horizontal="center" vertical="center" wrapText="1"/>
    </xf>
    <xf numFmtId="0" fontId="25" fillId="4" borderId="48" xfId="1" applyFont="1" applyFill="1" applyBorder="1" applyAlignment="1">
      <alignment horizontal="center" vertical="center" wrapText="1"/>
    </xf>
    <xf numFmtId="1" fontId="25" fillId="4" borderId="37" xfId="1" applyNumberFormat="1" applyFont="1" applyFill="1" applyBorder="1" applyAlignment="1">
      <alignment horizontal="center" vertical="center" wrapText="1"/>
    </xf>
    <xf numFmtId="0" fontId="52" fillId="0" borderId="27" xfId="0" applyFont="1" applyBorder="1" applyAlignment="1">
      <alignment horizontal="center"/>
    </xf>
    <xf numFmtId="0" fontId="25" fillId="4" borderId="27" xfId="0" applyFont="1" applyFill="1" applyBorder="1" applyAlignment="1">
      <alignment horizontal="center" vertical="center" wrapText="1"/>
    </xf>
    <xf numFmtId="0" fontId="25" fillId="4" borderId="27" xfId="1" applyFont="1" applyFill="1" applyBorder="1" applyAlignment="1">
      <alignment vertical="center" wrapText="1"/>
    </xf>
    <xf numFmtId="1" fontId="25" fillId="4" borderId="40" xfId="0" applyNumberFormat="1" applyFont="1" applyFill="1" applyBorder="1" applyAlignment="1">
      <alignment vertical="center" wrapText="1"/>
    </xf>
    <xf numFmtId="1" fontId="52" fillId="4" borderId="10" xfId="0" applyNumberFormat="1" applyFont="1" applyFill="1" applyBorder="1" applyAlignment="1">
      <alignment horizontal="center"/>
    </xf>
    <xf numFmtId="0" fontId="26" fillId="0" borderId="10" xfId="0" applyFont="1" applyBorder="1"/>
    <xf numFmtId="1" fontId="26" fillId="4" borderId="12" xfId="0" applyNumberFormat="1" applyFont="1" applyFill="1" applyBorder="1" applyAlignment="1">
      <alignment vertical="center" wrapText="1"/>
    </xf>
    <xf numFmtId="0" fontId="52" fillId="0" borderId="0" xfId="0" applyFont="1" applyBorder="1" applyAlignment="1"/>
    <xf numFmtId="2" fontId="23" fillId="4" borderId="13" xfId="1" applyNumberFormat="1" applyFont="1" applyFill="1" applyBorder="1" applyAlignment="1">
      <alignment horizontal="center" vertical="center" wrapText="1"/>
    </xf>
    <xf numFmtId="1" fontId="25" fillId="4" borderId="54" xfId="1" applyNumberFormat="1" applyFont="1" applyFill="1" applyBorder="1" applyAlignment="1">
      <alignment horizontal="left" vertical="center" wrapText="1"/>
    </xf>
    <xf numFmtId="2" fontId="23" fillId="4" borderId="51" xfId="1" applyNumberFormat="1" applyFont="1" applyFill="1" applyBorder="1" applyAlignment="1">
      <alignment horizontal="center" vertical="center" wrapText="1"/>
    </xf>
    <xf numFmtId="2" fontId="0" fillId="3" borderId="19" xfId="0" applyNumberFormat="1" applyFill="1" applyBorder="1" applyAlignment="1">
      <alignment horizontal="center" vertical="center" wrapText="1"/>
    </xf>
    <xf numFmtId="2" fontId="25" fillId="4" borderId="12" xfId="0" applyNumberFormat="1" applyFont="1" applyFill="1" applyBorder="1" applyAlignment="1">
      <alignment horizontal="center" vertical="center" wrapText="1"/>
    </xf>
    <xf numFmtId="2" fontId="25" fillId="4" borderId="45" xfId="0" applyNumberFormat="1" applyFont="1" applyFill="1" applyBorder="1" applyAlignment="1">
      <alignment horizontal="center" vertical="center" wrapText="1"/>
    </xf>
    <xf numFmtId="2" fontId="25" fillId="4" borderId="30" xfId="0" applyNumberFormat="1" applyFont="1" applyFill="1" applyBorder="1" applyAlignment="1">
      <alignment horizontal="center" vertical="center" wrapText="1"/>
    </xf>
    <xf numFmtId="2" fontId="25" fillId="4" borderId="21" xfId="0" applyNumberFormat="1" applyFont="1" applyFill="1" applyBorder="1" applyAlignment="1">
      <alignment horizontal="center" vertical="center" wrapText="1"/>
    </xf>
    <xf numFmtId="2" fontId="25" fillId="4" borderId="27" xfId="0" applyNumberFormat="1" applyFont="1" applyFill="1" applyBorder="1" applyAlignment="1">
      <alignment horizontal="center" vertical="center" wrapText="1"/>
    </xf>
    <xf numFmtId="2" fontId="25" fillId="4" borderId="8" xfId="1" applyNumberFormat="1" applyFont="1" applyFill="1" applyBorder="1" applyAlignment="1">
      <alignment horizontal="center" vertical="center" wrapText="1"/>
    </xf>
    <xf numFmtId="2" fontId="25" fillId="4" borderId="57" xfId="1" applyNumberFormat="1" applyFont="1" applyFill="1" applyBorder="1" applyAlignment="1">
      <alignment horizontal="center" vertical="center" wrapText="1"/>
    </xf>
    <xf numFmtId="2" fontId="25" fillId="4" borderId="9" xfId="0" applyNumberFormat="1" applyFont="1" applyFill="1" applyBorder="1" applyAlignment="1">
      <alignment horizontal="center" vertical="center" wrapText="1"/>
    </xf>
    <xf numFmtId="2" fontId="25" fillId="4" borderId="0" xfId="0" applyNumberFormat="1" applyFont="1" applyFill="1" applyBorder="1" applyAlignment="1">
      <alignment horizontal="center" vertical="center" wrapText="1"/>
    </xf>
    <xf numFmtId="0" fontId="25" fillId="0" borderId="48" xfId="1" applyFont="1" applyFill="1" applyBorder="1" applyAlignment="1">
      <alignment horizontal="center" vertical="center" wrapText="1"/>
    </xf>
    <xf numFmtId="1" fontId="25" fillId="4" borderId="27" xfId="1" applyNumberFormat="1" applyFont="1" applyFill="1" applyBorder="1" applyAlignment="1">
      <alignment vertical="center" wrapText="1"/>
    </xf>
    <xf numFmtId="2" fontId="25" fillId="4" borderId="49" xfId="0" applyNumberFormat="1" applyFont="1" applyFill="1" applyBorder="1" applyAlignment="1">
      <alignment horizontal="center" vertical="center" wrapText="1"/>
    </xf>
    <xf numFmtId="2" fontId="25" fillId="4" borderId="11" xfId="1" applyNumberFormat="1" applyFont="1" applyFill="1" applyBorder="1" applyAlignment="1">
      <alignment horizontal="left" vertical="center"/>
    </xf>
    <xf numFmtId="2" fontId="25" fillId="4" borderId="48" xfId="1" applyNumberFormat="1" applyFont="1" applyFill="1" applyBorder="1" applyAlignment="1">
      <alignment horizontal="left" vertical="center"/>
    </xf>
    <xf numFmtId="1" fontId="25" fillId="4" borderId="11" xfId="1" applyNumberFormat="1" applyFont="1" applyFill="1" applyBorder="1" applyAlignment="1">
      <alignment vertical="center" wrapText="1"/>
    </xf>
    <xf numFmtId="0" fontId="52" fillId="0" borderId="19" xfId="0" applyFont="1" applyBorder="1" applyAlignment="1">
      <alignment horizontal="center"/>
    </xf>
    <xf numFmtId="0" fontId="26" fillId="0" borderId="54" xfId="0" applyFont="1" applyBorder="1" applyAlignment="1">
      <alignment horizontal="left"/>
    </xf>
    <xf numFmtId="2" fontId="25" fillId="4" borderId="58" xfId="1" applyNumberFormat="1" applyFont="1" applyFill="1" applyBorder="1" applyAlignment="1">
      <alignment horizontal="left" vertical="center" wrapText="1"/>
    </xf>
    <xf numFmtId="2" fontId="25" fillId="4" borderId="27" xfId="0" applyNumberFormat="1" applyFont="1" applyFill="1" applyBorder="1" applyAlignment="1">
      <alignment horizontal="left" vertical="center" wrapText="1"/>
    </xf>
    <xf numFmtId="0" fontId="52" fillId="4" borderId="0" xfId="0" applyFont="1" applyFill="1" applyBorder="1" applyAlignment="1"/>
    <xf numFmtId="0" fontId="52" fillId="4" borderId="12" xfId="0" applyFont="1" applyFill="1" applyBorder="1" applyAlignment="1">
      <alignment horizontal="center"/>
    </xf>
    <xf numFmtId="0" fontId="26" fillId="4" borderId="10" xfId="0" applyFont="1" applyFill="1" applyBorder="1" applyAlignment="1">
      <alignment horizontal="left"/>
    </xf>
    <xf numFmtId="0" fontId="25" fillId="4" borderId="12" xfId="2" applyFont="1" applyFill="1" applyBorder="1" applyAlignment="1">
      <alignment horizontal="center"/>
    </xf>
    <xf numFmtId="0" fontId="52" fillId="4" borderId="12" xfId="0" applyFont="1" applyFill="1" applyBorder="1" applyAlignment="1"/>
    <xf numFmtId="0" fontId="26" fillId="4" borderId="27" xfId="0" applyFont="1" applyFill="1" applyBorder="1" applyAlignment="1">
      <alignment vertical="center" wrapText="1"/>
    </xf>
    <xf numFmtId="0" fontId="26" fillId="4" borderId="12" xfId="0" applyFont="1" applyFill="1" applyBorder="1" applyAlignment="1">
      <alignment vertical="center" wrapText="1"/>
    </xf>
    <xf numFmtId="0" fontId="25" fillId="4" borderId="12" xfId="1" applyFont="1" applyFill="1" applyBorder="1" applyAlignment="1">
      <alignment horizontal="left" vertical="center"/>
    </xf>
    <xf numFmtId="0" fontId="25" fillId="4" borderId="27" xfId="1" applyFont="1" applyFill="1" applyBorder="1" applyAlignment="1">
      <alignment horizontal="left" vertical="center"/>
    </xf>
    <xf numFmtId="0" fontId="26" fillId="4" borderId="10" xfId="0" applyFont="1" applyFill="1" applyBorder="1"/>
    <xf numFmtId="0" fontId="25" fillId="4" borderId="37" xfId="1" applyFont="1" applyFill="1" applyBorder="1" applyAlignment="1">
      <alignment horizontal="center" vertical="center" wrapText="1"/>
    </xf>
    <xf numFmtId="2" fontId="25" fillId="4" borderId="42" xfId="1" applyNumberFormat="1" applyFont="1" applyFill="1" applyBorder="1" applyAlignment="1">
      <alignment horizontal="center" vertical="center"/>
    </xf>
    <xf numFmtId="2" fontId="25" fillId="4" borderId="19" xfId="1" applyNumberFormat="1" applyFont="1" applyFill="1" applyBorder="1" applyAlignment="1">
      <alignment horizontal="center" vertical="center"/>
    </xf>
    <xf numFmtId="2" fontId="25" fillId="4" borderId="59" xfId="1" applyNumberFormat="1" applyFont="1" applyFill="1" applyBorder="1" applyAlignment="1">
      <alignment horizontal="center" vertical="center"/>
    </xf>
    <xf numFmtId="2" fontId="25" fillId="4" borderId="40" xfId="1" applyNumberFormat="1" applyFont="1" applyFill="1" applyBorder="1" applyAlignment="1">
      <alignment horizontal="center" vertical="center"/>
    </xf>
    <xf numFmtId="2" fontId="25" fillId="4" borderId="43" xfId="1" applyNumberFormat="1" applyFont="1" applyFill="1" applyBorder="1" applyAlignment="1">
      <alignment horizontal="center" vertical="center"/>
    </xf>
    <xf numFmtId="2" fontId="25" fillId="4" borderId="42" xfId="1" applyNumberFormat="1" applyFont="1" applyFill="1" applyBorder="1" applyAlignment="1">
      <alignment horizontal="center" vertical="center" wrapText="1"/>
    </xf>
    <xf numFmtId="2" fontId="25" fillId="4" borderId="19" xfId="1" applyNumberFormat="1" applyFont="1" applyFill="1" applyBorder="1" applyAlignment="1">
      <alignment horizontal="center" vertical="center" wrapText="1"/>
    </xf>
    <xf numFmtId="2" fontId="25" fillId="4" borderId="43" xfId="1" applyNumberFormat="1" applyFont="1" applyFill="1" applyBorder="1" applyAlignment="1">
      <alignment horizontal="center" vertical="center" wrapText="1"/>
    </xf>
    <xf numFmtId="2" fontId="25" fillId="4" borderId="60" xfId="1" applyNumberFormat="1" applyFont="1" applyFill="1" applyBorder="1" applyAlignment="1">
      <alignment horizontal="center" vertical="center" wrapText="1"/>
    </xf>
    <xf numFmtId="0" fontId="52" fillId="4" borderId="19" xfId="0" applyFont="1" applyFill="1" applyBorder="1" applyAlignment="1">
      <alignment horizontal="center"/>
    </xf>
    <xf numFmtId="0" fontId="25" fillId="7" borderId="19" xfId="0" applyFont="1" applyFill="1" applyBorder="1" applyAlignment="1">
      <alignment horizontal="center" vertical="center"/>
    </xf>
    <xf numFmtId="0" fontId="25" fillId="4" borderId="37" xfId="1" applyFont="1" applyFill="1" applyBorder="1" applyAlignment="1">
      <alignment vertical="center" wrapText="1"/>
    </xf>
    <xf numFmtId="0" fontId="26" fillId="4" borderId="37" xfId="0" applyFont="1" applyFill="1" applyBorder="1" applyAlignment="1">
      <alignment horizontal="center" vertical="center" wrapText="1"/>
    </xf>
    <xf numFmtId="4" fontId="25" fillId="4" borderId="19" xfId="1" applyNumberFormat="1" applyFont="1" applyFill="1" applyBorder="1" applyAlignment="1">
      <alignment vertical="center"/>
    </xf>
    <xf numFmtId="2" fontId="25" fillId="4" borderId="61" xfId="1" applyNumberFormat="1" applyFont="1" applyFill="1" applyBorder="1" applyAlignment="1">
      <alignment horizontal="center" vertical="center" wrapText="1"/>
    </xf>
    <xf numFmtId="0" fontId="39" fillId="4" borderId="0" xfId="0" applyFont="1" applyFill="1"/>
    <xf numFmtId="0" fontId="25" fillId="4" borderId="62" xfId="1" applyFont="1" applyFill="1" applyBorder="1" applyAlignment="1">
      <alignment horizontal="center" vertical="center" wrapText="1"/>
    </xf>
    <xf numFmtId="1" fontId="26" fillId="4" borderId="37" xfId="0" applyNumberFormat="1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2" fontId="35" fillId="4" borderId="11" xfId="1" applyNumberFormat="1" applyFont="1" applyFill="1" applyBorder="1" applyAlignment="1">
      <alignment horizontal="left" vertical="center"/>
    </xf>
    <xf numFmtId="0" fontId="35" fillId="4" borderId="24" xfId="1" applyNumberFormat="1" applyFont="1" applyFill="1" applyBorder="1" applyAlignment="1">
      <alignment horizontal="center" vertical="center" wrapText="1"/>
    </xf>
    <xf numFmtId="0" fontId="35" fillId="4" borderId="12" xfId="0" applyNumberFormat="1" applyFont="1" applyFill="1" applyBorder="1" applyAlignment="1">
      <alignment vertical="center" wrapText="1"/>
    </xf>
    <xf numFmtId="0" fontId="7" fillId="5" borderId="35" xfId="1" applyFont="1" applyFill="1" applyBorder="1" applyAlignment="1">
      <alignment horizontal="left" vertical="center" wrapText="1"/>
    </xf>
    <xf numFmtId="0" fontId="7" fillId="5" borderId="28" xfId="1" applyFont="1" applyFill="1" applyBorder="1" applyAlignment="1">
      <alignment vertical="center" wrapText="1"/>
    </xf>
    <xf numFmtId="1" fontId="35" fillId="4" borderId="26" xfId="1" applyNumberFormat="1" applyFont="1" applyFill="1" applyBorder="1" applyAlignment="1">
      <alignment vertical="center" wrapText="1"/>
    </xf>
    <xf numFmtId="2" fontId="35" fillId="4" borderId="11" xfId="1" applyNumberFormat="1" applyFont="1" applyFill="1" applyBorder="1" applyAlignment="1">
      <alignment vertical="center"/>
    </xf>
    <xf numFmtId="1" fontId="35" fillId="4" borderId="27" xfId="1" applyNumberFormat="1" applyFont="1" applyFill="1" applyBorder="1" applyAlignment="1">
      <alignment horizontal="left" vertical="center" wrapText="1"/>
    </xf>
    <xf numFmtId="0" fontId="35" fillId="4" borderId="12" xfId="0" applyFont="1" applyFill="1" applyBorder="1" applyAlignment="1">
      <alignment horizontal="center" vertical="center" wrapText="1"/>
    </xf>
    <xf numFmtId="1" fontId="35" fillId="4" borderId="24" xfId="1" applyNumberFormat="1" applyFont="1" applyFill="1" applyBorder="1" applyAlignment="1">
      <alignment horizontal="center" vertical="center" wrapText="1"/>
    </xf>
    <xf numFmtId="1" fontId="35" fillId="4" borderId="12" xfId="0" applyNumberFormat="1" applyFont="1" applyFill="1" applyBorder="1" applyAlignment="1">
      <alignment vertical="center" wrapText="1"/>
    </xf>
    <xf numFmtId="0" fontId="35" fillId="0" borderId="24" xfId="1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vertical="center" wrapText="1"/>
    </xf>
    <xf numFmtId="0" fontId="35" fillId="0" borderId="12" xfId="1" applyFont="1" applyFill="1" applyBorder="1" applyAlignment="1">
      <alignment horizontal="left" vertical="center"/>
    </xf>
    <xf numFmtId="1" fontId="35" fillId="4" borderId="40" xfId="0" applyNumberFormat="1" applyFont="1" applyFill="1" applyBorder="1" applyAlignment="1">
      <alignment vertical="center" wrapText="1"/>
    </xf>
    <xf numFmtId="2" fontId="35" fillId="4" borderId="63" xfId="1" applyNumberFormat="1" applyFont="1" applyFill="1" applyBorder="1" applyAlignment="1">
      <alignment horizontal="center" vertical="center" wrapText="1"/>
    </xf>
    <xf numFmtId="2" fontId="35" fillId="4" borderId="35" xfId="1" applyNumberFormat="1" applyFont="1" applyFill="1" applyBorder="1" applyAlignment="1">
      <alignment horizontal="center" vertical="center" wrapText="1"/>
    </xf>
    <xf numFmtId="2" fontId="35" fillId="4" borderId="24" xfId="1" applyNumberFormat="1" applyFont="1" applyFill="1" applyBorder="1" applyAlignment="1">
      <alignment horizontal="center" vertical="center" wrapText="1"/>
    </xf>
    <xf numFmtId="2" fontId="35" fillId="4" borderId="25" xfId="1" applyNumberFormat="1" applyFont="1" applyFill="1" applyBorder="1" applyAlignment="1">
      <alignment horizontal="center" vertical="center" wrapText="1"/>
    </xf>
    <xf numFmtId="1" fontId="35" fillId="4" borderId="64" xfId="1" applyNumberFormat="1" applyFont="1" applyFill="1" applyBorder="1" applyAlignment="1">
      <alignment horizontal="left" vertical="center" wrapText="1"/>
    </xf>
    <xf numFmtId="0" fontId="25" fillId="4" borderId="19" xfId="1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left"/>
    </xf>
    <xf numFmtId="2" fontId="25" fillId="4" borderId="59" xfId="1" applyNumberFormat="1" applyFont="1" applyFill="1" applyBorder="1" applyAlignment="1">
      <alignment horizontal="center" vertical="center" wrapText="1"/>
    </xf>
    <xf numFmtId="2" fontId="25" fillId="4" borderId="40" xfId="1" applyNumberFormat="1" applyFont="1" applyFill="1" applyBorder="1" applyAlignment="1">
      <alignment horizontal="center" vertical="center" wrapText="1"/>
    </xf>
    <xf numFmtId="0" fontId="26" fillId="0" borderId="19" xfId="0" applyFont="1" applyFill="1" applyBorder="1" applyAlignment="1">
      <alignment horizontal="center" vertical="center" wrapText="1"/>
    </xf>
    <xf numFmtId="0" fontId="25" fillId="4" borderId="19" xfId="1" applyFont="1" applyFill="1" applyBorder="1" applyAlignment="1">
      <alignment vertical="center" wrapText="1"/>
    </xf>
    <xf numFmtId="0" fontId="26" fillId="4" borderId="19" xfId="0" applyFont="1" applyFill="1" applyBorder="1" applyAlignment="1">
      <alignment horizontal="center" vertical="center" wrapText="1"/>
    </xf>
    <xf numFmtId="4" fontId="25" fillId="4" borderId="19" xfId="1" applyNumberFormat="1" applyFont="1" applyFill="1" applyBorder="1" applyAlignment="1">
      <alignment horizontal="right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5" borderId="45" xfId="1" applyFont="1" applyFill="1" applyBorder="1" applyAlignment="1">
      <alignment vertical="center" wrapText="1"/>
    </xf>
    <xf numFmtId="4" fontId="7" fillId="0" borderId="15" xfId="1" applyNumberFormat="1" applyFont="1" applyFill="1" applyBorder="1" applyAlignment="1">
      <alignment horizontal="center" vertical="center" wrapText="1"/>
    </xf>
    <xf numFmtId="2" fontId="35" fillId="4" borderId="48" xfId="1" applyNumberFormat="1" applyFont="1" applyFill="1" applyBorder="1" applyAlignment="1">
      <alignment horizontal="left" vertical="center"/>
    </xf>
    <xf numFmtId="2" fontId="35" fillId="4" borderId="48" xfId="1" applyNumberFormat="1" applyFont="1" applyFill="1" applyBorder="1" applyAlignment="1">
      <alignment vertical="center"/>
    </xf>
    <xf numFmtId="1" fontId="35" fillId="4" borderId="12" xfId="1" applyNumberFormat="1" applyFont="1" applyFill="1" applyBorder="1" applyAlignment="1">
      <alignment vertical="center" wrapText="1"/>
    </xf>
    <xf numFmtId="1" fontId="35" fillId="4" borderId="11" xfId="1" applyNumberFormat="1" applyFont="1" applyFill="1" applyBorder="1" applyAlignment="1">
      <alignment horizontal="left" vertical="center" wrapText="1"/>
    </xf>
    <xf numFmtId="0" fontId="25" fillId="4" borderId="48" xfId="1" applyFont="1" applyFill="1" applyBorder="1" applyAlignment="1">
      <alignment horizontal="center" vertical="center"/>
    </xf>
    <xf numFmtId="0" fontId="26" fillId="4" borderId="27" xfId="0" applyFont="1" applyFill="1" applyBorder="1" applyAlignment="1">
      <alignment vertical="center"/>
    </xf>
    <xf numFmtId="1" fontId="25" fillId="4" borderId="27" xfId="1" applyNumberFormat="1" applyFont="1" applyFill="1" applyBorder="1" applyAlignment="1">
      <alignment horizontal="left" vertical="center"/>
    </xf>
    <xf numFmtId="0" fontId="25" fillId="4" borderId="27" xfId="1" applyFont="1" applyFill="1" applyBorder="1" applyAlignment="1">
      <alignment horizontal="center" vertical="center"/>
    </xf>
    <xf numFmtId="1" fontId="25" fillId="4" borderId="27" xfId="1" applyNumberFormat="1" applyFont="1" applyFill="1" applyBorder="1" applyAlignment="1">
      <alignment horizontal="center" vertical="center"/>
    </xf>
    <xf numFmtId="2" fontId="25" fillId="4" borderId="35" xfId="1" applyNumberFormat="1" applyFont="1" applyFill="1" applyBorder="1" applyAlignment="1">
      <alignment horizontal="center" vertical="center"/>
    </xf>
    <xf numFmtId="2" fontId="25" fillId="4" borderId="28" xfId="1" applyNumberFormat="1" applyFont="1" applyFill="1" applyBorder="1" applyAlignment="1">
      <alignment horizontal="center" vertical="center"/>
    </xf>
    <xf numFmtId="2" fontId="25" fillId="4" borderId="48" xfId="1" applyNumberFormat="1" applyFont="1" applyFill="1" applyBorder="1" applyAlignment="1">
      <alignment horizontal="center" vertical="center"/>
    </xf>
    <xf numFmtId="2" fontId="25" fillId="4" borderId="54" xfId="1" applyNumberFormat="1" applyFont="1" applyFill="1" applyBorder="1" applyAlignment="1">
      <alignment horizontal="center" vertical="center"/>
    </xf>
    <xf numFmtId="2" fontId="25" fillId="4" borderId="57" xfId="1" applyNumberFormat="1" applyFont="1" applyFill="1" applyBorder="1" applyAlignment="1">
      <alignment horizontal="center" vertical="center"/>
    </xf>
    <xf numFmtId="0" fontId="25" fillId="4" borderId="12" xfId="1" applyFont="1" applyFill="1" applyBorder="1" applyAlignment="1">
      <alignment vertical="center"/>
    </xf>
    <xf numFmtId="0" fontId="26" fillId="4" borderId="12" xfId="0" applyFont="1" applyFill="1" applyBorder="1" applyAlignment="1">
      <alignment horizontal="center" vertical="center"/>
    </xf>
    <xf numFmtId="4" fontId="25" fillId="4" borderId="27" xfId="1" applyNumberFormat="1" applyFont="1" applyFill="1" applyBorder="1" applyAlignment="1">
      <alignment horizontal="right" vertical="center"/>
    </xf>
    <xf numFmtId="2" fontId="25" fillId="4" borderId="0" xfId="0" applyNumberFormat="1" applyFont="1" applyFill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2" fontId="35" fillId="4" borderId="54" xfId="1" applyNumberFormat="1" applyFont="1" applyFill="1" applyBorder="1" applyAlignment="1">
      <alignment horizontal="center" vertical="center" wrapText="1"/>
    </xf>
    <xf numFmtId="2" fontId="35" fillId="4" borderId="65" xfId="1" applyNumberFormat="1" applyFont="1" applyFill="1" applyBorder="1" applyAlignment="1">
      <alignment horizontal="center" vertical="center" wrapText="1"/>
    </xf>
    <xf numFmtId="2" fontId="25" fillId="4" borderId="30" xfId="0" applyNumberFormat="1" applyFont="1" applyFill="1" applyBorder="1" applyAlignment="1">
      <alignment horizontal="right" vertical="center" wrapText="1"/>
    </xf>
    <xf numFmtId="2" fontId="35" fillId="4" borderId="66" xfId="1" applyNumberFormat="1" applyFont="1" applyFill="1" applyBorder="1" applyAlignment="1">
      <alignment horizontal="left" vertical="center" wrapText="1"/>
    </xf>
    <xf numFmtId="0" fontId="35" fillId="4" borderId="12" xfId="0" applyFont="1" applyFill="1" applyBorder="1" applyAlignment="1">
      <alignment horizontal="left" vertical="center" wrapText="1"/>
    </xf>
    <xf numFmtId="0" fontId="30" fillId="4" borderId="66" xfId="0" applyFont="1" applyFill="1" applyBorder="1" applyAlignment="1">
      <alignment horizontal="left"/>
    </xf>
    <xf numFmtId="0" fontId="35" fillId="4" borderId="62" xfId="1" applyFont="1" applyFill="1" applyBorder="1" applyAlignment="1">
      <alignment horizontal="center" vertical="center" wrapText="1"/>
    </xf>
    <xf numFmtId="1" fontId="30" fillId="4" borderId="37" xfId="0" applyNumberFormat="1" applyFont="1" applyFill="1" applyBorder="1" applyAlignment="1">
      <alignment vertical="center" wrapText="1"/>
    </xf>
    <xf numFmtId="0" fontId="30" fillId="4" borderId="27" xfId="0" applyFont="1" applyFill="1" applyBorder="1" applyAlignment="1">
      <alignment vertical="center" wrapText="1"/>
    </xf>
    <xf numFmtId="0" fontId="35" fillId="0" borderId="35" xfId="1" applyFont="1" applyFill="1" applyBorder="1" applyAlignment="1">
      <alignment horizontal="center" vertical="center" wrapText="1"/>
    </xf>
    <xf numFmtId="0" fontId="63" fillId="4" borderId="12" xfId="0" applyFont="1" applyFill="1" applyBorder="1" applyAlignment="1">
      <alignment horizontal="center"/>
    </xf>
    <xf numFmtId="0" fontId="46" fillId="4" borderId="62" xfId="1" applyFont="1" applyFill="1" applyBorder="1" applyAlignment="1">
      <alignment horizontal="center" vertical="center" wrapText="1"/>
    </xf>
    <xf numFmtId="1" fontId="47" fillId="4" borderId="37" xfId="0" applyNumberFormat="1" applyFont="1" applyFill="1" applyBorder="1" applyAlignment="1">
      <alignment vertical="center" wrapText="1"/>
    </xf>
    <xf numFmtId="1" fontId="46" fillId="4" borderId="37" xfId="1" applyNumberFormat="1" applyFont="1" applyFill="1" applyBorder="1" applyAlignment="1">
      <alignment vertical="center" wrapText="1"/>
    </xf>
    <xf numFmtId="0" fontId="46" fillId="4" borderId="19" xfId="1" applyFont="1" applyFill="1" applyBorder="1" applyAlignment="1">
      <alignment horizontal="center" vertical="center" wrapText="1"/>
    </xf>
    <xf numFmtId="1" fontId="46" fillId="4" borderId="37" xfId="1" applyNumberFormat="1" applyFont="1" applyFill="1" applyBorder="1" applyAlignment="1">
      <alignment horizontal="center" vertical="center" wrapText="1"/>
    </xf>
    <xf numFmtId="2" fontId="46" fillId="4" borderId="42" xfId="1" applyNumberFormat="1" applyFont="1" applyFill="1" applyBorder="1" applyAlignment="1">
      <alignment horizontal="center" vertical="center" wrapText="1"/>
    </xf>
    <xf numFmtId="2" fontId="46" fillId="4" borderId="19" xfId="1" applyNumberFormat="1" applyFont="1" applyFill="1" applyBorder="1" applyAlignment="1">
      <alignment horizontal="center" vertical="center" wrapText="1"/>
    </xf>
    <xf numFmtId="2" fontId="46" fillId="4" borderId="43" xfId="1" applyNumberFormat="1" applyFont="1" applyFill="1" applyBorder="1" applyAlignment="1">
      <alignment horizontal="center" vertical="center" wrapText="1"/>
    </xf>
    <xf numFmtId="2" fontId="46" fillId="4" borderId="60" xfId="1" applyNumberFormat="1" applyFont="1" applyFill="1" applyBorder="1" applyAlignment="1">
      <alignment horizontal="center" vertical="center" wrapText="1"/>
    </xf>
    <xf numFmtId="2" fontId="46" fillId="4" borderId="11" xfId="1" applyNumberFormat="1" applyFont="1" applyFill="1" applyBorder="1" applyAlignment="1">
      <alignment horizontal="left" vertical="center"/>
    </xf>
    <xf numFmtId="2" fontId="46" fillId="4" borderId="48" xfId="1" applyNumberFormat="1" applyFont="1" applyFill="1" applyBorder="1" applyAlignment="1">
      <alignment horizontal="left" vertical="center"/>
    </xf>
    <xf numFmtId="0" fontId="55" fillId="0" borderId="19" xfId="0" applyFont="1" applyBorder="1" applyAlignment="1">
      <alignment horizontal="center"/>
    </xf>
    <xf numFmtId="0" fontId="55" fillId="0" borderId="0" xfId="0" applyFont="1" applyBorder="1" applyAlignment="1">
      <alignment horizontal="center" vertical="center"/>
    </xf>
    <xf numFmtId="1" fontId="55" fillId="4" borderId="10" xfId="0" applyNumberFormat="1" applyFont="1" applyFill="1" applyBorder="1" applyAlignment="1">
      <alignment horizontal="center"/>
    </xf>
    <xf numFmtId="2" fontId="46" fillId="4" borderId="8" xfId="1" applyNumberFormat="1" applyFont="1" applyFill="1" applyBorder="1" applyAlignment="1">
      <alignment horizontal="center" vertical="center" wrapText="1"/>
    </xf>
    <xf numFmtId="1" fontId="46" fillId="4" borderId="11" xfId="1" applyNumberFormat="1" applyFont="1" applyFill="1" applyBorder="1" applyAlignment="1">
      <alignment vertical="center" wrapText="1"/>
    </xf>
    <xf numFmtId="0" fontId="46" fillId="0" borderId="12" xfId="2" applyFont="1" applyBorder="1" applyAlignment="1">
      <alignment horizontal="center"/>
    </xf>
    <xf numFmtId="0" fontId="46" fillId="4" borderId="11" xfId="1" applyFont="1" applyFill="1" applyBorder="1" applyAlignment="1">
      <alignment horizontal="center" vertical="center" wrapText="1"/>
    </xf>
    <xf numFmtId="1" fontId="46" fillId="4" borderId="19" xfId="1" applyNumberFormat="1" applyFont="1" applyFill="1" applyBorder="1" applyAlignment="1">
      <alignment horizontal="center" vertical="center" wrapText="1"/>
    </xf>
    <xf numFmtId="0" fontId="47" fillId="0" borderId="10" xfId="0" applyFont="1" applyBorder="1"/>
    <xf numFmtId="2" fontId="46" fillId="4" borderId="58" xfId="1" applyNumberFormat="1" applyFont="1" applyFill="1" applyBorder="1" applyAlignment="1">
      <alignment horizontal="left" vertical="center" wrapText="1"/>
    </xf>
    <xf numFmtId="0" fontId="46" fillId="4" borderId="42" xfId="1" applyFont="1" applyFill="1" applyBorder="1" applyAlignment="1">
      <alignment horizontal="center" vertical="center" wrapText="1"/>
    </xf>
    <xf numFmtId="0" fontId="47" fillId="4" borderId="19" xfId="0" applyFont="1" applyFill="1" applyBorder="1" applyAlignment="1">
      <alignment vertical="center" wrapText="1"/>
    </xf>
    <xf numFmtId="1" fontId="46" fillId="0" borderId="12" xfId="1" applyNumberFormat="1" applyFont="1" applyFill="1" applyBorder="1" applyAlignment="1">
      <alignment vertical="center" wrapText="1"/>
    </xf>
    <xf numFmtId="2" fontId="46" fillId="4" borderId="57" xfId="1" applyNumberFormat="1" applyFont="1" applyFill="1" applyBorder="1" applyAlignment="1">
      <alignment horizontal="center" vertical="center" wrapText="1"/>
    </xf>
    <xf numFmtId="0" fontId="55" fillId="4" borderId="12" xfId="0" applyFont="1" applyFill="1" applyBorder="1" applyAlignment="1">
      <alignment horizontal="center"/>
    </xf>
    <xf numFmtId="0" fontId="47" fillId="4" borderId="10" xfId="0" applyFont="1" applyFill="1" applyBorder="1" applyAlignment="1">
      <alignment horizontal="left"/>
    </xf>
    <xf numFmtId="0" fontId="46" fillId="4" borderId="12" xfId="2" applyFont="1" applyFill="1" applyBorder="1" applyAlignment="1">
      <alignment horizontal="center"/>
    </xf>
    <xf numFmtId="1" fontId="46" fillId="4" borderId="12" xfId="1" applyNumberFormat="1" applyFont="1" applyFill="1" applyBorder="1" applyAlignment="1">
      <alignment horizontal="left" vertical="center" wrapText="1"/>
    </xf>
    <xf numFmtId="0" fontId="46" fillId="0" borderId="35" xfId="1" applyFont="1" applyFill="1" applyBorder="1" applyAlignment="1">
      <alignment horizontal="center" vertical="center" wrapText="1"/>
    </xf>
    <xf numFmtId="0" fontId="55" fillId="0" borderId="27" xfId="0" applyFont="1" applyBorder="1" applyAlignment="1">
      <alignment horizontal="center"/>
    </xf>
    <xf numFmtId="0" fontId="46" fillId="4" borderId="27" xfId="0" applyFont="1" applyFill="1" applyBorder="1" applyAlignment="1">
      <alignment horizontal="center" vertical="center" wrapText="1"/>
    </xf>
    <xf numFmtId="0" fontId="46" fillId="4" borderId="27" xfId="1" applyFont="1" applyFill="1" applyBorder="1" applyAlignment="1">
      <alignment vertical="center" wrapText="1"/>
    </xf>
    <xf numFmtId="1" fontId="47" fillId="4" borderId="12" xfId="0" applyNumberFormat="1" applyFont="1" applyFill="1" applyBorder="1" applyAlignment="1">
      <alignment vertical="center" wrapText="1"/>
    </xf>
    <xf numFmtId="1" fontId="46" fillId="4" borderId="54" xfId="1" applyNumberFormat="1" applyFont="1" applyFill="1" applyBorder="1" applyAlignment="1">
      <alignment horizontal="left" vertical="center" wrapText="1"/>
    </xf>
    <xf numFmtId="0" fontId="47" fillId="4" borderId="27" xfId="0" applyFont="1" applyFill="1" applyBorder="1" applyAlignment="1">
      <alignment vertical="center" wrapText="1"/>
    </xf>
    <xf numFmtId="1" fontId="46" fillId="4" borderId="27" xfId="1" applyNumberFormat="1" applyFont="1" applyFill="1" applyBorder="1" applyAlignment="1">
      <alignment vertical="center" wrapText="1"/>
    </xf>
    <xf numFmtId="0" fontId="47" fillId="4" borderId="12" xfId="0" applyFont="1" applyFill="1" applyBorder="1" applyAlignment="1">
      <alignment vertical="center" wrapText="1"/>
    </xf>
    <xf numFmtId="0" fontId="47" fillId="4" borderId="27" xfId="0" applyFont="1" applyFill="1" applyBorder="1" applyAlignment="1">
      <alignment vertical="center"/>
    </xf>
    <xf numFmtId="1" fontId="46" fillId="4" borderId="27" xfId="1" applyNumberFormat="1" applyFont="1" applyFill="1" applyBorder="1" applyAlignment="1">
      <alignment horizontal="left" vertical="center"/>
    </xf>
    <xf numFmtId="0" fontId="46" fillId="4" borderId="27" xfId="1" applyFont="1" applyFill="1" applyBorder="1" applyAlignment="1">
      <alignment horizontal="center" vertical="center"/>
    </xf>
    <xf numFmtId="1" fontId="46" fillId="4" borderId="27" xfId="1" applyNumberFormat="1" applyFont="1" applyFill="1" applyBorder="1" applyAlignment="1">
      <alignment horizontal="center" vertical="center"/>
    </xf>
    <xf numFmtId="2" fontId="46" fillId="4" borderId="35" xfId="1" applyNumberFormat="1" applyFont="1" applyFill="1" applyBorder="1" applyAlignment="1">
      <alignment horizontal="center" vertical="center"/>
    </xf>
    <xf numFmtId="2" fontId="46" fillId="4" borderId="28" xfId="1" applyNumberFormat="1" applyFont="1" applyFill="1" applyBorder="1" applyAlignment="1">
      <alignment horizontal="center" vertical="center"/>
    </xf>
    <xf numFmtId="2" fontId="46" fillId="4" borderId="54" xfId="1" applyNumberFormat="1" applyFont="1" applyFill="1" applyBorder="1" applyAlignment="1">
      <alignment horizontal="center" vertical="center"/>
    </xf>
    <xf numFmtId="2" fontId="46" fillId="4" borderId="57" xfId="1" applyNumberFormat="1" applyFont="1" applyFill="1" applyBorder="1" applyAlignment="1">
      <alignment horizontal="center" vertical="center"/>
    </xf>
    <xf numFmtId="0" fontId="46" fillId="4" borderId="12" xfId="1" applyFont="1" applyFill="1" applyBorder="1" applyAlignment="1">
      <alignment vertical="center"/>
    </xf>
    <xf numFmtId="0" fontId="47" fillId="4" borderId="12" xfId="0" applyFont="1" applyFill="1" applyBorder="1" applyAlignment="1">
      <alignment horizontal="center" vertical="center"/>
    </xf>
    <xf numFmtId="4" fontId="46" fillId="4" borderId="27" xfId="1" applyNumberFormat="1" applyFont="1" applyFill="1" applyBorder="1" applyAlignment="1">
      <alignment horizontal="right" vertical="center"/>
    </xf>
    <xf numFmtId="0" fontId="46" fillId="4" borderId="12" xfId="1" applyFont="1" applyFill="1" applyBorder="1" applyAlignment="1">
      <alignment horizontal="left" vertical="center"/>
    </xf>
    <xf numFmtId="0" fontId="46" fillId="4" borderId="27" xfId="1" applyFont="1" applyFill="1" applyBorder="1" applyAlignment="1">
      <alignment horizontal="left" vertical="center"/>
    </xf>
    <xf numFmtId="0" fontId="47" fillId="4" borderId="10" xfId="0" applyFont="1" applyFill="1" applyBorder="1"/>
    <xf numFmtId="0" fontId="46" fillId="4" borderId="37" xfId="1" applyFont="1" applyFill="1" applyBorder="1" applyAlignment="1">
      <alignment horizontal="center" vertical="center" wrapText="1"/>
    </xf>
    <xf numFmtId="2" fontId="46" fillId="4" borderId="42" xfId="1" applyNumberFormat="1" applyFont="1" applyFill="1" applyBorder="1" applyAlignment="1">
      <alignment horizontal="center" vertical="center"/>
    </xf>
    <xf numFmtId="2" fontId="46" fillId="4" borderId="19" xfId="1" applyNumberFormat="1" applyFont="1" applyFill="1" applyBorder="1" applyAlignment="1">
      <alignment horizontal="center" vertical="center"/>
    </xf>
    <xf numFmtId="2" fontId="46" fillId="4" borderId="59" xfId="1" applyNumberFormat="1" applyFont="1" applyFill="1" applyBorder="1" applyAlignment="1">
      <alignment horizontal="center" vertical="center"/>
    </xf>
    <xf numFmtId="0" fontId="55" fillId="4" borderId="19" xfId="0" applyFont="1" applyFill="1" applyBorder="1" applyAlignment="1">
      <alignment horizontal="center"/>
    </xf>
    <xf numFmtId="0" fontId="46" fillId="7" borderId="19" xfId="0" applyFont="1" applyFill="1" applyBorder="1" applyAlignment="1">
      <alignment horizontal="center" vertical="center"/>
    </xf>
    <xf numFmtId="0" fontId="46" fillId="4" borderId="37" xfId="1" applyFont="1" applyFill="1" applyBorder="1" applyAlignment="1">
      <alignment vertical="center" wrapText="1"/>
    </xf>
    <xf numFmtId="0" fontId="47" fillId="4" borderId="37" xfId="0" applyFont="1" applyFill="1" applyBorder="1" applyAlignment="1">
      <alignment horizontal="center" vertical="center" wrapText="1"/>
    </xf>
    <xf numFmtId="4" fontId="46" fillId="4" borderId="19" xfId="1" applyNumberFormat="1" applyFont="1" applyFill="1" applyBorder="1" applyAlignment="1">
      <alignment vertical="center"/>
    </xf>
    <xf numFmtId="2" fontId="46" fillId="4" borderId="61" xfId="1" applyNumberFormat="1" applyFont="1" applyFill="1" applyBorder="1" applyAlignment="1">
      <alignment horizontal="center" vertical="center" wrapText="1"/>
    </xf>
    <xf numFmtId="0" fontId="46" fillId="0" borderId="27" xfId="1" applyFont="1" applyFill="1" applyBorder="1" applyAlignment="1">
      <alignment horizontal="left" vertical="center"/>
    </xf>
    <xf numFmtId="0" fontId="46" fillId="6" borderId="12" xfId="0" applyFont="1" applyFill="1" applyBorder="1" applyAlignment="1">
      <alignment horizontal="center" vertical="center"/>
    </xf>
    <xf numFmtId="0" fontId="47" fillId="0" borderId="54" xfId="0" applyFont="1" applyBorder="1" applyAlignment="1">
      <alignment horizontal="left"/>
    </xf>
    <xf numFmtId="2" fontId="46" fillId="4" borderId="45" xfId="0" applyNumberFormat="1" applyFont="1" applyFill="1" applyBorder="1" applyAlignment="1">
      <alignment horizontal="center" vertical="center" wrapText="1"/>
    </xf>
    <xf numFmtId="2" fontId="46" fillId="4" borderId="30" xfId="0" applyNumberFormat="1" applyFont="1" applyFill="1" applyBorder="1" applyAlignment="1">
      <alignment horizontal="center" vertical="center" wrapText="1"/>
    </xf>
    <xf numFmtId="2" fontId="46" fillId="4" borderId="21" xfId="0" applyNumberFormat="1" applyFont="1" applyFill="1" applyBorder="1" applyAlignment="1">
      <alignment horizontal="center" vertical="center" wrapText="1"/>
    </xf>
    <xf numFmtId="2" fontId="46" fillId="4" borderId="9" xfId="0" applyNumberFormat="1" applyFont="1" applyFill="1" applyBorder="1" applyAlignment="1">
      <alignment horizontal="center" vertical="center" wrapText="1"/>
    </xf>
    <xf numFmtId="2" fontId="46" fillId="4" borderId="30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44" fillId="0" borderId="0" xfId="1" applyFont="1" applyAlignment="1">
      <alignment horizontal="center"/>
    </xf>
    <xf numFmtId="1" fontId="25" fillId="4" borderId="27" xfId="0" applyNumberFormat="1" applyFont="1" applyFill="1" applyBorder="1" applyAlignment="1">
      <alignment horizontal="center" vertical="center" wrapText="1"/>
    </xf>
    <xf numFmtId="1" fontId="35" fillId="4" borderId="11" xfId="1" applyNumberFormat="1" applyFont="1" applyFill="1" applyBorder="1" applyAlignment="1">
      <alignment vertical="center" wrapText="1"/>
    </xf>
    <xf numFmtId="2" fontId="35" fillId="4" borderId="12" xfId="1" applyNumberFormat="1" applyFont="1" applyFill="1" applyBorder="1" applyAlignment="1">
      <alignment horizontal="left" vertical="center" wrapText="1"/>
    </xf>
    <xf numFmtId="0" fontId="35" fillId="0" borderId="12" xfId="1" applyFont="1" applyFill="1" applyBorder="1" applyAlignment="1">
      <alignment horizontal="left" vertical="center" wrapText="1"/>
    </xf>
    <xf numFmtId="2" fontId="35" fillId="4" borderId="12" xfId="1" applyNumberFormat="1" applyFont="1" applyFill="1" applyBorder="1" applyAlignment="1">
      <alignment horizontal="center" wrapText="1"/>
    </xf>
    <xf numFmtId="0" fontId="35" fillId="0" borderId="63" xfId="1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vertical="center" wrapText="1"/>
    </xf>
    <xf numFmtId="2" fontId="35" fillId="4" borderId="26" xfId="0" applyNumberFormat="1" applyFont="1" applyFill="1" applyBorder="1" applyAlignment="1">
      <alignment horizontal="left" vertical="center" wrapText="1"/>
    </xf>
    <xf numFmtId="0" fontId="35" fillId="4" borderId="22" xfId="1" applyFont="1" applyFill="1" applyBorder="1" applyAlignment="1">
      <alignment vertical="center" wrapText="1"/>
    </xf>
    <xf numFmtId="0" fontId="35" fillId="4" borderId="35" xfId="1" applyFont="1" applyFill="1" applyBorder="1" applyAlignment="1">
      <alignment horizontal="center" vertical="center" wrapText="1"/>
    </xf>
    <xf numFmtId="2" fontId="35" fillId="4" borderId="25" xfId="1" applyNumberFormat="1" applyFont="1" applyFill="1" applyBorder="1" applyAlignment="1">
      <alignment horizontal="center" wrapText="1"/>
    </xf>
    <xf numFmtId="2" fontId="35" fillId="4" borderId="24" xfId="1" applyNumberFormat="1" applyFont="1" applyFill="1" applyBorder="1" applyAlignment="1">
      <alignment horizontal="center" wrapText="1"/>
    </xf>
    <xf numFmtId="2" fontId="35" fillId="4" borderId="35" xfId="1" applyNumberFormat="1" applyFont="1" applyFill="1" applyBorder="1" applyAlignment="1">
      <alignment horizontal="center" wrapText="1"/>
    </xf>
    <xf numFmtId="2" fontId="35" fillId="4" borderId="27" xfId="1" applyNumberFormat="1" applyFont="1" applyFill="1" applyBorder="1" applyAlignment="1">
      <alignment horizontal="center" wrapText="1"/>
    </xf>
    <xf numFmtId="2" fontId="35" fillId="4" borderId="28" xfId="1" applyNumberFormat="1" applyFont="1" applyFill="1" applyBorder="1" applyAlignment="1">
      <alignment horizontal="center" wrapText="1"/>
    </xf>
    <xf numFmtId="1" fontId="35" fillId="4" borderId="27" xfId="1" applyNumberFormat="1" applyFont="1" applyFill="1" applyBorder="1" applyAlignment="1">
      <alignment horizontal="left" wrapText="1"/>
    </xf>
    <xf numFmtId="4" fontId="38" fillId="4" borderId="39" xfId="1" applyNumberFormat="1" applyFont="1" applyFill="1" applyBorder="1" applyAlignment="1">
      <alignment horizontal="center" vertical="center"/>
    </xf>
    <xf numFmtId="1" fontId="35" fillId="0" borderId="35" xfId="1" applyNumberFormat="1" applyFont="1" applyFill="1" applyBorder="1" applyAlignment="1">
      <alignment horizontal="center" wrapText="1"/>
    </xf>
    <xf numFmtId="0" fontId="35" fillId="4" borderId="27" xfId="0" applyFont="1" applyFill="1" applyBorder="1" applyAlignment="1">
      <alignment horizontal="center" vertical="center" wrapText="1"/>
    </xf>
    <xf numFmtId="0" fontId="35" fillId="4" borderId="27" xfId="1" applyFont="1" applyFill="1" applyBorder="1" applyAlignment="1">
      <alignment vertical="center" wrapText="1"/>
    </xf>
    <xf numFmtId="0" fontId="30" fillId="0" borderId="12" xfId="0" applyFont="1" applyFill="1" applyBorder="1" applyAlignment="1">
      <alignment wrapText="1"/>
    </xf>
    <xf numFmtId="0" fontId="35" fillId="0" borderId="12" xfId="1" applyFont="1" applyFill="1" applyBorder="1" applyAlignment="1">
      <alignment horizontal="left" wrapText="1"/>
    </xf>
    <xf numFmtId="0" fontId="35" fillId="4" borderId="50" xfId="1" applyNumberFormat="1" applyFont="1" applyFill="1" applyBorder="1" applyAlignment="1">
      <alignment horizontal="left" vertical="center" wrapText="1"/>
    </xf>
    <xf numFmtId="0" fontId="35" fillId="4" borderId="32" xfId="1" applyNumberFormat="1" applyFont="1" applyFill="1" applyBorder="1" applyAlignment="1">
      <alignment vertical="center" wrapText="1"/>
    </xf>
    <xf numFmtId="0" fontId="35" fillId="4" borderId="32" xfId="1" applyNumberFormat="1" applyFont="1" applyFill="1" applyBorder="1" applyAlignment="1">
      <alignment horizontal="center" vertical="center" wrapText="1"/>
    </xf>
    <xf numFmtId="0" fontId="30" fillId="4" borderId="32" xfId="0" applyNumberFormat="1" applyFont="1" applyFill="1" applyBorder="1" applyAlignment="1">
      <alignment horizontal="left" vertical="center" wrapText="1"/>
    </xf>
    <xf numFmtId="0" fontId="35" fillId="3" borderId="33" xfId="1" applyNumberFormat="1" applyFont="1" applyFill="1" applyBorder="1" applyAlignment="1">
      <alignment horizontal="center" vertical="center" wrapText="1"/>
    </xf>
    <xf numFmtId="2" fontId="35" fillId="4" borderId="67" xfId="1" applyNumberFormat="1" applyFont="1" applyFill="1" applyBorder="1" applyAlignment="1">
      <alignment horizontal="center" vertical="center" wrapText="1"/>
    </xf>
    <xf numFmtId="2" fontId="35" fillId="4" borderId="10" xfId="1" applyNumberFormat="1" applyFont="1" applyFill="1" applyBorder="1" applyAlignment="1">
      <alignment horizontal="center" vertical="center" wrapText="1"/>
    </xf>
    <xf numFmtId="2" fontId="35" fillId="4" borderId="10" xfId="1" applyNumberFormat="1" applyFont="1" applyFill="1" applyBorder="1" applyAlignment="1">
      <alignment horizontal="center" wrapText="1"/>
    </xf>
    <xf numFmtId="2" fontId="35" fillId="4" borderId="54" xfId="1" applyNumberFormat="1" applyFont="1" applyFill="1" applyBorder="1" applyAlignment="1">
      <alignment horizontal="center" wrapText="1"/>
    </xf>
    <xf numFmtId="2" fontId="35" fillId="4" borderId="16" xfId="1" applyNumberFormat="1" applyFont="1" applyFill="1" applyBorder="1" applyAlignment="1">
      <alignment horizontal="center" vertical="center" wrapText="1"/>
    </xf>
    <xf numFmtId="2" fontId="35" fillId="4" borderId="57" xfId="1" applyNumberFormat="1" applyFont="1" applyFill="1" applyBorder="1" applyAlignment="1">
      <alignment horizontal="center" vertical="center" wrapText="1"/>
    </xf>
    <xf numFmtId="2" fontId="35" fillId="4" borderId="8" xfId="1" applyNumberFormat="1" applyFont="1" applyFill="1" applyBorder="1" applyAlignment="1">
      <alignment horizontal="center" vertical="center" wrapText="1"/>
    </xf>
    <xf numFmtId="2" fontId="35" fillId="4" borderId="8" xfId="1" applyNumberFormat="1" applyFont="1" applyFill="1" applyBorder="1" applyAlignment="1">
      <alignment horizontal="center" vertical="center"/>
    </xf>
    <xf numFmtId="2" fontId="35" fillId="4" borderId="57" xfId="1" applyNumberFormat="1" applyFont="1" applyFill="1" applyBorder="1" applyAlignment="1">
      <alignment horizontal="center" vertical="center"/>
    </xf>
    <xf numFmtId="2" fontId="35" fillId="4" borderId="8" xfId="1" applyNumberFormat="1" applyFont="1" applyFill="1" applyBorder="1" applyAlignment="1">
      <alignment horizontal="center" wrapText="1"/>
    </xf>
    <xf numFmtId="2" fontId="35" fillId="4" borderId="57" xfId="1" applyNumberFormat="1" applyFont="1" applyFill="1" applyBorder="1" applyAlignment="1">
      <alignment horizontal="center" wrapText="1"/>
    </xf>
    <xf numFmtId="4" fontId="25" fillId="4" borderId="37" xfId="1" applyNumberFormat="1" applyFont="1" applyFill="1" applyBorder="1" applyAlignment="1">
      <alignment horizontal="right" vertical="center" wrapText="1"/>
    </xf>
    <xf numFmtId="0" fontId="63" fillId="4" borderId="0" xfId="0" applyFont="1" applyFill="1" applyBorder="1" applyAlignment="1">
      <alignment horizontal="center"/>
    </xf>
    <xf numFmtId="0" fontId="63" fillId="0" borderId="12" xfId="0" applyFont="1" applyBorder="1" applyAlignment="1">
      <alignment horizontal="center" vertical="center"/>
    </xf>
    <xf numFmtId="1" fontId="35" fillId="4" borderId="58" xfId="0" applyNumberFormat="1" applyFont="1" applyFill="1" applyBorder="1" applyAlignment="1">
      <alignment vertical="center" wrapText="1"/>
    </xf>
    <xf numFmtId="0" fontId="63" fillId="0" borderId="27" xfId="0" applyFont="1" applyBorder="1" applyAlignment="1">
      <alignment horizontal="center" vertical="center"/>
    </xf>
    <xf numFmtId="0" fontId="35" fillId="4" borderId="27" xfId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6" fontId="1" fillId="0" borderId="0" xfId="1" applyNumberFormat="1" applyFill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  <xf numFmtId="176" fontId="7" fillId="0" borderId="22" xfId="1" applyNumberFormat="1" applyFont="1" applyBorder="1" applyAlignment="1">
      <alignment horizontal="right" vertical="center" wrapText="1"/>
    </xf>
    <xf numFmtId="176" fontId="7" fillId="0" borderId="12" xfId="1" applyNumberFormat="1" applyFont="1" applyFill="1" applyBorder="1" applyAlignment="1">
      <alignment horizontal="right" vertical="center" wrapText="1"/>
    </xf>
    <xf numFmtId="176" fontId="7" fillId="0" borderId="30" xfId="1" applyNumberFormat="1" applyFont="1" applyFill="1" applyBorder="1" applyAlignment="1">
      <alignment horizontal="right" vertical="center" wrapText="1"/>
    </xf>
    <xf numFmtId="4" fontId="60" fillId="3" borderId="32" xfId="0" applyNumberFormat="1" applyFont="1" applyFill="1" applyBorder="1" applyAlignment="1">
      <alignment horizontal="right" vertical="center" wrapText="1"/>
    </xf>
    <xf numFmtId="176" fontId="0" fillId="0" borderId="0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5" fillId="4" borderId="19" xfId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4" fontId="35" fillId="4" borderId="26" xfId="1" applyNumberFormat="1" applyFont="1" applyFill="1" applyBorder="1" applyAlignment="1">
      <alignment horizontal="right" vertical="center" wrapText="1"/>
    </xf>
    <xf numFmtId="4" fontId="35" fillId="4" borderId="27" xfId="1" applyNumberFormat="1" applyFont="1" applyFill="1" applyBorder="1" applyAlignment="1">
      <alignment horizontal="right" vertical="center" wrapText="1"/>
    </xf>
    <xf numFmtId="2" fontId="35" fillId="4" borderId="12" xfId="1" applyNumberFormat="1" applyFont="1" applyFill="1" applyBorder="1" applyAlignment="1">
      <alignment horizontal="right" vertical="center" wrapText="1"/>
    </xf>
    <xf numFmtId="2" fontId="35" fillId="4" borderId="27" xfId="1" applyNumberFormat="1" applyFont="1" applyFill="1" applyBorder="1" applyAlignment="1">
      <alignment horizontal="right" vertical="center" wrapText="1"/>
    </xf>
    <xf numFmtId="4" fontId="35" fillId="4" borderId="12" xfId="1" applyNumberFormat="1" applyFont="1" applyFill="1" applyBorder="1" applyAlignment="1">
      <alignment horizontal="right" wrapText="1"/>
    </xf>
    <xf numFmtId="4" fontId="35" fillId="4" borderId="27" xfId="1" applyNumberFormat="1" applyFont="1" applyFill="1" applyBorder="1" applyAlignment="1">
      <alignment horizontal="right" wrapText="1"/>
    </xf>
    <xf numFmtId="4" fontId="38" fillId="4" borderId="32" xfId="1" applyNumberFormat="1" applyFont="1" applyFill="1" applyBorder="1" applyAlignment="1">
      <alignment horizontal="right" vertical="center" wrapText="1"/>
    </xf>
    <xf numFmtId="0" fontId="55" fillId="4" borderId="0" xfId="0" applyFont="1" applyFill="1" applyBorder="1" applyAlignment="1">
      <alignment horizontal="center"/>
    </xf>
    <xf numFmtId="0" fontId="55" fillId="0" borderId="12" xfId="0" applyFont="1" applyBorder="1" applyAlignment="1">
      <alignment horizontal="center" vertical="center"/>
    </xf>
    <xf numFmtId="1" fontId="46" fillId="4" borderId="26" xfId="1" applyNumberFormat="1" applyFont="1" applyFill="1" applyBorder="1" applyAlignment="1">
      <alignment vertical="center" wrapText="1"/>
    </xf>
    <xf numFmtId="0" fontId="46" fillId="4" borderId="22" xfId="1" applyFont="1" applyFill="1" applyBorder="1" applyAlignment="1">
      <alignment vertical="center" wrapText="1"/>
    </xf>
    <xf numFmtId="0" fontId="47" fillId="4" borderId="22" xfId="0" applyFont="1" applyFill="1" applyBorder="1" applyAlignment="1">
      <alignment horizontal="center" vertical="center" wrapText="1"/>
    </xf>
    <xf numFmtId="1" fontId="46" fillId="4" borderId="27" xfId="1" applyNumberFormat="1" applyFont="1" applyFill="1" applyBorder="1" applyAlignment="1">
      <alignment horizontal="center" wrapText="1"/>
    </xf>
    <xf numFmtId="2" fontId="46" fillId="4" borderId="11" xfId="1" applyNumberFormat="1" applyFont="1" applyFill="1" applyBorder="1" applyAlignment="1">
      <alignment vertical="center"/>
    </xf>
    <xf numFmtId="0" fontId="46" fillId="4" borderId="24" xfId="1" applyNumberFormat="1" applyFont="1" applyFill="1" applyBorder="1" applyAlignment="1">
      <alignment horizontal="center" vertical="center" wrapText="1"/>
    </xf>
    <xf numFmtId="0" fontId="46" fillId="4" borderId="12" xfId="0" applyNumberFormat="1" applyFont="1" applyFill="1" applyBorder="1" applyAlignment="1">
      <alignment vertical="center" wrapText="1"/>
    </xf>
    <xf numFmtId="2" fontId="47" fillId="4" borderId="12" xfId="0" applyNumberFormat="1" applyFont="1" applyFill="1" applyBorder="1" applyAlignment="1">
      <alignment horizontal="left" vertical="center" wrapText="1"/>
    </xf>
    <xf numFmtId="2" fontId="47" fillId="4" borderId="12" xfId="0" applyNumberFormat="1" applyFont="1" applyFill="1" applyBorder="1" applyAlignment="1">
      <alignment horizontal="center" vertical="center" wrapText="1"/>
    </xf>
    <xf numFmtId="2" fontId="46" fillId="4" borderId="48" xfId="1" applyNumberFormat="1" applyFont="1" applyFill="1" applyBorder="1" applyAlignment="1">
      <alignment vertical="center"/>
    </xf>
    <xf numFmtId="1" fontId="46" fillId="4" borderId="11" xfId="1" applyNumberFormat="1" applyFont="1" applyFill="1" applyBorder="1" applyAlignment="1">
      <alignment horizontal="left" vertical="center" wrapText="1"/>
    </xf>
    <xf numFmtId="2" fontId="46" fillId="4" borderId="66" xfId="1" applyNumberFormat="1" applyFont="1" applyFill="1" applyBorder="1" applyAlignment="1">
      <alignment horizontal="left" vertical="center" wrapText="1"/>
    </xf>
    <xf numFmtId="2" fontId="46" fillId="4" borderId="8" xfId="1" applyNumberFormat="1" applyFont="1" applyFill="1" applyBorder="1" applyAlignment="1">
      <alignment horizontal="center" vertical="center"/>
    </xf>
    <xf numFmtId="2" fontId="46" fillId="4" borderId="12" xfId="1" applyNumberFormat="1" applyFont="1" applyFill="1" applyBorder="1" applyAlignment="1">
      <alignment horizontal="right" vertical="center" wrapText="1"/>
    </xf>
    <xf numFmtId="2" fontId="46" fillId="4" borderId="65" xfId="1" applyNumberFormat="1" applyFont="1" applyFill="1" applyBorder="1" applyAlignment="1">
      <alignment horizontal="center" vertical="center" wrapText="1"/>
    </xf>
    <xf numFmtId="2" fontId="46" fillId="4" borderId="27" xfId="1" applyNumberFormat="1" applyFont="1" applyFill="1" applyBorder="1" applyAlignment="1">
      <alignment horizontal="right" vertical="center" wrapText="1"/>
    </xf>
    <xf numFmtId="0" fontId="46" fillId="4" borderId="12" xfId="0" applyFont="1" applyFill="1" applyBorder="1" applyAlignment="1">
      <alignment horizontal="left" vertical="center" wrapText="1"/>
    </xf>
    <xf numFmtId="0" fontId="47" fillId="4" borderId="66" xfId="0" applyFont="1" applyFill="1" applyBorder="1" applyAlignment="1">
      <alignment horizontal="left"/>
    </xf>
    <xf numFmtId="0" fontId="47" fillId="0" borderId="54" xfId="0" applyFont="1" applyBorder="1"/>
    <xf numFmtId="0" fontId="46" fillId="4" borderId="35" xfId="1" applyFont="1" applyFill="1" applyBorder="1" applyAlignment="1">
      <alignment horizontal="center" vertical="center" wrapText="1"/>
    </xf>
    <xf numFmtId="2" fontId="46" fillId="4" borderId="12" xfId="1" applyNumberFormat="1" applyFont="1" applyFill="1" applyBorder="1" applyAlignment="1">
      <alignment horizontal="left" vertical="center" wrapText="1"/>
    </xf>
    <xf numFmtId="0" fontId="46" fillId="4" borderId="12" xfId="1" applyFont="1" applyFill="1" applyBorder="1" applyAlignment="1">
      <alignment horizontal="center" wrapText="1"/>
    </xf>
    <xf numFmtId="1" fontId="46" fillId="4" borderId="12" xfId="1" applyNumberFormat="1" applyFont="1" applyFill="1" applyBorder="1" applyAlignment="1">
      <alignment horizontal="center" wrapText="1"/>
    </xf>
    <xf numFmtId="2" fontId="46" fillId="4" borderId="12" xfId="1" applyNumberFormat="1" applyFont="1" applyFill="1" applyBorder="1" applyAlignment="1">
      <alignment horizontal="center" wrapText="1"/>
    </xf>
    <xf numFmtId="2" fontId="46" fillId="4" borderId="25" xfId="1" applyNumberFormat="1" applyFont="1" applyFill="1" applyBorder="1" applyAlignment="1">
      <alignment horizontal="center" wrapText="1"/>
    </xf>
    <xf numFmtId="2" fontId="46" fillId="4" borderId="24" xfId="1" applyNumberFormat="1" applyFont="1" applyFill="1" applyBorder="1" applyAlignment="1">
      <alignment horizontal="center" wrapText="1"/>
    </xf>
    <xf numFmtId="2" fontId="46" fillId="4" borderId="10" xfId="1" applyNumberFormat="1" applyFont="1" applyFill="1" applyBorder="1" applyAlignment="1">
      <alignment horizontal="center" wrapText="1"/>
    </xf>
    <xf numFmtId="2" fontId="46" fillId="4" borderId="8" xfId="1" applyNumberFormat="1" applyFont="1" applyFill="1" applyBorder="1" applyAlignment="1">
      <alignment horizontal="center" wrapText="1"/>
    </xf>
    <xf numFmtId="4" fontId="46" fillId="4" borderId="12" xfId="1" applyNumberFormat="1" applyFont="1" applyFill="1" applyBorder="1" applyAlignment="1">
      <alignment horizontal="right" wrapText="1"/>
    </xf>
    <xf numFmtId="1" fontId="46" fillId="0" borderId="35" xfId="1" applyNumberFormat="1" applyFont="1" applyFill="1" applyBorder="1" applyAlignment="1">
      <alignment horizontal="center" wrapText="1"/>
    </xf>
    <xf numFmtId="0" fontId="47" fillId="0" borderId="12" xfId="0" applyFont="1" applyFill="1" applyBorder="1" applyAlignment="1">
      <alignment wrapText="1"/>
    </xf>
    <xf numFmtId="0" fontId="46" fillId="0" borderId="12" xfId="1" applyFont="1" applyFill="1" applyBorder="1" applyAlignment="1">
      <alignment horizontal="left" wrapText="1"/>
    </xf>
    <xf numFmtId="1" fontId="46" fillId="4" borderId="27" xfId="1" applyNumberFormat="1" applyFont="1" applyFill="1" applyBorder="1" applyAlignment="1">
      <alignment horizontal="left" wrapText="1"/>
    </xf>
    <xf numFmtId="2" fontId="46" fillId="4" borderId="35" xfId="1" applyNumberFormat="1" applyFont="1" applyFill="1" applyBorder="1" applyAlignment="1">
      <alignment horizontal="center" wrapText="1"/>
    </xf>
    <xf numFmtId="2" fontId="46" fillId="4" borderId="27" xfId="1" applyNumberFormat="1" applyFont="1" applyFill="1" applyBorder="1" applyAlignment="1">
      <alignment horizontal="center" wrapText="1"/>
    </xf>
    <xf numFmtId="2" fontId="46" fillId="4" borderId="28" xfId="1" applyNumberFormat="1" applyFont="1" applyFill="1" applyBorder="1" applyAlignment="1">
      <alignment horizontal="center" wrapText="1"/>
    </xf>
    <xf numFmtId="2" fontId="46" fillId="4" borderId="54" xfId="1" applyNumberFormat="1" applyFont="1" applyFill="1" applyBorder="1" applyAlignment="1">
      <alignment horizontal="center" wrapText="1"/>
    </xf>
    <xf numFmtId="2" fontId="46" fillId="4" borderId="57" xfId="1" applyNumberFormat="1" applyFont="1" applyFill="1" applyBorder="1" applyAlignment="1">
      <alignment horizontal="center" wrapText="1"/>
    </xf>
    <xf numFmtId="0" fontId="55" fillId="4" borderId="27" xfId="0" applyFont="1" applyFill="1" applyBorder="1" applyAlignment="1">
      <alignment horizontal="center"/>
    </xf>
    <xf numFmtId="4" fontId="46" fillId="4" borderId="27" xfId="1" applyNumberFormat="1" applyFont="1" applyFill="1" applyBorder="1" applyAlignment="1">
      <alignment horizontal="right" wrapText="1"/>
    </xf>
    <xf numFmtId="0" fontId="46" fillId="3" borderId="33" xfId="1" applyNumberFormat="1" applyFont="1" applyFill="1" applyBorder="1" applyAlignment="1">
      <alignment horizontal="center" vertical="center" wrapText="1"/>
    </xf>
    <xf numFmtId="0" fontId="46" fillId="4" borderId="63" xfId="1" applyFont="1" applyFill="1" applyBorder="1" applyAlignment="1">
      <alignment horizontal="center" vertical="center" wrapText="1"/>
    </xf>
    <xf numFmtId="1" fontId="47" fillId="4" borderId="26" xfId="0" applyNumberFormat="1" applyFont="1" applyFill="1" applyBorder="1" applyAlignment="1">
      <alignment vertical="center" wrapText="1"/>
    </xf>
    <xf numFmtId="2" fontId="46" fillId="4" borderId="53" xfId="1" applyNumberFormat="1" applyFont="1" applyFill="1" applyBorder="1" applyAlignment="1">
      <alignment horizontal="center" vertical="center" wrapText="1"/>
    </xf>
    <xf numFmtId="2" fontId="46" fillId="4" borderId="7" xfId="1" applyNumberFormat="1" applyFont="1" applyFill="1" applyBorder="1" applyAlignment="1">
      <alignment horizontal="center" vertical="center" wrapText="1"/>
    </xf>
    <xf numFmtId="2" fontId="46" fillId="4" borderId="46" xfId="1" applyNumberFormat="1" applyFont="1" applyFill="1" applyBorder="1" applyAlignment="1">
      <alignment horizontal="left" vertical="center"/>
    </xf>
    <xf numFmtId="2" fontId="46" fillId="4" borderId="64" xfId="1" applyNumberFormat="1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/>
    </xf>
    <xf numFmtId="0" fontId="47" fillId="0" borderId="22" xfId="0" applyFont="1" applyFill="1" applyBorder="1" applyAlignment="1">
      <alignment horizontal="center" vertical="center" wrapText="1"/>
    </xf>
    <xf numFmtId="4" fontId="46" fillId="4" borderId="22" xfId="1" applyNumberFormat="1" applyFont="1" applyFill="1" applyBorder="1" applyAlignment="1">
      <alignment horizontal="right" vertical="center" wrapText="1"/>
    </xf>
    <xf numFmtId="0" fontId="46" fillId="4" borderId="35" xfId="1" applyFont="1" applyFill="1" applyBorder="1" applyAlignment="1">
      <alignment horizontal="center" vertical="center"/>
    </xf>
    <xf numFmtId="0" fontId="46" fillId="0" borderId="45" xfId="1" applyFont="1" applyFill="1" applyBorder="1" applyAlignment="1">
      <alignment horizontal="center" vertical="center" wrapText="1"/>
    </xf>
    <xf numFmtId="0" fontId="47" fillId="0" borderId="30" xfId="0" applyFont="1" applyFill="1" applyBorder="1" applyAlignment="1">
      <alignment vertical="center" wrapText="1"/>
    </xf>
    <xf numFmtId="2" fontId="46" fillId="4" borderId="30" xfId="0" applyNumberFormat="1" applyFont="1" applyFill="1" applyBorder="1" applyAlignment="1">
      <alignment horizontal="left" vertical="center" wrapText="1"/>
    </xf>
    <xf numFmtId="0" fontId="55" fillId="4" borderId="30" xfId="0" applyFont="1" applyFill="1" applyBorder="1" applyAlignment="1">
      <alignment horizontal="center"/>
    </xf>
    <xf numFmtId="1" fontId="46" fillId="4" borderId="30" xfId="0" applyNumberFormat="1" applyFont="1" applyFill="1" applyBorder="1" applyAlignment="1">
      <alignment horizontal="center" vertical="center" wrapText="1"/>
    </xf>
    <xf numFmtId="2" fontId="46" fillId="4" borderId="49" xfId="1" applyNumberFormat="1" applyFont="1" applyFill="1" applyBorder="1" applyAlignment="1">
      <alignment horizontal="left" vertical="center"/>
    </xf>
    <xf numFmtId="0" fontId="46" fillId="4" borderId="30" xfId="0" applyFont="1" applyFill="1" applyBorder="1" applyAlignment="1">
      <alignment horizontal="center" vertical="center" wrapText="1"/>
    </xf>
    <xf numFmtId="0" fontId="55" fillId="0" borderId="0" xfId="0" applyFont="1" applyBorder="1" applyAlignment="1">
      <alignment horizontal="center"/>
    </xf>
    <xf numFmtId="0" fontId="55" fillId="4" borderId="36" xfId="0" applyFont="1" applyFill="1" applyBorder="1" applyAlignment="1">
      <alignment horizontal="center"/>
    </xf>
    <xf numFmtId="0" fontId="46" fillId="0" borderId="63" xfId="1" applyFont="1" applyFill="1" applyBorder="1" applyAlignment="1">
      <alignment horizontal="center" vertical="center" wrapText="1"/>
    </xf>
    <xf numFmtId="0" fontId="47" fillId="0" borderId="26" xfId="0" applyFont="1" applyFill="1" applyBorder="1" applyAlignment="1">
      <alignment vertical="center" wrapText="1"/>
    </xf>
    <xf numFmtId="2" fontId="46" fillId="4" borderId="26" xfId="0" applyNumberFormat="1" applyFont="1" applyFill="1" applyBorder="1" applyAlignment="1">
      <alignment horizontal="left" vertical="center" wrapText="1"/>
    </xf>
    <xf numFmtId="0" fontId="55" fillId="0" borderId="22" xfId="0" applyFont="1" applyBorder="1" applyAlignment="1">
      <alignment horizontal="center" vertical="center"/>
    </xf>
    <xf numFmtId="0" fontId="47" fillId="4" borderId="53" xfId="0" applyFont="1" applyFill="1" applyBorder="1" applyAlignment="1">
      <alignment horizontal="left"/>
    </xf>
    <xf numFmtId="2" fontId="46" fillId="4" borderId="63" xfId="1" applyNumberFormat="1" applyFont="1" applyFill="1" applyBorder="1" applyAlignment="1">
      <alignment horizontal="center" vertical="center" wrapText="1"/>
    </xf>
    <xf numFmtId="2" fontId="46" fillId="4" borderId="26" xfId="1" applyNumberFormat="1" applyFont="1" applyFill="1" applyBorder="1" applyAlignment="1">
      <alignment horizontal="center" vertical="center" wrapText="1"/>
    </xf>
    <xf numFmtId="2" fontId="46" fillId="4" borderId="34" xfId="1" applyNumberFormat="1" applyFont="1" applyFill="1" applyBorder="1" applyAlignment="1">
      <alignment horizontal="center" vertical="center" wrapText="1"/>
    </xf>
    <xf numFmtId="2" fontId="46" fillId="4" borderId="67" xfId="1" applyNumberFormat="1" applyFont="1" applyFill="1" applyBorder="1" applyAlignment="1">
      <alignment horizontal="center" vertical="center" wrapText="1"/>
    </xf>
    <xf numFmtId="2" fontId="46" fillId="4" borderId="16" xfId="1" applyNumberFormat="1" applyFont="1" applyFill="1" applyBorder="1" applyAlignment="1">
      <alignment horizontal="center" vertical="center" wrapText="1"/>
    </xf>
    <xf numFmtId="1" fontId="46" fillId="4" borderId="64" xfId="1" applyNumberFormat="1" applyFont="1" applyFill="1" applyBorder="1" applyAlignment="1">
      <alignment horizontal="left" vertical="center" wrapText="1"/>
    </xf>
    <xf numFmtId="0" fontId="55" fillId="4" borderId="22" xfId="0" applyFont="1" applyFill="1" applyBorder="1" applyAlignment="1">
      <alignment horizontal="center"/>
    </xf>
    <xf numFmtId="0" fontId="46" fillId="4" borderId="22" xfId="0" applyFont="1" applyFill="1" applyBorder="1" applyAlignment="1">
      <alignment horizontal="center" vertical="center" wrapText="1"/>
    </xf>
    <xf numFmtId="4" fontId="46" fillId="4" borderId="26" xfId="1" applyNumberFormat="1" applyFont="1" applyFill="1" applyBorder="1" applyAlignment="1">
      <alignment horizontal="right" vertical="center" wrapText="1"/>
    </xf>
    <xf numFmtId="0" fontId="47" fillId="4" borderId="55" xfId="0" applyFont="1" applyFill="1" applyBorder="1" applyAlignment="1">
      <alignment horizontal="left"/>
    </xf>
    <xf numFmtId="0" fontId="46" fillId="0" borderId="12" xfId="1" applyFont="1" applyFill="1" applyBorder="1" applyAlignment="1">
      <alignment horizontal="center" vertical="center" wrapText="1"/>
    </xf>
    <xf numFmtId="0" fontId="44" fillId="0" borderId="41" xfId="1" applyFont="1" applyBorder="1" applyAlignment="1">
      <alignment horizontal="center" vertical="center" wrapText="1"/>
    </xf>
    <xf numFmtId="2" fontId="46" fillId="4" borderId="68" xfId="0" applyNumberFormat="1" applyFont="1" applyFill="1" applyBorder="1" applyAlignment="1">
      <alignment horizontal="center" vertical="center" wrapText="1"/>
    </xf>
    <xf numFmtId="2" fontId="47" fillId="4" borderId="24" xfId="0" applyNumberFormat="1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/>
    </xf>
    <xf numFmtId="0" fontId="63" fillId="4" borderId="22" xfId="0" applyFont="1" applyFill="1" applyBorder="1" applyAlignment="1">
      <alignment horizontal="center"/>
    </xf>
    <xf numFmtId="0" fontId="35" fillId="4" borderId="19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 vertical="center" wrapText="1"/>
    </xf>
    <xf numFmtId="0" fontId="30" fillId="0" borderId="10" xfId="0" applyFont="1" applyBorder="1"/>
    <xf numFmtId="0" fontId="35" fillId="4" borderId="12" xfId="2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left"/>
    </xf>
    <xf numFmtId="0" fontId="30" fillId="4" borderId="12" xfId="0" applyFont="1" applyFill="1" applyBorder="1" applyAlignment="1">
      <alignment horizontal="center" vertical="center" wrapText="1"/>
    </xf>
    <xf numFmtId="1" fontId="35" fillId="4" borderId="54" xfId="1" applyNumberFormat="1" applyFont="1" applyFill="1" applyBorder="1" applyAlignment="1">
      <alignment horizontal="left" vertical="center" wrapText="1"/>
    </xf>
    <xf numFmtId="0" fontId="35" fillId="6" borderId="12" xfId="0" applyFont="1" applyFill="1" applyBorder="1" applyAlignment="1">
      <alignment horizontal="center" vertical="center"/>
    </xf>
    <xf numFmtId="0" fontId="30" fillId="0" borderId="54" xfId="0" applyFont="1" applyBorder="1"/>
    <xf numFmtId="0" fontId="63" fillId="0" borderId="12" xfId="0" applyFont="1" applyBorder="1" applyAlignment="1">
      <alignment horizontal="center"/>
    </xf>
    <xf numFmtId="0" fontId="63" fillId="4" borderId="27" xfId="0" applyFont="1" applyFill="1" applyBorder="1" applyAlignment="1">
      <alignment horizontal="center"/>
    </xf>
    <xf numFmtId="0" fontId="30" fillId="4" borderId="54" xfId="0" applyFont="1" applyFill="1" applyBorder="1" applyAlignment="1">
      <alignment horizontal="left"/>
    </xf>
    <xf numFmtId="0" fontId="35" fillId="6" borderId="27" xfId="0" applyFont="1" applyFill="1" applyBorder="1" applyAlignment="1">
      <alignment horizontal="center" vertical="center"/>
    </xf>
    <xf numFmtId="2" fontId="35" fillId="4" borderId="12" xfId="1" applyNumberFormat="1" applyFont="1" applyFill="1" applyBorder="1" applyAlignment="1">
      <alignment vertical="center"/>
    </xf>
    <xf numFmtId="2" fontId="25" fillId="4" borderId="63" xfId="1" applyNumberFormat="1" applyFont="1" applyFill="1" applyBorder="1" applyAlignment="1">
      <alignment horizontal="center" vertical="center" wrapText="1"/>
    </xf>
    <xf numFmtId="2" fontId="25" fillId="4" borderId="26" xfId="1" applyNumberFormat="1" applyFont="1" applyFill="1" applyBorder="1" applyAlignment="1">
      <alignment horizontal="center" vertical="center" wrapText="1"/>
    </xf>
    <xf numFmtId="2" fontId="25" fillId="4" borderId="34" xfId="1" applyNumberFormat="1" applyFont="1" applyFill="1" applyBorder="1" applyAlignment="1">
      <alignment horizontal="center" vertical="center" wrapText="1"/>
    </xf>
    <xf numFmtId="2" fontId="25" fillId="0" borderId="25" xfId="1" applyNumberFormat="1" applyFont="1" applyFill="1" applyBorder="1" applyAlignment="1">
      <alignment horizontal="center" vertical="center"/>
    </xf>
    <xf numFmtId="2" fontId="25" fillId="4" borderId="25" xfId="1" applyNumberFormat="1" applyFont="1" applyFill="1" applyBorder="1" applyAlignment="1">
      <alignment horizontal="center" vertical="center"/>
    </xf>
    <xf numFmtId="2" fontId="25" fillId="0" borderId="45" xfId="1" applyNumberFormat="1" applyFont="1" applyFill="1" applyBorder="1" applyAlignment="1">
      <alignment horizontal="center" vertical="center" wrapText="1"/>
    </xf>
    <xf numFmtId="2" fontId="25" fillId="0" borderId="30" xfId="1" applyNumberFormat="1" applyFont="1" applyFill="1" applyBorder="1" applyAlignment="1">
      <alignment horizontal="center" vertical="center" wrapText="1"/>
    </xf>
    <xf numFmtId="2" fontId="25" fillId="0" borderId="21" xfId="1" applyNumberFormat="1" applyFont="1" applyFill="1" applyBorder="1" applyAlignment="1">
      <alignment horizontal="center" vertical="center"/>
    </xf>
    <xf numFmtId="2" fontId="25" fillId="0" borderId="24" xfId="1" applyNumberFormat="1" applyFont="1" applyFill="1" applyBorder="1" applyAlignment="1">
      <alignment horizontal="center" vertical="center"/>
    </xf>
    <xf numFmtId="2" fontId="25" fillId="4" borderId="24" xfId="1" applyNumberFormat="1" applyFont="1" applyFill="1" applyBorder="1" applyAlignment="1">
      <alignment horizontal="center" vertical="center"/>
    </xf>
    <xf numFmtId="2" fontId="25" fillId="0" borderId="45" xfId="1" applyNumberFormat="1" applyFont="1" applyFill="1" applyBorder="1" applyAlignment="1">
      <alignment horizontal="center" vertical="center"/>
    </xf>
    <xf numFmtId="2" fontId="25" fillId="0" borderId="30" xfId="1" applyNumberFormat="1" applyFont="1" applyFill="1" applyBorder="1" applyAlignment="1">
      <alignment horizontal="center" vertical="center"/>
    </xf>
    <xf numFmtId="2" fontId="25" fillId="4" borderId="31" xfId="1" applyNumberFormat="1" applyFont="1" applyFill="1" applyBorder="1" applyAlignment="1">
      <alignment horizontal="left" vertical="center"/>
    </xf>
    <xf numFmtId="2" fontId="25" fillId="4" borderId="35" xfId="1" applyNumberFormat="1" applyFont="1" applyFill="1" applyBorder="1" applyAlignment="1">
      <alignment horizontal="left" vertical="center"/>
    </xf>
    <xf numFmtId="2" fontId="25" fillId="4" borderId="24" xfId="1" applyNumberFormat="1" applyFont="1" applyFill="1" applyBorder="1" applyAlignment="1">
      <alignment horizontal="left" vertical="center"/>
    </xf>
    <xf numFmtId="2" fontId="25" fillId="4" borderId="45" xfId="1" applyNumberFormat="1" applyFont="1" applyFill="1" applyBorder="1" applyAlignment="1">
      <alignment horizontal="left" vertical="center"/>
    </xf>
    <xf numFmtId="0" fontId="52" fillId="4" borderId="11" xfId="0" applyFont="1" applyFill="1" applyBorder="1" applyAlignment="1">
      <alignment horizontal="center"/>
    </xf>
    <xf numFmtId="2" fontId="25" fillId="4" borderId="1" xfId="1" applyNumberFormat="1" applyFont="1" applyFill="1" applyBorder="1" applyAlignment="1">
      <alignment horizontal="left" vertical="center"/>
    </xf>
    <xf numFmtId="2" fontId="25" fillId="4" borderId="65" xfId="1" applyNumberFormat="1" applyFont="1" applyFill="1" applyBorder="1" applyAlignment="1">
      <alignment vertical="center"/>
    </xf>
    <xf numFmtId="2" fontId="25" fillId="4" borderId="2" xfId="1" applyNumberFormat="1" applyFont="1" applyFill="1" applyBorder="1" applyAlignment="1">
      <alignment horizontal="left" vertical="center"/>
    </xf>
    <xf numFmtId="2" fontId="25" fillId="4" borderId="3" xfId="1" applyNumberFormat="1" applyFont="1" applyFill="1" applyBorder="1" applyAlignment="1">
      <alignment vertical="center"/>
    </xf>
    <xf numFmtId="1" fontId="35" fillId="4" borderId="10" xfId="1" applyNumberFormat="1" applyFont="1" applyFill="1" applyBorder="1" applyAlignment="1">
      <alignment horizontal="left" vertical="center" wrapText="1"/>
    </xf>
    <xf numFmtId="2" fontId="35" fillId="4" borderId="45" xfId="1" applyNumberFormat="1" applyFont="1" applyFill="1" applyBorder="1" applyAlignment="1">
      <alignment horizontal="center" wrapText="1"/>
    </xf>
    <xf numFmtId="2" fontId="35" fillId="4" borderId="30" xfId="1" applyNumberFormat="1" applyFont="1" applyFill="1" applyBorder="1" applyAlignment="1">
      <alignment horizontal="center" wrapText="1"/>
    </xf>
    <xf numFmtId="2" fontId="35" fillId="4" borderId="21" xfId="1" applyNumberFormat="1" applyFont="1" applyFill="1" applyBorder="1" applyAlignment="1">
      <alignment horizontal="center" wrapText="1"/>
    </xf>
    <xf numFmtId="4" fontId="38" fillId="4" borderId="13" xfId="1" applyNumberFormat="1" applyFont="1" applyFill="1" applyBorder="1" applyAlignment="1">
      <alignment horizontal="center" vertical="center"/>
    </xf>
    <xf numFmtId="2" fontId="46" fillId="4" borderId="25" xfId="1" applyNumberFormat="1" applyFont="1" applyFill="1" applyBorder="1" applyAlignment="1">
      <alignment horizontal="center" vertical="center"/>
    </xf>
    <xf numFmtId="2" fontId="46" fillId="4" borderId="24" xfId="1" applyNumberFormat="1" applyFont="1" applyFill="1" applyBorder="1" applyAlignment="1">
      <alignment horizontal="center" vertical="center"/>
    </xf>
    <xf numFmtId="2" fontId="46" fillId="4" borderId="12" xfId="1" applyNumberFormat="1" applyFont="1" applyFill="1" applyBorder="1" applyAlignment="1">
      <alignment horizontal="center" vertical="center"/>
    </xf>
    <xf numFmtId="2" fontId="46" fillId="4" borderId="10" xfId="1" applyNumberFormat="1" applyFont="1" applyFill="1" applyBorder="1" applyAlignment="1">
      <alignment horizontal="center" vertical="center"/>
    </xf>
    <xf numFmtId="2" fontId="46" fillId="4" borderId="21" xfId="1" applyNumberFormat="1" applyFont="1" applyFill="1" applyBorder="1" applyAlignment="1">
      <alignment horizontal="center" vertical="center"/>
    </xf>
    <xf numFmtId="2" fontId="46" fillId="4" borderId="45" xfId="1" applyNumberFormat="1" applyFont="1" applyFill="1" applyBorder="1" applyAlignment="1">
      <alignment horizontal="center" vertical="center"/>
    </xf>
    <xf numFmtId="2" fontId="46" fillId="4" borderId="30" xfId="1" applyNumberFormat="1" applyFont="1" applyFill="1" applyBorder="1" applyAlignment="1">
      <alignment horizontal="center" vertical="center"/>
    </xf>
    <xf numFmtId="2" fontId="46" fillId="4" borderId="55" xfId="1" applyNumberFormat="1" applyFont="1" applyFill="1" applyBorder="1" applyAlignment="1">
      <alignment horizontal="center" vertical="center"/>
    </xf>
    <xf numFmtId="2" fontId="46" fillId="4" borderId="9" xfId="1" applyNumberFormat="1" applyFont="1" applyFill="1" applyBorder="1" applyAlignment="1">
      <alignment horizontal="center" vertical="center"/>
    </xf>
    <xf numFmtId="0" fontId="46" fillId="4" borderId="25" xfId="1" applyNumberFormat="1" applyFont="1" applyFill="1" applyBorder="1" applyAlignment="1">
      <alignment horizontal="center" vertical="center" wrapText="1"/>
    </xf>
    <xf numFmtId="0" fontId="46" fillId="4" borderId="31" xfId="1" applyFont="1" applyFill="1" applyBorder="1" applyAlignment="1">
      <alignment horizontal="center" vertical="center" wrapText="1"/>
    </xf>
    <xf numFmtId="0" fontId="47" fillId="4" borderId="22" xfId="0" applyFont="1" applyFill="1" applyBorder="1" applyAlignment="1">
      <alignment vertical="center" wrapText="1"/>
    </xf>
    <xf numFmtId="1" fontId="46" fillId="4" borderId="22" xfId="1" applyNumberFormat="1" applyFont="1" applyFill="1" applyBorder="1" applyAlignment="1">
      <alignment horizontal="center" vertical="center" wrapText="1"/>
    </xf>
    <xf numFmtId="0" fontId="46" fillId="4" borderId="45" xfId="1" applyFont="1" applyFill="1" applyBorder="1" applyAlignment="1">
      <alignment horizontal="center" vertical="center" wrapText="1"/>
    </xf>
    <xf numFmtId="1" fontId="46" fillId="4" borderId="30" xfId="1" applyNumberFormat="1" applyFont="1" applyFill="1" applyBorder="1" applyAlignment="1">
      <alignment vertical="center" wrapText="1"/>
    </xf>
    <xf numFmtId="2" fontId="46" fillId="4" borderId="49" xfId="1" applyNumberFormat="1" applyFont="1" applyFill="1" applyBorder="1" applyAlignment="1">
      <alignment vertical="center"/>
    </xf>
    <xf numFmtId="0" fontId="46" fillId="7" borderId="30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" fontId="46" fillId="4" borderId="30" xfId="1" applyNumberFormat="1" applyFont="1" applyFill="1" applyBorder="1" applyAlignment="1">
      <alignment horizontal="right" vertical="center" wrapText="1"/>
    </xf>
    <xf numFmtId="0" fontId="47" fillId="4" borderId="69" xfId="0" applyFont="1" applyFill="1" applyBorder="1" applyAlignment="1">
      <alignment horizontal="center" vertical="center"/>
    </xf>
    <xf numFmtId="0" fontId="7" fillId="0" borderId="31" xfId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25" fillId="0" borderId="22" xfId="1" applyFont="1" applyBorder="1" applyAlignment="1">
      <alignment horizontal="center" vertical="center" wrapText="1"/>
    </xf>
    <xf numFmtId="0" fontId="25" fillId="0" borderId="5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2" fontId="33" fillId="3" borderId="39" xfId="0" applyNumberFormat="1" applyFont="1" applyFill="1" applyBorder="1" applyAlignment="1">
      <alignment horizontal="center"/>
    </xf>
    <xf numFmtId="2" fontId="33" fillId="3" borderId="33" xfId="0" applyNumberFormat="1" applyFont="1" applyFill="1" applyBorder="1" applyAlignment="1">
      <alignment horizontal="center"/>
    </xf>
    <xf numFmtId="0" fontId="7" fillId="5" borderId="49" xfId="1" applyFont="1" applyFill="1" applyBorder="1" applyAlignment="1">
      <alignment vertical="center" wrapText="1"/>
    </xf>
    <xf numFmtId="0" fontId="55" fillId="0" borderId="0" xfId="0" applyFont="1"/>
    <xf numFmtId="4" fontId="25" fillId="4" borderId="39" xfId="1" applyNumberFormat="1" applyFont="1" applyFill="1" applyBorder="1" applyAlignment="1">
      <alignment horizontal="center" vertical="center"/>
    </xf>
    <xf numFmtId="4" fontId="7" fillId="0" borderId="22" xfId="1" applyNumberFormat="1" applyFont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left" vertical="center" wrapText="1"/>
    </xf>
    <xf numFmtId="0" fontId="62" fillId="4" borderId="0" xfId="0" applyFont="1" applyFill="1"/>
    <xf numFmtId="0" fontId="47" fillId="4" borderId="0" xfId="0" applyFont="1" applyFill="1"/>
    <xf numFmtId="0" fontId="55" fillId="4" borderId="12" xfId="0" applyFont="1" applyFill="1" applyBorder="1" applyAlignment="1">
      <alignment horizontal="center" vertical="center"/>
    </xf>
    <xf numFmtId="1" fontId="46" fillId="4" borderId="58" xfId="0" applyNumberFormat="1" applyFont="1" applyFill="1" applyBorder="1" applyAlignment="1">
      <alignment vertical="center" wrapText="1"/>
    </xf>
    <xf numFmtId="0" fontId="55" fillId="4" borderId="27" xfId="0" applyFont="1" applyFill="1" applyBorder="1" applyAlignment="1">
      <alignment horizontal="center" vertical="center"/>
    </xf>
    <xf numFmtId="0" fontId="47" fillId="4" borderId="54" xfId="0" applyFont="1" applyFill="1" applyBorder="1" applyAlignment="1">
      <alignment horizontal="left"/>
    </xf>
    <xf numFmtId="0" fontId="46" fillId="7" borderId="27" xfId="0" applyFont="1" applyFill="1" applyBorder="1" applyAlignment="1">
      <alignment horizontal="center" vertical="center"/>
    </xf>
    <xf numFmtId="0" fontId="25" fillId="4" borderId="31" xfId="1" applyFont="1" applyFill="1" applyBorder="1" applyAlignment="1">
      <alignment horizontal="center" vertical="center" wrapText="1"/>
    </xf>
    <xf numFmtId="0" fontId="25" fillId="4" borderId="22" xfId="1" applyFont="1" applyFill="1" applyBorder="1" applyAlignment="1">
      <alignment horizontal="left" vertical="center" wrapText="1"/>
    </xf>
    <xf numFmtId="2" fontId="25" fillId="4" borderId="22" xfId="1" applyNumberFormat="1" applyFont="1" applyFill="1" applyBorder="1" applyAlignment="1">
      <alignment vertical="center"/>
    </xf>
    <xf numFmtId="0" fontId="52" fillId="4" borderId="22" xfId="0" applyFont="1" applyFill="1" applyBorder="1" applyAlignment="1">
      <alignment horizontal="center"/>
    </xf>
    <xf numFmtId="0" fontId="25" fillId="4" borderId="22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 wrapText="1"/>
    </xf>
    <xf numFmtId="0" fontId="7" fillId="0" borderId="44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2" fontId="25" fillId="4" borderId="70" xfId="1" applyNumberFormat="1" applyFont="1" applyFill="1" applyBorder="1" applyAlignment="1">
      <alignment horizontal="center" vertical="center" wrapText="1"/>
    </xf>
    <xf numFmtId="2" fontId="25" fillId="4" borderId="46" xfId="1" applyNumberFormat="1" applyFont="1" applyFill="1" applyBorder="1" applyAlignment="1">
      <alignment horizontal="left" vertical="center"/>
    </xf>
    <xf numFmtId="0" fontId="25" fillId="4" borderId="27" xfId="1" applyFont="1" applyFill="1" applyBorder="1" applyAlignment="1">
      <alignment horizontal="left" vertical="center" wrapText="1"/>
    </xf>
    <xf numFmtId="0" fontId="25" fillId="0" borderId="27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4" fontId="7" fillId="0" borderId="27" xfId="1" applyNumberFormat="1" applyFont="1" applyBorder="1" applyAlignment="1">
      <alignment horizontal="center" vertical="center" wrapText="1"/>
    </xf>
    <xf numFmtId="4" fontId="33" fillId="3" borderId="13" xfId="0" applyNumberFormat="1" applyFont="1" applyFill="1" applyBorder="1" applyAlignment="1">
      <alignment horizontal="center"/>
    </xf>
    <xf numFmtId="0" fontId="46" fillId="0" borderId="27" xfId="1" applyFont="1" applyBorder="1" applyAlignment="1">
      <alignment horizontal="center" vertical="center" wrapText="1"/>
    </xf>
    <xf numFmtId="2" fontId="46" fillId="0" borderId="27" xfId="1" applyNumberFormat="1" applyFont="1" applyBorder="1" applyAlignment="1">
      <alignment horizontal="center" vertical="center" wrapText="1"/>
    </xf>
    <xf numFmtId="2" fontId="46" fillId="4" borderId="27" xfId="1" applyNumberFormat="1" applyFont="1" applyFill="1" applyBorder="1" applyAlignment="1">
      <alignment vertical="center"/>
    </xf>
    <xf numFmtId="4" fontId="46" fillId="0" borderId="27" xfId="1" applyNumberFormat="1" applyFont="1" applyBorder="1" applyAlignment="1">
      <alignment horizontal="right" vertical="center" wrapText="1"/>
    </xf>
    <xf numFmtId="0" fontId="46" fillId="4" borderId="19" xfId="1" applyFont="1" applyFill="1" applyBorder="1" applyAlignment="1">
      <alignment horizontal="left" vertical="center" wrapText="1"/>
    </xf>
    <xf numFmtId="0" fontId="46" fillId="0" borderId="19" xfId="1" applyFont="1" applyBorder="1" applyAlignment="1">
      <alignment horizontal="left" vertical="center" wrapText="1"/>
    </xf>
    <xf numFmtId="0" fontId="46" fillId="4" borderId="43" xfId="0" applyFont="1" applyFill="1" applyBorder="1" applyAlignment="1">
      <alignment horizontal="center" vertical="center" wrapText="1"/>
    </xf>
    <xf numFmtId="0" fontId="46" fillId="0" borderId="19" xfId="1" applyFont="1" applyBorder="1" applyAlignment="1">
      <alignment horizontal="center" vertical="center" wrapText="1"/>
    </xf>
    <xf numFmtId="2" fontId="46" fillId="4" borderId="19" xfId="1" applyNumberFormat="1" applyFont="1" applyFill="1" applyBorder="1" applyAlignment="1">
      <alignment vertical="center"/>
    </xf>
    <xf numFmtId="0" fontId="46" fillId="4" borderId="19" xfId="0" applyFont="1" applyFill="1" applyBorder="1" applyAlignment="1">
      <alignment horizontal="center" vertical="center" wrapText="1"/>
    </xf>
    <xf numFmtId="0" fontId="46" fillId="4" borderId="19" xfId="1" applyFont="1" applyFill="1" applyBorder="1" applyAlignment="1">
      <alignment vertical="center" wrapText="1"/>
    </xf>
    <xf numFmtId="0" fontId="47" fillId="4" borderId="19" xfId="0" applyFont="1" applyFill="1" applyBorder="1" applyAlignment="1">
      <alignment horizontal="center" vertical="center" wrapText="1"/>
    </xf>
    <xf numFmtId="4" fontId="46" fillId="0" borderId="19" xfId="1" applyNumberFormat="1" applyFont="1" applyBorder="1" applyAlignment="1">
      <alignment horizontal="right" vertical="center" wrapText="1"/>
    </xf>
    <xf numFmtId="0" fontId="46" fillId="0" borderId="43" xfId="1" applyFont="1" applyBorder="1" applyAlignment="1">
      <alignment horizontal="left" vertical="center" wrapText="1"/>
    </xf>
    <xf numFmtId="0" fontId="46" fillId="0" borderId="54" xfId="1" applyFont="1" applyBorder="1" applyAlignment="1">
      <alignment horizontal="left" vertical="center" wrapText="1"/>
    </xf>
    <xf numFmtId="2" fontId="46" fillId="0" borderId="31" xfId="1" applyNumberFormat="1" applyFont="1" applyBorder="1" applyAlignment="1">
      <alignment horizontal="center" vertical="center" wrapText="1"/>
    </xf>
    <xf numFmtId="2" fontId="46" fillId="0" borderId="22" xfId="1" applyNumberFormat="1" applyFont="1" applyBorder="1" applyAlignment="1">
      <alignment horizontal="center" vertical="center" wrapText="1"/>
    </xf>
    <xf numFmtId="2" fontId="46" fillId="0" borderId="23" xfId="1" applyNumberFormat="1" applyFont="1" applyBorder="1" applyAlignment="1">
      <alignment horizontal="center" vertical="center" wrapText="1"/>
    </xf>
    <xf numFmtId="2" fontId="46" fillId="0" borderId="35" xfId="1" applyNumberFormat="1" applyFont="1" applyBorder="1" applyAlignment="1">
      <alignment horizontal="center" vertical="center" wrapText="1"/>
    </xf>
    <xf numFmtId="2" fontId="46" fillId="0" borderId="28" xfId="1" applyNumberFormat="1" applyFont="1" applyBorder="1" applyAlignment="1">
      <alignment horizontal="center" vertical="center" wrapText="1"/>
    </xf>
    <xf numFmtId="2" fontId="46" fillId="0" borderId="45" xfId="1" applyNumberFormat="1" applyFont="1" applyBorder="1" applyAlignment="1">
      <alignment horizontal="center" vertical="center" wrapText="1"/>
    </xf>
    <xf numFmtId="2" fontId="46" fillId="0" borderId="30" xfId="1" applyNumberFormat="1" applyFont="1" applyBorder="1" applyAlignment="1">
      <alignment horizontal="center" vertical="center" wrapText="1"/>
    </xf>
    <xf numFmtId="2" fontId="46" fillId="0" borderId="21" xfId="1" applyNumberFormat="1" applyFont="1" applyBorder="1" applyAlignment="1">
      <alignment horizontal="center" vertical="center" wrapText="1"/>
    </xf>
    <xf numFmtId="2" fontId="46" fillId="4" borderId="40" xfId="1" applyNumberFormat="1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/>
    </xf>
    <xf numFmtId="2" fontId="46" fillId="0" borderId="10" xfId="1" applyNumberFormat="1" applyFont="1" applyFill="1" applyBorder="1" applyAlignment="1">
      <alignment horizontal="center" vertical="center" wrapText="1"/>
    </xf>
    <xf numFmtId="2" fontId="46" fillId="4" borderId="55" xfId="1" applyNumberFormat="1" applyFont="1" applyFill="1" applyBorder="1" applyAlignment="1">
      <alignment horizontal="center" vertical="center" wrapText="1"/>
    </xf>
    <xf numFmtId="2" fontId="46" fillId="4" borderId="55" xfId="0" applyNumberFormat="1" applyFont="1" applyFill="1" applyBorder="1" applyAlignment="1">
      <alignment horizontal="center" vertical="center" wrapText="1"/>
    </xf>
    <xf numFmtId="2" fontId="46" fillId="0" borderId="53" xfId="1" applyNumberFormat="1" applyFont="1" applyBorder="1" applyAlignment="1">
      <alignment horizontal="center" vertical="center" wrapText="1"/>
    </xf>
    <xf numFmtId="2" fontId="46" fillId="0" borderId="55" xfId="1" applyNumberFormat="1" applyFont="1" applyBorder="1" applyAlignment="1">
      <alignment horizontal="center" vertical="center" wrapText="1"/>
    </xf>
    <xf numFmtId="2" fontId="46" fillId="0" borderId="8" xfId="1" applyNumberFormat="1" applyFont="1" applyFill="1" applyBorder="1" applyAlignment="1">
      <alignment horizontal="center" vertical="center" wrapText="1"/>
    </xf>
    <xf numFmtId="2" fontId="46" fillId="4" borderId="9" xfId="1" applyNumberFormat="1" applyFont="1" applyFill="1" applyBorder="1" applyAlignment="1">
      <alignment horizontal="center" vertical="center" wrapText="1"/>
    </xf>
    <xf numFmtId="2" fontId="46" fillId="0" borderId="7" xfId="1" applyNumberFormat="1" applyFont="1" applyBorder="1" applyAlignment="1">
      <alignment horizontal="center" vertical="center" wrapText="1"/>
    </xf>
    <xf numFmtId="2" fontId="46" fillId="0" borderId="9" xfId="1" applyNumberFormat="1" applyFont="1" applyBorder="1" applyAlignment="1">
      <alignment horizontal="center" vertical="center" wrapText="1"/>
    </xf>
    <xf numFmtId="2" fontId="25" fillId="4" borderId="53" xfId="1" applyNumberFormat="1" applyFont="1" applyFill="1" applyBorder="1" applyAlignment="1">
      <alignment horizontal="center" vertical="center" wrapText="1"/>
    </xf>
    <xf numFmtId="2" fontId="25" fillId="4" borderId="7" xfId="1" applyNumberFormat="1" applyFont="1" applyFill="1" applyBorder="1" applyAlignment="1">
      <alignment horizontal="center" vertical="center" wrapText="1"/>
    </xf>
    <xf numFmtId="2" fontId="25" fillId="0" borderId="8" xfId="1" applyNumberFormat="1" applyFont="1" applyFill="1" applyBorder="1" applyAlignment="1">
      <alignment horizontal="center" vertical="center" wrapText="1"/>
    </xf>
    <xf numFmtId="2" fontId="25" fillId="4" borderId="9" xfId="1" applyNumberFormat="1" applyFont="1" applyFill="1" applyBorder="1" applyAlignment="1">
      <alignment horizontal="center" vertical="center" wrapText="1"/>
    </xf>
    <xf numFmtId="2" fontId="23" fillId="0" borderId="13" xfId="1" applyNumberFormat="1" applyFont="1" applyBorder="1" applyAlignment="1">
      <alignment horizontal="center" vertical="center" wrapText="1"/>
    </xf>
    <xf numFmtId="2" fontId="25" fillId="4" borderId="67" xfId="1" applyNumberFormat="1" applyFont="1" applyFill="1" applyBorder="1" applyAlignment="1">
      <alignment horizontal="center" vertical="center" wrapText="1"/>
    </xf>
    <xf numFmtId="2" fontId="25" fillId="0" borderId="10" xfId="1" applyNumberFormat="1" applyFont="1" applyFill="1" applyBorder="1" applyAlignment="1">
      <alignment horizontal="center" vertical="center"/>
    </xf>
    <xf numFmtId="2" fontId="25" fillId="4" borderId="10" xfId="1" applyNumberFormat="1" applyFont="1" applyFill="1" applyBorder="1" applyAlignment="1">
      <alignment horizontal="center" vertical="center"/>
    </xf>
    <xf numFmtId="2" fontId="25" fillId="0" borderId="55" xfId="1" applyNumberFormat="1" applyFont="1" applyFill="1" applyBorder="1" applyAlignment="1">
      <alignment horizontal="center" vertical="center"/>
    </xf>
    <xf numFmtId="2" fontId="25" fillId="4" borderId="16" xfId="1" applyNumberFormat="1" applyFont="1" applyFill="1" applyBorder="1" applyAlignment="1">
      <alignment horizontal="center" vertical="center" wrapText="1"/>
    </xf>
    <xf numFmtId="2" fontId="25" fillId="0" borderId="8" xfId="1" applyNumberFormat="1" applyFont="1" applyFill="1" applyBorder="1" applyAlignment="1">
      <alignment horizontal="center" vertical="center"/>
    </xf>
    <xf numFmtId="2" fontId="25" fillId="4" borderId="8" xfId="1" applyNumberFormat="1" applyFont="1" applyFill="1" applyBorder="1" applyAlignment="1">
      <alignment horizontal="center" vertical="center"/>
    </xf>
    <xf numFmtId="2" fontId="25" fillId="0" borderId="9" xfId="1" applyNumberFormat="1" applyFont="1" applyFill="1" applyBorder="1" applyAlignment="1">
      <alignment horizontal="center" vertical="center"/>
    </xf>
    <xf numFmtId="2" fontId="60" fillId="0" borderId="13" xfId="0" applyNumberFormat="1" applyFont="1" applyFill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2" fontId="33" fillId="3" borderId="13" xfId="0" applyNumberFormat="1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4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7" fillId="0" borderId="16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center"/>
    </xf>
    <xf numFmtId="0" fontId="16" fillId="0" borderId="0" xfId="1" applyFont="1" applyBorder="1" applyAlignment="1">
      <alignment horizontal="center"/>
    </xf>
    <xf numFmtId="0" fontId="16" fillId="0" borderId="58" xfId="1" applyFont="1" applyBorder="1" applyAlignment="1">
      <alignment horizontal="center"/>
    </xf>
    <xf numFmtId="0" fontId="7" fillId="0" borderId="16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13" fillId="2" borderId="20" xfId="1" applyFont="1" applyFill="1" applyBorder="1" applyAlignment="1">
      <alignment horizontal="center" vertical="center" wrapText="1"/>
    </xf>
    <xf numFmtId="0" fontId="13" fillId="2" borderId="18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7" fillId="0" borderId="29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0" fontId="7" fillId="0" borderId="70" xfId="1" applyFont="1" applyBorder="1" applyAlignment="1">
      <alignment horizontal="center" vertical="center" wrapText="1"/>
    </xf>
    <xf numFmtId="0" fontId="7" fillId="5" borderId="72" xfId="1" applyFont="1" applyFill="1" applyBorder="1" applyAlignment="1">
      <alignment horizontal="center" vertical="center" wrapText="1"/>
    </xf>
    <xf numFmtId="0" fontId="7" fillId="5" borderId="29" xfId="1" applyFont="1" applyFill="1" applyBorder="1" applyAlignment="1">
      <alignment horizontal="center" vertical="center" wrapText="1"/>
    </xf>
    <xf numFmtId="0" fontId="7" fillId="5" borderId="74" xfId="1" applyFont="1" applyFill="1" applyBorder="1" applyAlignment="1">
      <alignment horizontal="center" vertical="center" wrapText="1"/>
    </xf>
    <xf numFmtId="0" fontId="7" fillId="5" borderId="70" xfId="1" applyFont="1" applyFill="1" applyBorder="1" applyAlignment="1">
      <alignment horizontal="center" vertical="center" wrapText="1"/>
    </xf>
    <xf numFmtId="1" fontId="50" fillId="0" borderId="20" xfId="0" applyNumberFormat="1" applyFont="1" applyBorder="1" applyAlignment="1">
      <alignment horizontal="center"/>
    </xf>
    <xf numFmtId="1" fontId="50" fillId="0" borderId="18" xfId="0" applyNumberFormat="1" applyFont="1" applyBorder="1" applyAlignment="1">
      <alignment horizontal="center"/>
    </xf>
    <xf numFmtId="1" fontId="50" fillId="0" borderId="41" xfId="0" applyNumberFormat="1" applyFont="1" applyBorder="1" applyAlignment="1">
      <alignment horizontal="center"/>
    </xf>
    <xf numFmtId="2" fontId="40" fillId="0" borderId="0" xfId="1" applyNumberFormat="1" applyFont="1" applyAlignment="1">
      <alignment horizontal="left"/>
    </xf>
    <xf numFmtId="2" fontId="40" fillId="8" borderId="0" xfId="1" applyNumberFormat="1" applyFont="1" applyFill="1" applyAlignment="1">
      <alignment horizontal="left"/>
    </xf>
    <xf numFmtId="1" fontId="7" fillId="0" borderId="7" xfId="1" applyNumberFormat="1" applyFont="1" applyBorder="1" applyAlignment="1">
      <alignment horizontal="center" vertical="center" wrapText="1"/>
    </xf>
    <xf numFmtId="1" fontId="7" fillId="0" borderId="14" xfId="1" applyNumberFormat="1" applyFont="1" applyBorder="1" applyAlignment="1">
      <alignment horizontal="center" vertical="center" wrapText="1"/>
    </xf>
    <xf numFmtId="1" fontId="7" fillId="0" borderId="15" xfId="1" applyNumberFormat="1" applyFont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7" fillId="0" borderId="72" xfId="1" applyFont="1" applyFill="1" applyBorder="1" applyAlignment="1">
      <alignment horizontal="center" vertical="center" wrapText="1"/>
    </xf>
    <xf numFmtId="0" fontId="7" fillId="5" borderId="68" xfId="1" applyFont="1" applyFill="1" applyBorder="1" applyAlignment="1">
      <alignment horizontal="center" vertical="center" wrapText="1"/>
    </xf>
    <xf numFmtId="0" fontId="7" fillId="5" borderId="73" xfId="1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35" fillId="0" borderId="16" xfId="1" applyFont="1" applyBorder="1" applyAlignment="1">
      <alignment horizontal="center" vertical="center" wrapText="1"/>
    </xf>
    <xf numFmtId="0" fontId="35" fillId="0" borderId="14" xfId="1" applyFont="1" applyBorder="1" applyAlignment="1">
      <alignment horizontal="center" vertical="center" wrapText="1"/>
    </xf>
    <xf numFmtId="0" fontId="35" fillId="0" borderId="68" xfId="1" applyFont="1" applyBorder="1" applyAlignment="1">
      <alignment horizontal="center" vertical="center" wrapText="1"/>
    </xf>
    <xf numFmtId="0" fontId="35" fillId="0" borderId="16" xfId="1" applyFont="1" applyBorder="1" applyAlignment="1">
      <alignment horizontal="left" vertical="center" wrapText="1"/>
    </xf>
    <xf numFmtId="0" fontId="35" fillId="0" borderId="14" xfId="1" applyFont="1" applyBorder="1" applyAlignment="1">
      <alignment horizontal="left" vertical="center" wrapText="1"/>
    </xf>
    <xf numFmtId="0" fontId="36" fillId="2" borderId="72" xfId="1" applyFont="1" applyFill="1" applyBorder="1" applyAlignment="1">
      <alignment horizontal="center" vertical="center" wrapText="1"/>
    </xf>
    <xf numFmtId="0" fontId="36" fillId="2" borderId="69" xfId="1" applyFont="1" applyFill="1" applyBorder="1" applyAlignment="1">
      <alignment horizontal="center" vertical="center" wrapText="1"/>
    </xf>
    <xf numFmtId="0" fontId="36" fillId="2" borderId="41" xfId="1" applyFont="1" applyFill="1" applyBorder="1" applyAlignment="1">
      <alignment horizontal="center" vertical="center" wrapText="1"/>
    </xf>
    <xf numFmtId="0" fontId="2" fillId="8" borderId="0" xfId="1" applyFont="1" applyFill="1" applyAlignment="1">
      <alignment horizontal="left"/>
    </xf>
    <xf numFmtId="0" fontId="36" fillId="2" borderId="12" xfId="1" applyFont="1" applyFill="1" applyBorder="1" applyAlignment="1">
      <alignment horizontal="center" vertical="center" wrapText="1"/>
    </xf>
    <xf numFmtId="0" fontId="36" fillId="2" borderId="29" xfId="0" applyFont="1" applyFill="1" applyBorder="1" applyAlignment="1">
      <alignment horizontal="center" vertical="center" wrapText="1"/>
    </xf>
    <xf numFmtId="0" fontId="36" fillId="2" borderId="73" xfId="0" applyFont="1" applyFill="1" applyBorder="1" applyAlignment="1">
      <alignment horizontal="center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35" fillId="8" borderId="16" xfId="1" applyFont="1" applyFill="1" applyBorder="1" applyAlignment="1">
      <alignment horizontal="center" vertical="center" wrapText="1"/>
    </xf>
    <xf numFmtId="0" fontId="35" fillId="0" borderId="72" xfId="1" applyFont="1" applyBorder="1" applyAlignment="1">
      <alignment horizontal="center" vertical="center" wrapText="1"/>
    </xf>
    <xf numFmtId="0" fontId="35" fillId="0" borderId="15" xfId="1" applyFont="1" applyBorder="1" applyAlignment="1">
      <alignment horizontal="center" vertical="center" wrapText="1"/>
    </xf>
    <xf numFmtId="4" fontId="7" fillId="0" borderId="16" xfId="1" applyNumberFormat="1" applyFont="1" applyBorder="1" applyAlignment="1">
      <alignment horizontal="right" vertical="center" wrapText="1"/>
    </xf>
    <xf numFmtId="4" fontId="7" fillId="0" borderId="14" xfId="1" applyNumberFormat="1" applyFont="1" applyBorder="1" applyAlignment="1">
      <alignment horizontal="right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35" fillId="0" borderId="29" xfId="1" applyFont="1" applyBorder="1" applyAlignment="1">
      <alignment horizontal="center" vertical="center" wrapText="1"/>
    </xf>
    <xf numFmtId="0" fontId="64" fillId="0" borderId="20" xfId="0" applyFont="1" applyBorder="1" applyAlignment="1">
      <alignment horizontal="center"/>
    </xf>
    <xf numFmtId="0" fontId="64" fillId="0" borderId="18" xfId="0" applyFont="1" applyBorder="1" applyAlignment="1">
      <alignment horizontal="center"/>
    </xf>
    <xf numFmtId="0" fontId="64" fillId="0" borderId="41" xfId="0" applyFont="1" applyBorder="1" applyAlignment="1">
      <alignment horizontal="center"/>
    </xf>
    <xf numFmtId="0" fontId="7" fillId="0" borderId="22" xfId="1" applyFont="1" applyBorder="1" applyAlignment="1">
      <alignment vertical="center" wrapText="1"/>
    </xf>
    <xf numFmtId="0" fontId="7" fillId="0" borderId="12" xfId="1" applyFont="1" applyBorder="1" applyAlignment="1">
      <alignment vertical="center" wrapText="1"/>
    </xf>
    <xf numFmtId="0" fontId="7" fillId="0" borderId="30" xfId="1" applyFont="1" applyBorder="1" applyAlignment="1">
      <alignment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2" borderId="30" xfId="1" applyFont="1" applyFill="1" applyBorder="1" applyAlignment="1">
      <alignment horizontal="center" vertical="center" wrapText="1"/>
    </xf>
    <xf numFmtId="2" fontId="7" fillId="0" borderId="22" xfId="1" applyNumberFormat="1" applyFont="1" applyBorder="1" applyAlignment="1">
      <alignment horizontal="center" vertical="center" wrapText="1"/>
    </xf>
    <xf numFmtId="2" fontId="7" fillId="0" borderId="12" xfId="1" applyNumberFormat="1" applyFont="1" applyBorder="1" applyAlignment="1">
      <alignment horizontal="center" vertical="center" wrapText="1"/>
    </xf>
    <xf numFmtId="2" fontId="7" fillId="4" borderId="12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3" fillId="0" borderId="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45" xfId="1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/>
    </xf>
    <xf numFmtId="0" fontId="13" fillId="2" borderId="16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7" fillId="0" borderId="68" xfId="1" applyFont="1" applyBorder="1" applyAlignment="1">
      <alignment horizontal="center" vertical="center" wrapText="1"/>
    </xf>
    <xf numFmtId="0" fontId="7" fillId="0" borderId="74" xfId="1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/>
    </xf>
    <xf numFmtId="0" fontId="7" fillId="0" borderId="29" xfId="1" applyFont="1" applyFill="1" applyBorder="1" applyAlignment="1">
      <alignment horizontal="center" vertical="center" wrapText="1"/>
    </xf>
    <xf numFmtId="0" fontId="7" fillId="0" borderId="73" xfId="1" applyFont="1" applyFill="1" applyBorder="1" applyAlignment="1">
      <alignment horizontal="center" vertical="center" wrapText="1"/>
    </xf>
    <xf numFmtId="0" fontId="7" fillId="0" borderId="70" xfId="1" applyFont="1" applyFill="1" applyBorder="1" applyAlignment="1">
      <alignment horizontal="center" vertical="center" wrapText="1"/>
    </xf>
    <xf numFmtId="0" fontId="45" fillId="2" borderId="20" xfId="1" applyFont="1" applyFill="1" applyBorder="1" applyAlignment="1">
      <alignment horizontal="center" vertical="center" wrapText="1"/>
    </xf>
    <xf numFmtId="0" fontId="45" fillId="2" borderId="18" xfId="1" applyFont="1" applyFill="1" applyBorder="1" applyAlignment="1">
      <alignment horizontal="center" vertical="center" wrapText="1"/>
    </xf>
    <xf numFmtId="0" fontId="45" fillId="2" borderId="41" xfId="1" applyFont="1" applyFill="1" applyBorder="1" applyAlignment="1">
      <alignment horizontal="center" vertical="center" wrapText="1"/>
    </xf>
    <xf numFmtId="0" fontId="44" fillId="0" borderId="16" xfId="1" applyFont="1" applyBorder="1" applyAlignment="1">
      <alignment horizontal="center" vertical="center" wrapText="1"/>
    </xf>
    <xf numFmtId="0" fontId="44" fillId="0" borderId="14" xfId="1" applyFont="1" applyBorder="1" applyAlignment="1">
      <alignment horizontal="center" vertical="center" wrapText="1"/>
    </xf>
    <xf numFmtId="0" fontId="44" fillId="0" borderId="15" xfId="1" applyFont="1" applyBorder="1" applyAlignment="1">
      <alignment horizontal="center" vertical="center" wrapText="1"/>
    </xf>
    <xf numFmtId="0" fontId="49" fillId="0" borderId="0" xfId="1" applyFont="1" applyAlignment="1">
      <alignment horizontal="left"/>
    </xf>
    <xf numFmtId="0" fontId="49" fillId="0" borderId="0" xfId="1" applyFont="1" applyAlignment="1"/>
    <xf numFmtId="0" fontId="44" fillId="0" borderId="0" xfId="1" applyFont="1" applyBorder="1" applyAlignment="1">
      <alignment horizontal="center"/>
    </xf>
    <xf numFmtId="0" fontId="44" fillId="0" borderId="0" xfId="1" applyFont="1" applyBorder="1" applyAlignment="1"/>
    <xf numFmtId="0" fontId="45" fillId="2" borderId="16" xfId="1" applyFont="1" applyFill="1" applyBorder="1" applyAlignment="1">
      <alignment horizontal="center" vertical="center" wrapText="1"/>
    </xf>
    <xf numFmtId="0" fontId="45" fillId="2" borderId="15" xfId="1" applyFont="1" applyFill="1" applyBorder="1" applyAlignment="1">
      <alignment horizontal="center" vertical="center" wrapText="1"/>
    </xf>
    <xf numFmtId="0" fontId="44" fillId="0" borderId="16" xfId="1" applyFont="1" applyBorder="1" applyAlignment="1">
      <alignment horizontal="left" vertical="center" wrapText="1"/>
    </xf>
    <xf numFmtId="0" fontId="44" fillId="0" borderId="14" xfId="1" applyFont="1" applyBorder="1" applyAlignment="1">
      <alignment horizontal="left" vertical="center" wrapText="1"/>
    </xf>
    <xf numFmtId="0" fontId="44" fillId="0" borderId="15" xfId="1" applyFont="1" applyBorder="1" applyAlignment="1">
      <alignment horizontal="left" vertical="center" wrapText="1"/>
    </xf>
    <xf numFmtId="0" fontId="44" fillId="0" borderId="16" xfId="1" applyFont="1" applyFill="1" applyBorder="1" applyAlignment="1">
      <alignment horizontal="center" vertical="center" wrapText="1"/>
    </xf>
    <xf numFmtId="0" fontId="44" fillId="0" borderId="14" xfId="1" applyFont="1" applyFill="1" applyBorder="1" applyAlignment="1">
      <alignment horizontal="center" vertical="center" wrapText="1"/>
    </xf>
    <xf numFmtId="0" fontId="44" fillId="0" borderId="15" xfId="1" applyFont="1" applyFill="1" applyBorder="1" applyAlignment="1">
      <alignment horizontal="center" vertical="center" wrapText="1"/>
    </xf>
    <xf numFmtId="4" fontId="44" fillId="0" borderId="16" xfId="1" applyNumberFormat="1" applyFont="1" applyBorder="1" applyAlignment="1">
      <alignment vertical="center" wrapText="1"/>
    </xf>
    <xf numFmtId="4" fontId="44" fillId="0" borderId="14" xfId="1" applyNumberFormat="1" applyFont="1" applyBorder="1" applyAlignment="1">
      <alignment vertical="center" wrapText="1"/>
    </xf>
    <xf numFmtId="4" fontId="44" fillId="0" borderId="15" xfId="1" applyNumberFormat="1" applyFont="1" applyBorder="1" applyAlignment="1">
      <alignment vertical="center" wrapText="1"/>
    </xf>
    <xf numFmtId="0" fontId="26" fillId="0" borderId="20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45" fillId="2" borderId="16" xfId="0" applyFont="1" applyFill="1" applyBorder="1" applyAlignment="1">
      <alignment horizontal="center" vertical="center" wrapText="1"/>
    </xf>
    <xf numFmtId="0" fontId="45" fillId="2" borderId="15" xfId="0" applyFont="1" applyFill="1" applyBorder="1" applyAlignment="1">
      <alignment horizontal="center" vertical="center" wrapText="1"/>
    </xf>
    <xf numFmtId="14" fontId="46" fillId="4" borderId="26" xfId="1" applyNumberFormat="1" applyFont="1" applyFill="1" applyBorder="1" applyAlignment="1">
      <alignment horizontal="center" vertical="center" wrapText="1"/>
    </xf>
    <xf numFmtId="14" fontId="46" fillId="4" borderId="12" xfId="1" applyNumberFormat="1" applyFont="1" applyFill="1" applyBorder="1" applyAlignment="1">
      <alignment horizontal="center" vertical="center" wrapText="1"/>
    </xf>
    <xf numFmtId="14" fontId="46" fillId="0" borderId="19" xfId="1" applyNumberFormat="1" applyFont="1" applyFill="1" applyBorder="1" applyAlignment="1">
      <alignment horizontal="center" vertical="center" wrapText="1"/>
    </xf>
    <xf numFmtId="14" fontId="46" fillId="4" borderId="30" xfId="1" applyNumberFormat="1" applyFont="1" applyFill="1" applyBorder="1" applyAlignment="1">
      <alignment horizontal="center" vertical="center" wrapText="1"/>
    </xf>
    <xf numFmtId="14" fontId="46" fillId="4" borderId="19" xfId="1" applyNumberFormat="1" applyFont="1" applyFill="1" applyBorder="1" applyAlignment="1">
      <alignment horizontal="center" vertical="center" wrapText="1"/>
    </xf>
    <xf numFmtId="14" fontId="46" fillId="4" borderId="37" xfId="1" applyNumberFormat="1" applyFont="1" applyFill="1" applyBorder="1" applyAlignment="1">
      <alignment horizontal="center" vertical="center" wrapText="1"/>
    </xf>
    <xf numFmtId="14" fontId="46" fillId="4" borderId="27" xfId="1" applyNumberFormat="1" applyFont="1" applyFill="1" applyBorder="1" applyAlignment="1">
      <alignment horizontal="center" vertical="center" wrapText="1"/>
    </xf>
    <xf numFmtId="14" fontId="46" fillId="4" borderId="27" xfId="1" applyNumberFormat="1" applyFont="1" applyFill="1" applyBorder="1" applyAlignment="1">
      <alignment horizontal="center" vertical="center"/>
    </xf>
    <xf numFmtId="14" fontId="46" fillId="4" borderId="27" xfId="1" applyNumberFormat="1" applyFont="1" applyFill="1" applyBorder="1" applyAlignment="1">
      <alignment horizontal="center" wrapText="1"/>
    </xf>
    <xf numFmtId="14" fontId="46" fillId="4" borderId="12" xfId="1" applyNumberFormat="1" applyFont="1" applyFill="1" applyBorder="1" applyAlignment="1">
      <alignment horizontal="center" wrapText="1"/>
    </xf>
    <xf numFmtId="14" fontId="46" fillId="0" borderId="19" xfId="1" applyNumberFormat="1" applyFont="1" applyBorder="1" applyAlignment="1">
      <alignment horizontal="center" vertical="center" wrapText="1"/>
    </xf>
    <xf numFmtId="14" fontId="46" fillId="0" borderId="27" xfId="1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1"/>
  <sheetViews>
    <sheetView topLeftCell="A25" workbookViewId="0">
      <selection activeCell="A35" sqref="A35"/>
    </sheetView>
  </sheetViews>
  <sheetFormatPr baseColWidth="10" defaultRowHeight="14.5" x14ac:dyDescent="0.35"/>
  <cols>
    <col min="1" max="1" width="9.453125" customWidth="1"/>
    <col min="2" max="2" width="18.1796875" customWidth="1"/>
    <col min="3" max="3" width="28.453125" customWidth="1"/>
    <col min="4" max="4" width="6.54296875" customWidth="1"/>
    <col min="5" max="5" width="9.54296875" customWidth="1"/>
    <col min="6" max="6" width="12.453125" customWidth="1"/>
  </cols>
  <sheetData>
    <row r="2" spans="1:5" x14ac:dyDescent="0.35">
      <c r="A2" s="980" t="s">
        <v>116</v>
      </c>
      <c r="B2" s="980"/>
      <c r="C2" s="980"/>
      <c r="D2" s="980"/>
      <c r="E2" s="980"/>
    </row>
    <row r="4" spans="1:5" x14ac:dyDescent="0.35">
      <c r="A4" s="980" t="s">
        <v>92</v>
      </c>
      <c r="B4" s="980"/>
    </row>
    <row r="5" spans="1:5" x14ac:dyDescent="0.35">
      <c r="A5" s="16" t="s">
        <v>72</v>
      </c>
      <c r="B5" s="17"/>
    </row>
    <row r="6" spans="1:5" x14ac:dyDescent="0.35">
      <c r="A6" s="18" t="s">
        <v>70</v>
      </c>
      <c r="B6" s="19"/>
    </row>
    <row r="7" spans="1:5" x14ac:dyDescent="0.35">
      <c r="A7" s="18" t="s">
        <v>71</v>
      </c>
      <c r="B7" s="19"/>
    </row>
    <row r="8" spans="1:5" x14ac:dyDescent="0.35">
      <c r="A8" s="18" t="s">
        <v>73</v>
      </c>
      <c r="B8" s="19"/>
    </row>
    <row r="10" spans="1:5" ht="15" thickBot="1" x14ac:dyDescent="0.4">
      <c r="A10" s="15" t="s">
        <v>91</v>
      </c>
      <c r="B10" s="15"/>
      <c r="C10" s="15"/>
    </row>
    <row r="11" spans="1:5" x14ac:dyDescent="0.35">
      <c r="A11" s="12" t="s">
        <v>42</v>
      </c>
      <c r="B11" s="9" t="s">
        <v>27</v>
      </c>
      <c r="C11" s="6"/>
      <c r="E11" s="15"/>
    </row>
    <row r="12" spans="1:5" x14ac:dyDescent="0.35">
      <c r="A12" s="13" t="s">
        <v>29</v>
      </c>
      <c r="B12" s="10" t="s">
        <v>28</v>
      </c>
      <c r="C12" s="7"/>
      <c r="E12" s="15"/>
    </row>
    <row r="13" spans="1:5" x14ac:dyDescent="0.35">
      <c r="A13" s="13" t="s">
        <v>31</v>
      </c>
      <c r="B13" s="10" t="s">
        <v>30</v>
      </c>
      <c r="C13" s="7"/>
      <c r="E13" s="15"/>
    </row>
    <row r="14" spans="1:5" x14ac:dyDescent="0.35">
      <c r="A14" s="13" t="s">
        <v>43</v>
      </c>
      <c r="B14" s="10" t="s">
        <v>44</v>
      </c>
      <c r="C14" s="7"/>
      <c r="E14" s="15"/>
    </row>
    <row r="15" spans="1:5" x14ac:dyDescent="0.35">
      <c r="A15" s="13" t="s">
        <v>33</v>
      </c>
      <c r="B15" s="10" t="s">
        <v>32</v>
      </c>
      <c r="C15" s="7"/>
      <c r="E15" s="15"/>
    </row>
    <row r="16" spans="1:5" x14ac:dyDescent="0.35">
      <c r="A16" s="13" t="s">
        <v>35</v>
      </c>
      <c r="B16" s="10" t="s">
        <v>34</v>
      </c>
      <c r="C16" s="7"/>
      <c r="E16" s="15"/>
    </row>
    <row r="17" spans="1:5" x14ac:dyDescent="0.35">
      <c r="A17" s="13" t="s">
        <v>104</v>
      </c>
      <c r="B17" s="10" t="s">
        <v>36</v>
      </c>
      <c r="C17" s="7"/>
      <c r="E17" s="15"/>
    </row>
    <row r="18" spans="1:5" x14ac:dyDescent="0.35">
      <c r="A18" s="13" t="s">
        <v>75</v>
      </c>
      <c r="B18" s="10" t="s">
        <v>74</v>
      </c>
      <c r="C18" s="7"/>
      <c r="E18" s="15"/>
    </row>
    <row r="19" spans="1:5" x14ac:dyDescent="0.35">
      <c r="A19" s="13" t="s">
        <v>38</v>
      </c>
      <c r="B19" s="10" t="s">
        <v>37</v>
      </c>
      <c r="C19" s="7"/>
      <c r="E19" s="15"/>
    </row>
    <row r="20" spans="1:5" x14ac:dyDescent="0.35">
      <c r="A20" s="13" t="s">
        <v>40</v>
      </c>
      <c r="B20" s="10" t="s">
        <v>39</v>
      </c>
      <c r="C20" s="7"/>
      <c r="E20" s="15"/>
    </row>
    <row r="21" spans="1:5" ht="15" thickBot="1" x14ac:dyDescent="0.4">
      <c r="A21" s="14" t="s">
        <v>76</v>
      </c>
      <c r="B21" s="11" t="s">
        <v>41</v>
      </c>
      <c r="C21" s="8"/>
      <c r="E21" s="15"/>
    </row>
    <row r="22" spans="1:5" x14ac:dyDescent="0.35">
      <c r="E22" s="15"/>
    </row>
    <row r="23" spans="1:5" x14ac:dyDescent="0.35">
      <c r="A23" s="981" t="s">
        <v>93</v>
      </c>
      <c r="B23" s="981"/>
    </row>
    <row r="24" spans="1:5" x14ac:dyDescent="0.35">
      <c r="A24" s="20" t="s">
        <v>45</v>
      </c>
      <c r="B24" s="21" t="s">
        <v>46</v>
      </c>
    </row>
    <row r="25" spans="1:5" x14ac:dyDescent="0.35">
      <c r="A25" s="20" t="s">
        <v>47</v>
      </c>
      <c r="B25" s="21" t="s">
        <v>48</v>
      </c>
    </row>
    <row r="26" spans="1:5" x14ac:dyDescent="0.35">
      <c r="A26" s="20" t="s">
        <v>49</v>
      </c>
      <c r="B26" s="21" t="s">
        <v>50</v>
      </c>
    </row>
    <row r="27" spans="1:5" x14ac:dyDescent="0.35">
      <c r="A27" s="20" t="s">
        <v>51</v>
      </c>
      <c r="B27" s="21" t="s">
        <v>52</v>
      </c>
    </row>
    <row r="28" spans="1:5" x14ac:dyDescent="0.35">
      <c r="A28" s="20" t="s">
        <v>53</v>
      </c>
      <c r="B28" s="21" t="s">
        <v>54</v>
      </c>
    </row>
    <row r="29" spans="1:5" x14ac:dyDescent="0.35">
      <c r="A29" s="20" t="s">
        <v>55</v>
      </c>
      <c r="B29" s="21" t="s">
        <v>56</v>
      </c>
    </row>
    <row r="30" spans="1:5" x14ac:dyDescent="0.35">
      <c r="A30" s="20" t="s">
        <v>57</v>
      </c>
      <c r="B30" s="21" t="s">
        <v>58</v>
      </c>
    </row>
    <row r="31" spans="1:5" x14ac:dyDescent="0.35">
      <c r="A31" s="20" t="s">
        <v>59</v>
      </c>
      <c r="B31" s="21" t="s">
        <v>60</v>
      </c>
    </row>
    <row r="32" spans="1:5" x14ac:dyDescent="0.35">
      <c r="A32" s="20" t="s">
        <v>61</v>
      </c>
      <c r="B32" s="21" t="s">
        <v>62</v>
      </c>
    </row>
    <row r="33" spans="1:3" x14ac:dyDescent="0.35">
      <c r="A33" s="20" t="s">
        <v>68</v>
      </c>
      <c r="B33" s="21" t="s">
        <v>69</v>
      </c>
    </row>
    <row r="34" spans="1:3" x14ac:dyDescent="0.35">
      <c r="A34" s="20" t="s">
        <v>77</v>
      </c>
      <c r="B34" s="21" t="s">
        <v>77</v>
      </c>
    </row>
    <row r="35" spans="1:3" x14ac:dyDescent="0.35">
      <c r="A35" s="20" t="s">
        <v>64</v>
      </c>
      <c r="B35" s="21" t="s">
        <v>65</v>
      </c>
    </row>
    <row r="36" spans="1:3" x14ac:dyDescent="0.35">
      <c r="A36" s="20" t="s">
        <v>19</v>
      </c>
      <c r="B36" s="21" t="s">
        <v>19</v>
      </c>
    </row>
    <row r="37" spans="1:3" x14ac:dyDescent="0.35">
      <c r="A37" s="20" t="s">
        <v>20</v>
      </c>
      <c r="B37" s="21" t="s">
        <v>63</v>
      </c>
    </row>
    <row r="38" spans="1:3" x14ac:dyDescent="0.35">
      <c r="A38" s="20" t="s">
        <v>21</v>
      </c>
      <c r="B38" s="21" t="s">
        <v>21</v>
      </c>
    </row>
    <row r="40" spans="1:3" x14ac:dyDescent="0.35">
      <c r="A40" s="982" t="s">
        <v>96</v>
      </c>
      <c r="B40" s="982"/>
    </row>
    <row r="41" spans="1:3" x14ac:dyDescent="0.35">
      <c r="A41" s="20" t="s">
        <v>78</v>
      </c>
      <c r="B41" s="979" t="s">
        <v>86</v>
      </c>
      <c r="C41" s="979"/>
    </row>
    <row r="42" spans="1:3" x14ac:dyDescent="0.35">
      <c r="A42" s="20" t="s">
        <v>79</v>
      </c>
      <c r="B42" s="979" t="s">
        <v>87</v>
      </c>
      <c r="C42" s="979"/>
    </row>
    <row r="43" spans="1:3" x14ac:dyDescent="0.35">
      <c r="A43" s="20" t="s">
        <v>29</v>
      </c>
      <c r="B43" s="979" t="s">
        <v>28</v>
      </c>
      <c r="C43" s="979"/>
    </row>
    <row r="44" spans="1:3" x14ac:dyDescent="0.35">
      <c r="A44" s="20" t="s">
        <v>80</v>
      </c>
      <c r="B44" s="979" t="s">
        <v>88</v>
      </c>
      <c r="C44" s="979"/>
    </row>
    <row r="45" spans="1:3" x14ac:dyDescent="0.35">
      <c r="A45" s="20" t="s">
        <v>81</v>
      </c>
      <c r="B45" s="979" t="s">
        <v>30</v>
      </c>
      <c r="C45" s="979"/>
    </row>
    <row r="46" spans="1:3" x14ac:dyDescent="0.35">
      <c r="A46" s="20" t="s">
        <v>94</v>
      </c>
      <c r="B46" s="979" t="s">
        <v>95</v>
      </c>
      <c r="C46" s="979"/>
    </row>
    <row r="47" spans="1:3" x14ac:dyDescent="0.35">
      <c r="A47" s="20" t="s">
        <v>82</v>
      </c>
      <c r="B47" s="979" t="s">
        <v>34</v>
      </c>
      <c r="C47" s="979"/>
    </row>
    <row r="48" spans="1:3" x14ac:dyDescent="0.35">
      <c r="A48" s="20" t="s">
        <v>83</v>
      </c>
      <c r="B48" s="979" t="s">
        <v>37</v>
      </c>
      <c r="C48" s="979"/>
    </row>
    <row r="49" spans="1:6" x14ac:dyDescent="0.35">
      <c r="A49" s="20" t="s">
        <v>84</v>
      </c>
      <c r="B49" s="979" t="s">
        <v>39</v>
      </c>
      <c r="C49" s="979"/>
    </row>
    <row r="50" spans="1:6" x14ac:dyDescent="0.35">
      <c r="A50" s="20" t="s">
        <v>85</v>
      </c>
      <c r="B50" s="979" t="s">
        <v>89</v>
      </c>
      <c r="C50" s="979"/>
    </row>
    <row r="53" spans="1:6" x14ac:dyDescent="0.35">
      <c r="A53" s="981" t="s">
        <v>97</v>
      </c>
      <c r="B53" s="981"/>
      <c r="E53" s="981" t="s">
        <v>111</v>
      </c>
      <c r="F53" s="981"/>
    </row>
    <row r="54" spans="1:6" x14ac:dyDescent="0.35">
      <c r="A54" s="20" t="s">
        <v>90</v>
      </c>
      <c r="B54" s="979" t="s">
        <v>138</v>
      </c>
      <c r="C54" s="979"/>
      <c r="E54" s="20" t="s">
        <v>112</v>
      </c>
      <c r="F54" s="21" t="s">
        <v>114</v>
      </c>
    </row>
    <row r="55" spans="1:6" x14ac:dyDescent="0.35">
      <c r="A55" s="20" t="s">
        <v>101</v>
      </c>
      <c r="B55" s="979" t="s">
        <v>100</v>
      </c>
      <c r="C55" s="979"/>
      <c r="E55" s="20" t="s">
        <v>113</v>
      </c>
      <c r="F55" s="21" t="s">
        <v>115</v>
      </c>
    </row>
    <row r="56" spans="1:6" x14ac:dyDescent="0.35">
      <c r="A56" s="20" t="s">
        <v>107</v>
      </c>
      <c r="B56" s="979" t="s">
        <v>108</v>
      </c>
      <c r="C56" s="979"/>
    </row>
    <row r="57" spans="1:6" x14ac:dyDescent="0.35">
      <c r="A57" s="20" t="s">
        <v>98</v>
      </c>
      <c r="B57" s="979" t="s">
        <v>99</v>
      </c>
      <c r="C57" s="979"/>
    </row>
    <row r="58" spans="1:6" x14ac:dyDescent="0.35">
      <c r="A58" s="20" t="s">
        <v>102</v>
      </c>
      <c r="B58" s="979" t="s">
        <v>103</v>
      </c>
      <c r="C58" s="979"/>
    </row>
    <row r="59" spans="1:6" x14ac:dyDescent="0.35">
      <c r="A59" s="20" t="s">
        <v>104</v>
      </c>
      <c r="B59" s="979" t="s">
        <v>36</v>
      </c>
      <c r="C59" s="979"/>
    </row>
    <row r="60" spans="1:6" x14ac:dyDescent="0.35">
      <c r="A60" s="20" t="s">
        <v>105</v>
      </c>
      <c r="B60" s="979" t="s">
        <v>106</v>
      </c>
      <c r="C60" s="979"/>
    </row>
    <row r="61" spans="1:6" x14ac:dyDescent="0.35">
      <c r="A61" s="20" t="s">
        <v>109</v>
      </c>
      <c r="B61" s="979" t="s">
        <v>110</v>
      </c>
      <c r="C61" s="979"/>
    </row>
  </sheetData>
  <mergeCells count="24">
    <mergeCell ref="E53:F53"/>
    <mergeCell ref="A2:E2"/>
    <mergeCell ref="B57:C57"/>
    <mergeCell ref="B58:C58"/>
    <mergeCell ref="B43:C43"/>
    <mergeCell ref="B44:C44"/>
    <mergeCell ref="B41:C41"/>
    <mergeCell ref="B42:C42"/>
    <mergeCell ref="A40:B40"/>
    <mergeCell ref="B45:C45"/>
    <mergeCell ref="B46:C46"/>
    <mergeCell ref="A4:B4"/>
    <mergeCell ref="A23:B23"/>
    <mergeCell ref="A53:B53"/>
    <mergeCell ref="B47:C47"/>
    <mergeCell ref="B48:C48"/>
    <mergeCell ref="B49:C49"/>
    <mergeCell ref="B50:C50"/>
    <mergeCell ref="B54:C54"/>
    <mergeCell ref="B55:C55"/>
    <mergeCell ref="B61:C61"/>
    <mergeCell ref="B60:C60"/>
    <mergeCell ref="B56:C56"/>
    <mergeCell ref="B59:C59"/>
  </mergeCells>
  <phoneticPr fontId="11" type="noConversion"/>
  <pageMargins left="0.7" right="0.7" top="0.75" bottom="0.75" header="0.3" footer="0.3"/>
  <pageSetup paperSize="9" orientation="portrait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"/>
  <sheetViews>
    <sheetView topLeftCell="E7" workbookViewId="0">
      <selection activeCell="AC28" sqref="AC28"/>
    </sheetView>
  </sheetViews>
  <sheetFormatPr baseColWidth="10" defaultColWidth="11" defaultRowHeight="14.5" x14ac:dyDescent="0.35"/>
  <cols>
    <col min="1" max="1" width="8.81640625" style="15" customWidth="1"/>
    <col min="2" max="2" width="11.7265625" style="94" customWidth="1"/>
    <col min="3" max="3" width="12.453125" style="94" customWidth="1"/>
    <col min="4" max="4" width="15.453125" style="91" customWidth="1"/>
    <col min="5" max="5" width="13" style="15" customWidth="1"/>
    <col min="6" max="6" width="13.81640625" style="15" customWidth="1"/>
    <col min="7" max="7" width="7.81640625" style="15" customWidth="1"/>
    <col min="8" max="8" width="5.54296875" style="15" customWidth="1"/>
    <col min="9" max="9" width="8.453125" style="15" customWidth="1"/>
    <col min="10" max="10" width="6.7265625" style="15" customWidth="1"/>
    <col min="11" max="11" width="7.81640625" style="15" customWidth="1"/>
    <col min="12" max="12" width="6.1796875" style="15" customWidth="1"/>
    <col min="13" max="13" width="7.453125" style="15" customWidth="1"/>
    <col min="14" max="14" width="11.453125" style="94" customWidth="1"/>
    <col min="15" max="15" width="6.81640625" style="15" customWidth="1"/>
    <col min="16" max="16" width="8.1796875" style="15" customWidth="1"/>
    <col min="17" max="17" width="8.7265625" style="15" customWidth="1"/>
    <col min="18" max="18" width="6" style="15" customWidth="1"/>
    <col min="19" max="19" width="8.453125" style="15" customWidth="1"/>
    <col min="20" max="20" width="6.81640625" style="15" customWidth="1"/>
    <col min="21" max="22" width="8.81640625" style="15" customWidth="1"/>
    <col min="23" max="23" width="6.453125" style="15" customWidth="1"/>
    <col min="24" max="24" width="8.1796875" style="15" customWidth="1"/>
    <col min="25" max="25" width="7.453125" style="15" customWidth="1"/>
    <col min="26" max="26" width="9" style="15" customWidth="1"/>
    <col min="27" max="27" width="9.1796875" style="15" customWidth="1"/>
    <col min="28" max="28" width="6.453125" style="15" customWidth="1"/>
    <col min="29" max="30" width="8.1796875" style="15" customWidth="1"/>
    <col min="31" max="32" width="15.54296875" style="94" customWidth="1"/>
    <col min="33" max="33" width="13.81640625" style="15" customWidth="1"/>
    <col min="34" max="34" width="9.1796875" style="15" customWidth="1"/>
    <col min="35" max="35" width="26.81640625" style="94" customWidth="1"/>
    <col min="36" max="36" width="14.54296875" style="15" customWidth="1"/>
    <col min="37" max="37" width="21.26953125" style="94" customWidth="1"/>
    <col min="38" max="38" width="25" style="15" customWidth="1"/>
    <col min="39" max="16384" width="11" style="15"/>
  </cols>
  <sheetData>
    <row r="1" spans="1:38" ht="15.5" x14ac:dyDescent="0.35">
      <c r="A1" s="983" t="s">
        <v>0</v>
      </c>
      <c r="B1" s="983"/>
      <c r="C1" s="983"/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  <c r="X1" s="983"/>
      <c r="Y1" s="983"/>
      <c r="Z1" s="983"/>
      <c r="AA1" s="983"/>
      <c r="AB1" s="983"/>
      <c r="AC1" s="983"/>
      <c r="AD1" s="983"/>
      <c r="AE1" s="983"/>
      <c r="AF1" s="983"/>
      <c r="AG1" s="983"/>
      <c r="AH1" s="983"/>
      <c r="AI1" s="983"/>
      <c r="AJ1" s="983"/>
    </row>
    <row r="2" spans="1:38" ht="15.5" x14ac:dyDescent="0.35">
      <c r="A2" s="5" t="s">
        <v>139</v>
      </c>
      <c r="B2" s="5"/>
      <c r="C2" s="5"/>
      <c r="D2" s="4"/>
      <c r="E2" s="5"/>
      <c r="F2" s="5"/>
      <c r="G2" s="5"/>
      <c r="H2" s="5"/>
      <c r="I2" s="4"/>
      <c r="J2" s="4"/>
      <c r="K2" s="4"/>
      <c r="L2" s="4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5"/>
      <c r="AG2" s="4"/>
      <c r="AH2" s="4"/>
      <c r="AI2" s="5"/>
      <c r="AJ2" s="4"/>
      <c r="AK2" s="422"/>
      <c r="AL2" s="31"/>
    </row>
    <row r="3" spans="1:38" ht="15.5" x14ac:dyDescent="0.35">
      <c r="A3" s="5" t="s">
        <v>123</v>
      </c>
      <c r="B3" s="5"/>
      <c r="C3" s="5"/>
      <c r="D3" s="4"/>
      <c r="E3" s="5"/>
      <c r="F3" s="5"/>
      <c r="G3" s="5"/>
      <c r="H3" s="5"/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4"/>
      <c r="AH3" s="4"/>
      <c r="AI3" s="5"/>
      <c r="AJ3" s="4"/>
      <c r="AK3" s="422"/>
      <c r="AL3" s="31"/>
    </row>
    <row r="4" spans="1:38" ht="15.5" x14ac:dyDescent="0.35">
      <c r="A4" s="983" t="s">
        <v>121</v>
      </c>
      <c r="B4" s="983"/>
      <c r="C4" s="983"/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422"/>
      <c r="AL4" s="31"/>
    </row>
    <row r="5" spans="1:38" ht="15.5" x14ac:dyDescent="0.35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  <c r="AG5" s="4"/>
      <c r="AH5" s="4"/>
      <c r="AI5" s="5"/>
      <c r="AJ5" s="4"/>
      <c r="AK5" s="422"/>
      <c r="AL5" s="31"/>
    </row>
    <row r="6" spans="1:38" ht="15.5" x14ac:dyDescent="0.35">
      <c r="A6" s="4"/>
      <c r="B6" s="5"/>
      <c r="C6" s="5"/>
      <c r="D6" s="92"/>
      <c r="E6" s="81" t="s">
        <v>126</v>
      </c>
      <c r="F6" s="82"/>
      <c r="G6" s="4"/>
      <c r="H6" s="4"/>
      <c r="I6" s="4"/>
      <c r="J6" s="4"/>
      <c r="K6" s="92"/>
      <c r="L6" s="81"/>
      <c r="M6" s="82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5"/>
      <c r="AG6" s="4"/>
      <c r="AH6" s="4"/>
      <c r="AI6" s="5"/>
      <c r="AJ6" s="4"/>
      <c r="AK6" s="422"/>
      <c r="AL6" s="31"/>
    </row>
    <row r="7" spans="1:38" ht="15.5" x14ac:dyDescent="0.35">
      <c r="A7" s="4"/>
      <c r="B7" s="5"/>
      <c r="C7" s="5"/>
      <c r="D7" s="74"/>
      <c r="E7" s="54" t="s">
        <v>142</v>
      </c>
      <c r="F7" s="54"/>
      <c r="G7" s="4"/>
      <c r="H7" s="4"/>
      <c r="I7" s="4"/>
      <c r="J7" s="4"/>
      <c r="K7" s="74"/>
      <c r="L7" s="54"/>
      <c r="M7" s="5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5"/>
      <c r="AG7" s="4"/>
      <c r="AH7" s="4"/>
      <c r="AI7" s="5"/>
      <c r="AJ7" s="4"/>
      <c r="AK7" s="422"/>
      <c r="AL7" s="31"/>
    </row>
    <row r="8" spans="1:38" ht="15.5" x14ac:dyDescent="0.35">
      <c r="A8" s="4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5"/>
      <c r="AG8" s="4"/>
      <c r="AH8" s="4"/>
      <c r="AI8" s="5"/>
      <c r="AJ8" s="4"/>
      <c r="AK8" s="422"/>
      <c r="AL8" s="31"/>
    </row>
    <row r="9" spans="1:38" ht="15" thickBot="1" x14ac:dyDescent="0.4">
      <c r="A9" s="988"/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9"/>
      <c r="AF9" s="989"/>
      <c r="AG9" s="988"/>
      <c r="AH9" s="988"/>
      <c r="AI9" s="989"/>
      <c r="AJ9" s="990"/>
      <c r="AK9" s="422"/>
      <c r="AL9" s="31"/>
    </row>
    <row r="10" spans="1:38" ht="15" thickBot="1" x14ac:dyDescent="0.4">
      <c r="A10" s="984" t="s">
        <v>1</v>
      </c>
      <c r="B10" s="991" t="s">
        <v>2</v>
      </c>
      <c r="C10" s="991" t="s">
        <v>3</v>
      </c>
      <c r="D10" s="984" t="s">
        <v>128</v>
      </c>
      <c r="E10" s="994" t="s">
        <v>118</v>
      </c>
      <c r="F10" s="995"/>
      <c r="G10" s="996"/>
      <c r="H10" s="984" t="s">
        <v>4</v>
      </c>
      <c r="I10" s="984"/>
      <c r="J10" s="984" t="s">
        <v>5</v>
      </c>
      <c r="K10" s="984"/>
      <c r="L10" s="984" t="s">
        <v>6</v>
      </c>
      <c r="M10" s="984"/>
      <c r="N10" s="984" t="s">
        <v>127</v>
      </c>
      <c r="O10" s="984" t="s">
        <v>7</v>
      </c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5"/>
      <c r="AE10" s="1002" t="s">
        <v>137</v>
      </c>
      <c r="AF10" s="1003"/>
      <c r="AG10" s="999" t="s">
        <v>15</v>
      </c>
      <c r="AH10" s="984" t="s">
        <v>96</v>
      </c>
      <c r="AI10" s="25" t="s">
        <v>66</v>
      </c>
      <c r="AJ10" s="25" t="s">
        <v>8</v>
      </c>
      <c r="AK10" s="108" t="s">
        <v>9</v>
      </c>
      <c r="AL10" s="26" t="s">
        <v>10</v>
      </c>
    </row>
    <row r="11" spans="1:38" ht="18" customHeight="1" thickBot="1" x14ac:dyDescent="0.4">
      <c r="A11" s="987"/>
      <c r="B11" s="992"/>
      <c r="C11" s="992"/>
      <c r="D11" s="987"/>
      <c r="E11" s="27" t="s">
        <v>119</v>
      </c>
      <c r="F11" s="27" t="s">
        <v>120</v>
      </c>
      <c r="G11" s="51" t="s">
        <v>117</v>
      </c>
      <c r="H11" s="984" t="s">
        <v>11</v>
      </c>
      <c r="I11" s="984" t="s">
        <v>12</v>
      </c>
      <c r="J11" s="984" t="s">
        <v>11</v>
      </c>
      <c r="K11" s="984" t="s">
        <v>12</v>
      </c>
      <c r="L11" s="984" t="s">
        <v>11</v>
      </c>
      <c r="M11" s="984" t="s">
        <v>12</v>
      </c>
      <c r="N11" s="987"/>
      <c r="O11" s="984" t="s">
        <v>13</v>
      </c>
      <c r="P11" s="984"/>
      <c r="Q11" s="984"/>
      <c r="R11" s="984"/>
      <c r="S11" s="984"/>
      <c r="T11" s="984" t="s">
        <v>14</v>
      </c>
      <c r="U11" s="984"/>
      <c r="V11" s="984"/>
      <c r="W11" s="984"/>
      <c r="X11" s="984"/>
      <c r="Y11" s="984" t="s">
        <v>23</v>
      </c>
      <c r="Z11" s="984"/>
      <c r="AA11" s="984"/>
      <c r="AB11" s="984"/>
      <c r="AC11" s="984"/>
      <c r="AD11" s="985"/>
      <c r="AE11" s="1004"/>
      <c r="AF11" s="1005"/>
      <c r="AG11" s="1000"/>
      <c r="AH11" s="987"/>
      <c r="AI11" s="23" t="s">
        <v>24</v>
      </c>
      <c r="AJ11" s="23" t="s">
        <v>16</v>
      </c>
      <c r="AK11" s="423" t="s">
        <v>129</v>
      </c>
      <c r="AL11" s="28" t="s">
        <v>17</v>
      </c>
    </row>
    <row r="12" spans="1:38" ht="20.25" customHeight="1" thickBot="1" x14ac:dyDescent="0.4">
      <c r="A12" s="986"/>
      <c r="B12" s="993"/>
      <c r="C12" s="993"/>
      <c r="D12" s="986"/>
      <c r="E12" s="30"/>
      <c r="F12" s="29"/>
      <c r="G12" s="29"/>
      <c r="H12" s="986"/>
      <c r="I12" s="986"/>
      <c r="J12" s="986"/>
      <c r="K12" s="986"/>
      <c r="L12" s="986"/>
      <c r="M12" s="986"/>
      <c r="N12" s="986"/>
      <c r="O12" s="22" t="s">
        <v>18</v>
      </c>
      <c r="P12" s="22" t="s">
        <v>19</v>
      </c>
      <c r="Q12" s="22" t="s">
        <v>20</v>
      </c>
      <c r="R12" s="22" t="s">
        <v>21</v>
      </c>
      <c r="S12" s="22" t="s">
        <v>22</v>
      </c>
      <c r="T12" s="22" t="s">
        <v>18</v>
      </c>
      <c r="U12" s="22" t="s">
        <v>19</v>
      </c>
      <c r="V12" s="22" t="s">
        <v>20</v>
      </c>
      <c r="W12" s="22" t="s">
        <v>21</v>
      </c>
      <c r="X12" s="22" t="s">
        <v>22</v>
      </c>
      <c r="Y12" s="22" t="s">
        <v>18</v>
      </c>
      <c r="Z12" s="22" t="s">
        <v>19</v>
      </c>
      <c r="AA12" s="22" t="s">
        <v>20</v>
      </c>
      <c r="AB12" s="22" t="s">
        <v>21</v>
      </c>
      <c r="AC12" s="22" t="s">
        <v>22</v>
      </c>
      <c r="AD12" s="118" t="s">
        <v>23</v>
      </c>
      <c r="AE12" s="402" t="s">
        <v>175</v>
      </c>
      <c r="AF12" s="223" t="s">
        <v>176</v>
      </c>
      <c r="AG12" s="1001"/>
      <c r="AH12" s="986"/>
      <c r="AI12" s="24" t="s">
        <v>67</v>
      </c>
      <c r="AJ12" s="24" t="s">
        <v>25</v>
      </c>
      <c r="AK12" s="424" t="s">
        <v>130</v>
      </c>
      <c r="AL12" s="24"/>
    </row>
    <row r="13" spans="1:38" s="314" customFormat="1" ht="15.75" customHeight="1" x14ac:dyDescent="0.3">
      <c r="A13" s="177">
        <v>1062419</v>
      </c>
      <c r="B13" s="178" t="s">
        <v>147</v>
      </c>
      <c r="C13" s="178" t="s">
        <v>147</v>
      </c>
      <c r="D13" s="376" t="s">
        <v>182</v>
      </c>
      <c r="E13" s="97" t="s">
        <v>183</v>
      </c>
      <c r="F13" s="97" t="s">
        <v>184</v>
      </c>
      <c r="G13" s="106" t="s">
        <v>178</v>
      </c>
      <c r="H13" s="130">
        <v>23</v>
      </c>
      <c r="I13" s="369">
        <v>1530</v>
      </c>
      <c r="J13" s="369">
        <v>23</v>
      </c>
      <c r="K13" s="369">
        <v>1600</v>
      </c>
      <c r="L13" s="369">
        <v>23</v>
      </c>
      <c r="M13" s="369">
        <v>1830</v>
      </c>
      <c r="N13" s="382" t="s">
        <v>19</v>
      </c>
      <c r="O13" s="385"/>
      <c r="P13" s="120"/>
      <c r="Q13" s="120"/>
      <c r="R13" s="120"/>
      <c r="S13" s="386"/>
      <c r="T13" s="404"/>
      <c r="U13" s="120">
        <v>3.5</v>
      </c>
      <c r="V13" s="120"/>
      <c r="W13" s="120"/>
      <c r="X13" s="413">
        <v>0.5</v>
      </c>
      <c r="Y13" s="399"/>
      <c r="Z13" s="121">
        <v>3.5</v>
      </c>
      <c r="AA13" s="121"/>
      <c r="AB13" s="121"/>
      <c r="AC13" s="961">
        <v>0.5</v>
      </c>
      <c r="AD13" s="962">
        <v>4</v>
      </c>
      <c r="AE13" s="395" t="s">
        <v>148</v>
      </c>
      <c r="AF13" s="378" t="s">
        <v>149</v>
      </c>
      <c r="AG13" s="202" t="s">
        <v>114</v>
      </c>
      <c r="AH13" s="372" t="s">
        <v>29</v>
      </c>
      <c r="AI13" s="203" t="s">
        <v>150</v>
      </c>
      <c r="AJ13" s="400" t="s">
        <v>165</v>
      </c>
      <c r="AK13" s="425">
        <v>235000</v>
      </c>
      <c r="AL13" s="122" t="s">
        <v>152</v>
      </c>
    </row>
    <row r="14" spans="1:38" s="315" customFormat="1" ht="15" customHeight="1" x14ac:dyDescent="0.3">
      <c r="A14" s="105">
        <v>2065219</v>
      </c>
      <c r="B14" s="125" t="s">
        <v>153</v>
      </c>
      <c r="C14" s="125" t="s">
        <v>154</v>
      </c>
      <c r="D14" s="133" t="s">
        <v>155</v>
      </c>
      <c r="E14" s="97" t="s">
        <v>185</v>
      </c>
      <c r="F14" s="97" t="s">
        <v>186</v>
      </c>
      <c r="G14" s="106" t="s">
        <v>178</v>
      </c>
      <c r="H14" s="95">
        <v>24</v>
      </c>
      <c r="I14" s="97">
        <v>1100</v>
      </c>
      <c r="J14" s="97">
        <v>24</v>
      </c>
      <c r="K14" s="97">
        <v>1430</v>
      </c>
      <c r="L14" s="97">
        <v>24</v>
      </c>
      <c r="M14" s="97">
        <v>1630</v>
      </c>
      <c r="N14" s="383" t="s">
        <v>45</v>
      </c>
      <c r="O14" s="387"/>
      <c r="P14" s="132"/>
      <c r="Q14" s="132"/>
      <c r="R14" s="132"/>
      <c r="S14" s="388"/>
      <c r="T14" s="405">
        <v>9</v>
      </c>
      <c r="U14" s="132"/>
      <c r="V14" s="132"/>
      <c r="W14" s="132"/>
      <c r="X14" s="414">
        <v>1</v>
      </c>
      <c r="Y14" s="389">
        <v>9</v>
      </c>
      <c r="Z14" s="78"/>
      <c r="AA14" s="78"/>
      <c r="AB14" s="78"/>
      <c r="AC14" s="414">
        <v>1</v>
      </c>
      <c r="AD14" s="507">
        <v>10</v>
      </c>
      <c r="AE14" s="396" t="s">
        <v>159</v>
      </c>
      <c r="AF14" s="396" t="s">
        <v>159</v>
      </c>
      <c r="AG14" s="370" t="s">
        <v>115</v>
      </c>
      <c r="AH14" s="371" t="s">
        <v>94</v>
      </c>
      <c r="AI14" s="151" t="s">
        <v>150</v>
      </c>
      <c r="AJ14" s="373" t="s">
        <v>156</v>
      </c>
      <c r="AK14" s="152">
        <v>1572000</v>
      </c>
      <c r="AL14" s="135"/>
    </row>
    <row r="15" spans="1:38" s="316" customFormat="1" ht="13" x14ac:dyDescent="0.3">
      <c r="A15" s="374">
        <v>3062419</v>
      </c>
      <c r="B15" s="375" t="s">
        <v>147</v>
      </c>
      <c r="C15" s="375" t="s">
        <v>147</v>
      </c>
      <c r="D15" s="376" t="s">
        <v>182</v>
      </c>
      <c r="E15" s="97" t="s">
        <v>187</v>
      </c>
      <c r="F15" s="97" t="s">
        <v>188</v>
      </c>
      <c r="G15" s="106" t="s">
        <v>178</v>
      </c>
      <c r="H15" s="134">
        <v>25</v>
      </c>
      <c r="I15" s="134">
        <v>930</v>
      </c>
      <c r="J15" s="134">
        <v>25</v>
      </c>
      <c r="K15" s="134">
        <v>1015</v>
      </c>
      <c r="L15" s="134">
        <v>25</v>
      </c>
      <c r="M15" s="134">
        <v>1150</v>
      </c>
      <c r="N15" s="382" t="s">
        <v>19</v>
      </c>
      <c r="O15" s="389"/>
      <c r="P15" s="78"/>
      <c r="Q15" s="78"/>
      <c r="R15" s="78"/>
      <c r="S15" s="359"/>
      <c r="T15" s="406"/>
      <c r="U15" s="78">
        <v>1</v>
      </c>
      <c r="V15" s="78"/>
      <c r="W15" s="78"/>
      <c r="X15" s="414"/>
      <c r="Y15" s="389"/>
      <c r="Z15" s="78">
        <v>1</v>
      </c>
      <c r="AA15" s="78"/>
      <c r="AB15" s="78"/>
      <c r="AC15" s="414"/>
      <c r="AD15" s="963">
        <v>1</v>
      </c>
      <c r="AE15" s="398" t="s">
        <v>164</v>
      </c>
      <c r="AF15" s="379" t="s">
        <v>164</v>
      </c>
      <c r="AG15" s="370" t="s">
        <v>115</v>
      </c>
      <c r="AH15" s="371" t="s">
        <v>94</v>
      </c>
      <c r="AI15" s="151" t="s">
        <v>150</v>
      </c>
      <c r="AJ15" s="373" t="s">
        <v>156</v>
      </c>
      <c r="AK15" s="152">
        <v>50000</v>
      </c>
      <c r="AL15" s="135"/>
    </row>
    <row r="16" spans="1:38" s="317" customFormat="1" ht="14.25" customHeight="1" x14ac:dyDescent="0.3">
      <c r="A16" s="126">
        <v>4063819</v>
      </c>
      <c r="B16" s="104" t="s">
        <v>153</v>
      </c>
      <c r="C16" s="125" t="s">
        <v>163</v>
      </c>
      <c r="D16" s="143" t="s">
        <v>158</v>
      </c>
      <c r="E16" s="97" t="s">
        <v>189</v>
      </c>
      <c r="F16" s="97" t="s">
        <v>190</v>
      </c>
      <c r="G16" s="106" t="s">
        <v>178</v>
      </c>
      <c r="H16" s="95">
        <v>26</v>
      </c>
      <c r="I16" s="95">
        <v>1200</v>
      </c>
      <c r="J16" s="95">
        <v>26</v>
      </c>
      <c r="K16" s="95">
        <v>1250</v>
      </c>
      <c r="L16" s="95">
        <v>26</v>
      </c>
      <c r="M16" s="95">
        <v>1345</v>
      </c>
      <c r="N16" s="383"/>
      <c r="O16" s="390"/>
      <c r="P16" s="99"/>
      <c r="Q16" s="99"/>
      <c r="R16" s="99"/>
      <c r="S16" s="200"/>
      <c r="T16" s="407"/>
      <c r="U16" s="99"/>
      <c r="V16" s="99"/>
      <c r="W16" s="99"/>
      <c r="X16" s="415">
        <v>6</v>
      </c>
      <c r="Y16" s="390"/>
      <c r="Z16" s="99"/>
      <c r="AA16" s="99"/>
      <c r="AB16" s="99"/>
      <c r="AC16" s="415">
        <v>6</v>
      </c>
      <c r="AD16" s="507">
        <v>6</v>
      </c>
      <c r="AE16" s="397" t="s">
        <v>148</v>
      </c>
      <c r="AF16" s="201" t="s">
        <v>149</v>
      </c>
      <c r="AG16" s="370" t="s">
        <v>115</v>
      </c>
      <c r="AH16" s="137" t="s">
        <v>78</v>
      </c>
      <c r="AI16" s="151" t="s">
        <v>179</v>
      </c>
      <c r="AJ16" s="373" t="s">
        <v>156</v>
      </c>
      <c r="AK16" s="426">
        <v>615000</v>
      </c>
      <c r="AL16" s="135"/>
    </row>
    <row r="17" spans="1:38" s="317" customFormat="1" ht="13" x14ac:dyDescent="0.3">
      <c r="A17" s="126">
        <v>5062619</v>
      </c>
      <c r="B17" s="377" t="s">
        <v>160</v>
      </c>
      <c r="C17" s="377" t="s">
        <v>160</v>
      </c>
      <c r="D17" s="128" t="s">
        <v>161</v>
      </c>
      <c r="E17" s="97" t="s">
        <v>177</v>
      </c>
      <c r="F17" s="97" t="s">
        <v>562</v>
      </c>
      <c r="G17" s="106" t="s">
        <v>178</v>
      </c>
      <c r="H17" s="95">
        <v>26</v>
      </c>
      <c r="I17" s="95">
        <v>1300</v>
      </c>
      <c r="J17" s="95">
        <v>26</v>
      </c>
      <c r="K17" s="95">
        <v>1315</v>
      </c>
      <c r="L17" s="95">
        <v>26</v>
      </c>
      <c r="M17" s="95">
        <v>2130</v>
      </c>
      <c r="N17" s="382" t="s">
        <v>19</v>
      </c>
      <c r="O17" s="390"/>
      <c r="P17" s="99"/>
      <c r="Q17" s="99"/>
      <c r="R17" s="99"/>
      <c r="S17" s="200"/>
      <c r="T17" s="407"/>
      <c r="U17" s="99">
        <v>5.5</v>
      </c>
      <c r="V17" s="99"/>
      <c r="W17" s="99"/>
      <c r="X17" s="415">
        <v>0.5</v>
      </c>
      <c r="Y17" s="390"/>
      <c r="Z17" s="99">
        <v>5.5</v>
      </c>
      <c r="AA17" s="99"/>
      <c r="AB17" s="99"/>
      <c r="AC17" s="415">
        <v>0.5</v>
      </c>
      <c r="AD17" s="507">
        <v>6</v>
      </c>
      <c r="AE17" s="396" t="s">
        <v>159</v>
      </c>
      <c r="AF17" s="396" t="s">
        <v>159</v>
      </c>
      <c r="AG17" s="370" t="s">
        <v>115</v>
      </c>
      <c r="AH17" s="137" t="s">
        <v>78</v>
      </c>
      <c r="AI17" s="151" t="s">
        <v>179</v>
      </c>
      <c r="AJ17" s="373" t="s">
        <v>156</v>
      </c>
      <c r="AK17" s="426">
        <v>75200</v>
      </c>
      <c r="AL17" s="124"/>
    </row>
    <row r="18" spans="1:38" s="317" customFormat="1" ht="15.75" customHeight="1" x14ac:dyDescent="0.3">
      <c r="A18" s="126">
        <v>6062619</v>
      </c>
      <c r="B18" s="377" t="s">
        <v>160</v>
      </c>
      <c r="C18" s="377" t="s">
        <v>160</v>
      </c>
      <c r="D18" s="128" t="s">
        <v>161</v>
      </c>
      <c r="E18" s="97" t="s">
        <v>181</v>
      </c>
      <c r="F18" s="97" t="s">
        <v>180</v>
      </c>
      <c r="G18" s="106" t="s">
        <v>178</v>
      </c>
      <c r="H18" s="95">
        <v>27</v>
      </c>
      <c r="I18" s="95">
        <v>1430</v>
      </c>
      <c r="J18" s="95">
        <v>27</v>
      </c>
      <c r="K18" s="95">
        <v>1530</v>
      </c>
      <c r="L18" s="95">
        <v>27</v>
      </c>
      <c r="M18" s="95">
        <v>2030</v>
      </c>
      <c r="N18" s="383" t="s">
        <v>45</v>
      </c>
      <c r="O18" s="390"/>
      <c r="P18" s="99"/>
      <c r="Q18" s="99"/>
      <c r="R18" s="99"/>
      <c r="S18" s="200"/>
      <c r="T18" s="407">
        <v>1</v>
      </c>
      <c r="U18" s="99"/>
      <c r="V18" s="99"/>
      <c r="W18" s="99"/>
      <c r="X18" s="415">
        <v>1</v>
      </c>
      <c r="Y18" s="390">
        <v>1</v>
      </c>
      <c r="Z18" s="99"/>
      <c r="AA18" s="99"/>
      <c r="AB18" s="99"/>
      <c r="AC18" s="415">
        <v>1</v>
      </c>
      <c r="AD18" s="507">
        <v>2</v>
      </c>
      <c r="AE18" s="398" t="s">
        <v>164</v>
      </c>
      <c r="AF18" s="379" t="s">
        <v>164</v>
      </c>
      <c r="AG18" s="221" t="s">
        <v>115</v>
      </c>
      <c r="AH18" s="137" t="s">
        <v>78</v>
      </c>
      <c r="AI18" s="151" t="s">
        <v>179</v>
      </c>
      <c r="AJ18" s="400" t="s">
        <v>165</v>
      </c>
      <c r="AK18" s="426">
        <v>124300</v>
      </c>
      <c r="AL18" s="124"/>
    </row>
    <row r="19" spans="1:38" s="317" customFormat="1" ht="15.75" customHeight="1" x14ac:dyDescent="0.3">
      <c r="A19" s="171">
        <v>7063419</v>
      </c>
      <c r="B19" s="220" t="s">
        <v>167</v>
      </c>
      <c r="C19" s="220" t="s">
        <v>167</v>
      </c>
      <c r="D19" s="151" t="s">
        <v>166</v>
      </c>
      <c r="E19" s="97" t="s">
        <v>191</v>
      </c>
      <c r="F19" s="97" t="s">
        <v>192</v>
      </c>
      <c r="G19" s="106" t="s">
        <v>178</v>
      </c>
      <c r="H19" s="95">
        <v>27</v>
      </c>
      <c r="I19" s="95">
        <v>1800</v>
      </c>
      <c r="J19" s="95">
        <v>27</v>
      </c>
      <c r="K19" s="95">
        <v>1840</v>
      </c>
      <c r="L19" s="95">
        <v>27</v>
      </c>
      <c r="M19" s="95">
        <v>2110</v>
      </c>
      <c r="N19" s="384" t="s">
        <v>51</v>
      </c>
      <c r="O19" s="391">
        <v>4</v>
      </c>
      <c r="P19" s="167"/>
      <c r="Q19" s="167"/>
      <c r="R19" s="167"/>
      <c r="S19" s="357"/>
      <c r="T19" s="408"/>
      <c r="U19" s="167"/>
      <c r="V19" s="167"/>
      <c r="W19" s="167"/>
      <c r="X19" s="416"/>
      <c r="Y19" s="391">
        <v>4</v>
      </c>
      <c r="Z19" s="167"/>
      <c r="AA19" s="167"/>
      <c r="AB19" s="167"/>
      <c r="AC19" s="416"/>
      <c r="AD19" s="508">
        <v>4</v>
      </c>
      <c r="AE19" s="396" t="s">
        <v>159</v>
      </c>
      <c r="AF19" s="396" t="s">
        <v>159</v>
      </c>
      <c r="AG19" s="370" t="s">
        <v>115</v>
      </c>
      <c r="AH19" s="226" t="s">
        <v>79</v>
      </c>
      <c r="AI19" s="151" t="s">
        <v>162</v>
      </c>
      <c r="AJ19" s="373" t="s">
        <v>151</v>
      </c>
      <c r="AK19" s="427">
        <v>113400</v>
      </c>
      <c r="AL19" s="144" t="s">
        <v>168</v>
      </c>
    </row>
    <row r="20" spans="1:38" s="318" customFormat="1" ht="15.75" customHeight="1" thickBot="1" x14ac:dyDescent="0.35">
      <c r="A20" s="123">
        <v>8061519</v>
      </c>
      <c r="B20" s="220" t="s">
        <v>169</v>
      </c>
      <c r="C20" s="220" t="s">
        <v>170</v>
      </c>
      <c r="D20" s="181" t="s">
        <v>171</v>
      </c>
      <c r="E20" s="97" t="s">
        <v>193</v>
      </c>
      <c r="F20" s="97" t="s">
        <v>194</v>
      </c>
      <c r="G20" s="106" t="s">
        <v>178</v>
      </c>
      <c r="H20" s="164">
        <v>29</v>
      </c>
      <c r="I20" s="164">
        <v>1125</v>
      </c>
      <c r="J20" s="164">
        <v>29</v>
      </c>
      <c r="K20" s="164">
        <v>1545</v>
      </c>
      <c r="L20" s="164">
        <v>29</v>
      </c>
      <c r="M20" s="164">
        <v>1900</v>
      </c>
      <c r="N20" s="384" t="s">
        <v>20</v>
      </c>
      <c r="O20" s="392"/>
      <c r="P20" s="393"/>
      <c r="Q20" s="393"/>
      <c r="R20" s="393"/>
      <c r="S20" s="394"/>
      <c r="T20" s="409"/>
      <c r="U20" s="393"/>
      <c r="V20" s="393">
        <v>2</v>
      </c>
      <c r="W20" s="393"/>
      <c r="X20" s="417">
        <v>1</v>
      </c>
      <c r="Y20" s="392"/>
      <c r="Z20" s="393"/>
      <c r="AA20" s="393">
        <v>2</v>
      </c>
      <c r="AB20" s="393"/>
      <c r="AC20" s="417">
        <v>1</v>
      </c>
      <c r="AD20" s="964">
        <v>3</v>
      </c>
      <c r="AE20" s="397" t="s">
        <v>148</v>
      </c>
      <c r="AF20" s="201" t="s">
        <v>149</v>
      </c>
      <c r="AG20" s="370" t="s">
        <v>115</v>
      </c>
      <c r="AH20" s="136" t="s">
        <v>80</v>
      </c>
      <c r="AI20" s="151" t="s">
        <v>179</v>
      </c>
      <c r="AJ20" s="373" t="s">
        <v>156</v>
      </c>
      <c r="AK20" s="427">
        <v>120600</v>
      </c>
      <c r="AL20" s="144"/>
    </row>
    <row r="21" spans="1:38" ht="16" thickBot="1" x14ac:dyDescent="0.4">
      <c r="A21" s="997" t="s">
        <v>229</v>
      </c>
      <c r="B21" s="998"/>
      <c r="C21" s="998"/>
      <c r="D21" s="998"/>
      <c r="E21" s="998"/>
      <c r="F21" s="998"/>
      <c r="G21" s="998"/>
      <c r="H21" s="998"/>
      <c r="I21" s="998"/>
      <c r="J21" s="998"/>
      <c r="K21" s="998"/>
      <c r="L21" s="998"/>
      <c r="M21" s="998"/>
      <c r="N21" s="998"/>
      <c r="O21" s="411"/>
      <c r="P21" s="381"/>
      <c r="Q21" s="381"/>
      <c r="R21" s="381"/>
      <c r="S21" s="412"/>
      <c r="T21" s="410">
        <v>9</v>
      </c>
      <c r="U21" s="183">
        <f>SUM(U13:U20)</f>
        <v>10</v>
      </c>
      <c r="V21" s="183">
        <f t="shared" ref="V21:AD21" si="0">SUM(V13:V20)</f>
        <v>2</v>
      </c>
      <c r="W21" s="183">
        <f t="shared" si="0"/>
        <v>0</v>
      </c>
      <c r="X21" s="418">
        <f t="shared" si="0"/>
        <v>10</v>
      </c>
      <c r="Y21" s="420">
        <f t="shared" si="0"/>
        <v>14</v>
      </c>
      <c r="Z21" s="183">
        <f t="shared" si="0"/>
        <v>10</v>
      </c>
      <c r="AA21" s="183">
        <f t="shared" si="0"/>
        <v>2</v>
      </c>
      <c r="AB21" s="183">
        <f t="shared" si="0"/>
        <v>0</v>
      </c>
      <c r="AC21" s="418">
        <f t="shared" si="0"/>
        <v>10</v>
      </c>
      <c r="AD21" s="965">
        <f t="shared" si="0"/>
        <v>36</v>
      </c>
      <c r="AE21" s="419"/>
      <c r="AF21" s="380"/>
      <c r="AG21" s="184"/>
      <c r="AH21" s="185"/>
      <c r="AI21" s="186"/>
      <c r="AJ21" s="185"/>
      <c r="AK21" s="428">
        <f>SUM(AK13:AK20)</f>
        <v>2905500</v>
      </c>
      <c r="AL21" s="187"/>
    </row>
    <row r="22" spans="1:38" x14ac:dyDescent="0.35">
      <c r="B22" s="32"/>
      <c r="C22" s="32"/>
      <c r="D22" s="93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38" x14ac:dyDescent="0.35">
      <c r="B23" s="32"/>
      <c r="C23" s="32"/>
      <c r="D23" s="93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38" x14ac:dyDescent="0.35">
      <c r="B24" s="32"/>
      <c r="C24" s="32"/>
      <c r="D24" s="93"/>
      <c r="E24" s="32"/>
      <c r="F24" s="32"/>
      <c r="G24" s="32"/>
      <c r="H24" s="32"/>
      <c r="I24" s="32"/>
      <c r="J24" s="32"/>
      <c r="K24" s="32"/>
      <c r="L24" s="32"/>
      <c r="M24" s="32"/>
      <c r="N24" s="32"/>
      <c r="AD24" s="131"/>
    </row>
    <row r="25" spans="1:38" x14ac:dyDescent="0.35">
      <c r="B25" s="32"/>
      <c r="C25" s="32"/>
      <c r="D25" s="93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38" x14ac:dyDescent="0.35">
      <c r="B26" s="32"/>
      <c r="C26" s="32"/>
      <c r="D26" s="93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38" x14ac:dyDescent="0.35">
      <c r="B27" s="32"/>
      <c r="C27" s="32"/>
      <c r="D27" s="93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38" x14ac:dyDescent="0.35">
      <c r="B28" s="32"/>
      <c r="C28" s="32"/>
      <c r="D28" s="93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38" x14ac:dyDescent="0.35">
      <c r="B29" s="32"/>
      <c r="C29" s="32"/>
      <c r="D29" s="93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38" x14ac:dyDescent="0.35">
      <c r="B30" s="32"/>
      <c r="C30" s="32"/>
      <c r="D30" s="93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38" x14ac:dyDescent="0.35">
      <c r="B31" s="32"/>
      <c r="C31" s="32"/>
      <c r="D31" s="93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38" x14ac:dyDescent="0.35">
      <c r="B32" s="32"/>
      <c r="C32" s="32"/>
      <c r="D32" s="93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2:14" x14ac:dyDescent="0.35">
      <c r="B33" s="32"/>
      <c r="C33" s="32"/>
      <c r="D33" s="93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2:14" x14ac:dyDescent="0.35">
      <c r="B34" s="32"/>
      <c r="C34" s="32"/>
      <c r="D34" s="93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2:14" x14ac:dyDescent="0.35">
      <c r="B35" s="32"/>
      <c r="C35" s="32"/>
      <c r="D35" s="93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2:14" x14ac:dyDescent="0.35">
      <c r="B36" s="32"/>
      <c r="C36" s="32"/>
      <c r="D36" s="93"/>
      <c r="E36" s="32"/>
      <c r="F36" s="32"/>
      <c r="G36" s="32"/>
      <c r="H36" s="32"/>
      <c r="I36" s="32"/>
      <c r="J36" s="32"/>
      <c r="K36" s="32"/>
      <c r="L36" s="32"/>
      <c r="M36" s="32"/>
      <c r="N36" s="32"/>
    </row>
  </sheetData>
  <mergeCells count="26">
    <mergeCell ref="A21:N21"/>
    <mergeCell ref="Y11:AD11"/>
    <mergeCell ref="J10:K10"/>
    <mergeCell ref="L11:L12"/>
    <mergeCell ref="AG10:AG12"/>
    <mergeCell ref="AH10:AH12"/>
    <mergeCell ref="N10:N12"/>
    <mergeCell ref="K11:K12"/>
    <mergeCell ref="AE10:AF11"/>
    <mergeCell ref="A10:A12"/>
    <mergeCell ref="H10:I10"/>
    <mergeCell ref="O11:S11"/>
    <mergeCell ref="L10:M10"/>
    <mergeCell ref="E10:G10"/>
    <mergeCell ref="M11:M12"/>
    <mergeCell ref="C10:C12"/>
    <mergeCell ref="A1:AJ1"/>
    <mergeCell ref="O10:AD10"/>
    <mergeCell ref="H11:H12"/>
    <mergeCell ref="I11:I12"/>
    <mergeCell ref="J11:J12"/>
    <mergeCell ref="A4:AJ4"/>
    <mergeCell ref="T11:X11"/>
    <mergeCell ref="D10:D12"/>
    <mergeCell ref="A9:AJ9"/>
    <mergeCell ref="B10:B12"/>
  </mergeCells>
  <phoneticPr fontId="11" type="noConversion"/>
  <pageMargins left="0.7" right="0.7" top="0.75" bottom="0.75" header="0.3" footer="0.3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07"/>
  <sheetViews>
    <sheetView zoomScale="94" zoomScaleNormal="94" workbookViewId="0">
      <selection activeCell="O28" sqref="O28"/>
    </sheetView>
  </sheetViews>
  <sheetFormatPr baseColWidth="10" defaultRowHeight="14.5" x14ac:dyDescent="0.35"/>
  <cols>
    <col min="1" max="1" width="9.7265625" style="100" customWidth="1"/>
    <col min="2" max="2" width="12.7265625" customWidth="1"/>
    <col min="3" max="3" width="13.81640625" style="34" customWidth="1"/>
    <col min="4" max="4" width="21.453125" style="71" customWidth="1"/>
    <col min="5" max="5" width="11.26953125" style="101" customWidth="1"/>
    <col min="6" max="6" width="12.453125" style="101" customWidth="1"/>
    <col min="7" max="7" width="8.453125" customWidth="1"/>
    <col min="8" max="8" width="5.81640625" customWidth="1"/>
    <col min="9" max="9" width="8.26953125" customWidth="1"/>
    <col min="10" max="10" width="7.453125" customWidth="1"/>
    <col min="11" max="11" width="8.453125" customWidth="1"/>
    <col min="12" max="12" width="6" customWidth="1"/>
    <col min="13" max="13" width="7.453125" customWidth="1"/>
    <col min="14" max="14" width="16.1796875" style="71" customWidth="1"/>
    <col min="15" max="15" width="9.81640625" customWidth="1"/>
    <col min="16" max="16" width="9.7265625" customWidth="1"/>
    <col min="17" max="17" width="10.7265625" style="34" customWidth="1"/>
    <col min="18" max="18" width="6.26953125" customWidth="1"/>
    <col min="19" max="19" width="8.81640625" customWidth="1"/>
    <col min="20" max="20" width="7.453125" customWidth="1"/>
    <col min="21" max="21" width="8.81640625" customWidth="1"/>
    <col min="22" max="22" width="9.1796875" style="34" customWidth="1"/>
    <col min="23" max="23" width="7.54296875" customWidth="1"/>
    <col min="24" max="24" width="10.1796875" customWidth="1"/>
    <col min="25" max="25" width="10.54296875" customWidth="1"/>
    <col min="26" max="26" width="10.26953125" customWidth="1"/>
    <col min="27" max="27" width="10.54296875" style="34" customWidth="1"/>
    <col min="28" max="28" width="7.54296875" customWidth="1"/>
    <col min="29" max="29" width="9.54296875" customWidth="1"/>
    <col min="30" max="30" width="10.26953125" style="41" customWidth="1"/>
    <col min="31" max="31" width="12.54296875" customWidth="1"/>
    <col min="32" max="32" width="37.26953125" customWidth="1"/>
    <col min="33" max="33" width="8.7265625" customWidth="1"/>
    <col min="34" max="34" width="12.26953125" customWidth="1"/>
    <col min="35" max="35" width="27.26953125" style="62" customWidth="1"/>
    <col min="36" max="36" width="17" style="71" customWidth="1"/>
    <col min="37" max="37" width="22.81640625" style="237" customWidth="1"/>
    <col min="38" max="38" width="14.1796875" customWidth="1"/>
  </cols>
  <sheetData>
    <row r="1" spans="1:38" s="246" customFormat="1" ht="15.5" x14ac:dyDescent="0.35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5"/>
    </row>
    <row r="2" spans="1:38" ht="15.5" x14ac:dyDescent="0.35">
      <c r="A2" s="193" t="s">
        <v>139</v>
      </c>
      <c r="B2" s="5"/>
      <c r="C2" s="5"/>
      <c r="D2" s="4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4"/>
      <c r="AK2" s="238"/>
      <c r="AL2" s="1"/>
    </row>
    <row r="3" spans="1:38" ht="15.5" x14ac:dyDescent="0.35">
      <c r="A3" s="193" t="s">
        <v>123</v>
      </c>
      <c r="B3" s="5"/>
      <c r="C3" s="5"/>
      <c r="D3" s="4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5"/>
      <c r="AJ3" s="4"/>
      <c r="AK3" s="238"/>
      <c r="AL3" s="1"/>
    </row>
    <row r="4" spans="1:38" ht="15.5" x14ac:dyDescent="0.35">
      <c r="A4" s="1009" t="s">
        <v>121</v>
      </c>
      <c r="B4" s="1009"/>
      <c r="C4" s="1009"/>
      <c r="D4" s="1009"/>
      <c r="E4" s="1009"/>
      <c r="F4" s="1009"/>
      <c r="G4" s="1009"/>
      <c r="H4" s="1009"/>
      <c r="I4" s="1009"/>
      <c r="J4" s="1009"/>
      <c r="K4" s="1009"/>
      <c r="L4" s="1009"/>
      <c r="M4" s="1009"/>
      <c r="N4" s="1009"/>
      <c r="O4" s="1009"/>
      <c r="P4" s="1009"/>
      <c r="Q4" s="1009"/>
      <c r="R4" s="1009"/>
      <c r="S4" s="1009"/>
      <c r="T4" s="1009"/>
      <c r="U4" s="1009"/>
      <c r="V4" s="1009"/>
      <c r="W4" s="1009"/>
      <c r="X4" s="1009"/>
      <c r="Y4" s="1009"/>
      <c r="Z4" s="1010"/>
      <c r="AA4" s="1009"/>
      <c r="AB4" s="1009"/>
      <c r="AC4" s="1009"/>
      <c r="AD4" s="1009"/>
      <c r="AE4" s="1009"/>
      <c r="AF4" s="1009"/>
      <c r="AG4" s="1009"/>
      <c r="AH4" s="1009"/>
      <c r="AI4" s="1009"/>
      <c r="AJ4" s="1009"/>
      <c r="AK4" s="242"/>
      <c r="AL4" s="48"/>
    </row>
    <row r="5" spans="1:38" ht="15.5" x14ac:dyDescent="0.35">
      <c r="A5" s="19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22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  <c r="AJ5" s="4"/>
      <c r="AK5" s="238"/>
      <c r="AL5" s="1"/>
    </row>
    <row r="6" spans="1:38" ht="15.5" x14ac:dyDescent="0.35">
      <c r="A6" s="194"/>
      <c r="B6" s="5"/>
      <c r="C6" s="5"/>
      <c r="D6" s="92"/>
      <c r="E6" s="81" t="s">
        <v>126</v>
      </c>
      <c r="F6" s="82"/>
      <c r="G6" s="4"/>
      <c r="H6" s="4"/>
      <c r="I6" s="4"/>
      <c r="J6" s="4"/>
      <c r="K6" s="92"/>
      <c r="L6" s="81"/>
      <c r="M6" s="8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4"/>
      <c r="AK6" s="238"/>
      <c r="AL6" s="1"/>
    </row>
    <row r="7" spans="1:38" ht="15.5" x14ac:dyDescent="0.35">
      <c r="A7" s="194"/>
      <c r="B7" s="5"/>
      <c r="C7" s="5"/>
      <c r="D7" s="92"/>
      <c r="E7" s="81"/>
      <c r="F7" s="82"/>
      <c r="G7" s="4"/>
      <c r="H7" s="4"/>
      <c r="I7" s="4"/>
      <c r="J7" s="319"/>
      <c r="K7" s="92"/>
      <c r="L7" s="81"/>
      <c r="M7" s="8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/>
      <c r="AJ7" s="4"/>
      <c r="AK7" s="238"/>
      <c r="AL7" s="1"/>
    </row>
    <row r="8" spans="1:38" ht="15.5" x14ac:dyDescent="0.35">
      <c r="A8" s="194"/>
      <c r="B8" s="5"/>
      <c r="C8" s="5"/>
      <c r="D8" s="74"/>
      <c r="E8" s="54" t="s">
        <v>141</v>
      </c>
      <c r="F8" s="54"/>
      <c r="G8" s="4"/>
      <c r="H8" s="4"/>
      <c r="I8" s="4"/>
      <c r="J8" s="319"/>
      <c r="K8" s="74"/>
      <c r="L8" s="54"/>
      <c r="M8" s="5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24"/>
      <c r="AA8" s="4"/>
      <c r="AB8" s="4"/>
      <c r="AC8" s="4"/>
      <c r="AD8" s="4"/>
      <c r="AE8" s="4"/>
      <c r="AF8" s="4"/>
      <c r="AG8" s="4"/>
      <c r="AH8" s="4"/>
      <c r="AI8" s="5"/>
      <c r="AJ8" s="4"/>
      <c r="AK8" s="238"/>
      <c r="AL8" s="1"/>
    </row>
    <row r="9" spans="1:38" ht="16" thickBot="1" x14ac:dyDescent="0.4">
      <c r="A9" s="194"/>
      <c r="B9" s="5"/>
      <c r="C9" s="5"/>
      <c r="D9" s="74"/>
      <c r="E9" s="54"/>
      <c r="F9" s="54"/>
      <c r="G9" s="4"/>
      <c r="H9" s="4"/>
      <c r="I9" s="4"/>
      <c r="J9" s="4"/>
      <c r="K9" s="74"/>
      <c r="L9" s="54"/>
      <c r="M9" s="5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/>
      <c r="AJ9" s="4"/>
      <c r="AK9" s="238"/>
      <c r="AL9" s="1"/>
    </row>
    <row r="10" spans="1:38" s="33" customFormat="1" ht="15.75" customHeight="1" thickBot="1" x14ac:dyDescent="0.4">
      <c r="A10" s="1011" t="s">
        <v>1</v>
      </c>
      <c r="B10" s="984" t="s">
        <v>2</v>
      </c>
      <c r="C10" s="991" t="s">
        <v>3</v>
      </c>
      <c r="D10" s="984" t="s">
        <v>128</v>
      </c>
      <c r="E10" s="994" t="s">
        <v>118</v>
      </c>
      <c r="F10" s="995"/>
      <c r="G10" s="996"/>
      <c r="H10" s="984" t="s">
        <v>4</v>
      </c>
      <c r="I10" s="984"/>
      <c r="J10" s="984" t="s">
        <v>5</v>
      </c>
      <c r="K10" s="984"/>
      <c r="L10" s="984" t="s">
        <v>6</v>
      </c>
      <c r="M10" s="984"/>
      <c r="N10" s="984" t="s">
        <v>127</v>
      </c>
      <c r="O10" s="984" t="s">
        <v>7</v>
      </c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5"/>
      <c r="AE10" s="1002" t="s">
        <v>137</v>
      </c>
      <c r="AF10" s="1003"/>
      <c r="AG10" s="984" t="s">
        <v>15</v>
      </c>
      <c r="AH10" s="984" t="s">
        <v>96</v>
      </c>
      <c r="AI10" s="108" t="s">
        <v>66</v>
      </c>
      <c r="AJ10" s="340" t="s">
        <v>8</v>
      </c>
      <c r="AK10" s="239" t="s">
        <v>9</v>
      </c>
      <c r="AL10" s="26" t="s">
        <v>10</v>
      </c>
    </row>
    <row r="11" spans="1:38" s="86" customFormat="1" ht="25.5" customHeight="1" thickBot="1" x14ac:dyDescent="0.4">
      <c r="A11" s="1012"/>
      <c r="B11" s="987"/>
      <c r="C11" s="992"/>
      <c r="D11" s="987"/>
      <c r="E11" s="479" t="s">
        <v>119</v>
      </c>
      <c r="F11" s="479" t="s">
        <v>120</v>
      </c>
      <c r="G11" s="51" t="s">
        <v>117</v>
      </c>
      <c r="H11" s="984" t="s">
        <v>11</v>
      </c>
      <c r="I11" s="984" t="s">
        <v>12</v>
      </c>
      <c r="J11" s="984" t="s">
        <v>11</v>
      </c>
      <c r="K11" s="984" t="s">
        <v>12</v>
      </c>
      <c r="L11" s="984" t="s">
        <v>11</v>
      </c>
      <c r="M11" s="984" t="s">
        <v>12</v>
      </c>
      <c r="N11" s="987"/>
      <c r="O11" s="1014" t="s">
        <v>13</v>
      </c>
      <c r="P11" s="1014"/>
      <c r="Q11" s="1014"/>
      <c r="R11" s="1014"/>
      <c r="S11" s="1014"/>
      <c r="T11" s="984" t="s">
        <v>14</v>
      </c>
      <c r="U11" s="984"/>
      <c r="V11" s="984"/>
      <c r="W11" s="984"/>
      <c r="X11" s="984"/>
      <c r="Y11" s="1014" t="s">
        <v>23</v>
      </c>
      <c r="Z11" s="1014"/>
      <c r="AA11" s="1014"/>
      <c r="AB11" s="1014"/>
      <c r="AC11" s="1014"/>
      <c r="AD11" s="1015"/>
      <c r="AE11" s="1016"/>
      <c r="AF11" s="1017"/>
      <c r="AG11" s="987"/>
      <c r="AH11" s="987"/>
      <c r="AI11" s="109" t="s">
        <v>24</v>
      </c>
      <c r="AJ11" s="341" t="s">
        <v>16</v>
      </c>
      <c r="AK11" s="240" t="s">
        <v>129</v>
      </c>
      <c r="AL11" s="28" t="s">
        <v>17</v>
      </c>
    </row>
    <row r="12" spans="1:38" s="86" customFormat="1" ht="19.5" customHeight="1" thickBot="1" x14ac:dyDescent="0.4">
      <c r="A12" s="1013"/>
      <c r="B12" s="986"/>
      <c r="C12" s="993"/>
      <c r="D12" s="986"/>
      <c r="E12" s="480"/>
      <c r="F12" s="481"/>
      <c r="G12" s="29"/>
      <c r="H12" s="986"/>
      <c r="I12" s="986"/>
      <c r="J12" s="986"/>
      <c r="K12" s="986"/>
      <c r="L12" s="986"/>
      <c r="M12" s="986"/>
      <c r="N12" s="986"/>
      <c r="O12" s="579" t="s">
        <v>18</v>
      </c>
      <c r="P12" s="579" t="s">
        <v>19</v>
      </c>
      <c r="Q12" s="579" t="s">
        <v>20</v>
      </c>
      <c r="R12" s="579" t="s">
        <v>21</v>
      </c>
      <c r="S12" s="579" t="s">
        <v>22</v>
      </c>
      <c r="T12" s="579" t="s">
        <v>18</v>
      </c>
      <c r="U12" s="579" t="s">
        <v>19</v>
      </c>
      <c r="V12" s="579" t="s">
        <v>20</v>
      </c>
      <c r="W12" s="579" t="s">
        <v>21</v>
      </c>
      <c r="X12" s="579" t="s">
        <v>22</v>
      </c>
      <c r="Y12" s="579" t="s">
        <v>18</v>
      </c>
      <c r="Z12" s="579" t="s">
        <v>19</v>
      </c>
      <c r="AA12" s="579" t="s">
        <v>20</v>
      </c>
      <c r="AB12" s="579" t="s">
        <v>21</v>
      </c>
      <c r="AC12" s="579" t="s">
        <v>22</v>
      </c>
      <c r="AD12" s="580" t="s">
        <v>23</v>
      </c>
      <c r="AE12" s="581" t="s">
        <v>175</v>
      </c>
      <c r="AF12" s="403" t="s">
        <v>176</v>
      </c>
      <c r="AG12" s="986"/>
      <c r="AH12" s="986"/>
      <c r="AI12" s="401" t="s">
        <v>67</v>
      </c>
      <c r="AJ12" s="342" t="s">
        <v>25</v>
      </c>
      <c r="AK12" s="582" t="s">
        <v>130</v>
      </c>
      <c r="AL12" s="24"/>
    </row>
    <row r="13" spans="1:38" s="204" customFormat="1" ht="15" customHeight="1" x14ac:dyDescent="0.3">
      <c r="A13" s="548">
        <v>9061519</v>
      </c>
      <c r="B13" s="549" t="s">
        <v>169</v>
      </c>
      <c r="C13" s="549" t="s">
        <v>172</v>
      </c>
      <c r="D13" s="323" t="s">
        <v>286</v>
      </c>
      <c r="E13" s="571" t="s">
        <v>195</v>
      </c>
      <c r="F13" s="571" t="s">
        <v>196</v>
      </c>
      <c r="G13" s="489" t="s">
        <v>117</v>
      </c>
      <c r="H13" s="489">
        <v>1</v>
      </c>
      <c r="I13" s="489">
        <v>100</v>
      </c>
      <c r="J13" s="489">
        <v>1</v>
      </c>
      <c r="K13" s="489">
        <v>200</v>
      </c>
      <c r="L13" s="489">
        <v>1</v>
      </c>
      <c r="M13" s="489">
        <v>930</v>
      </c>
      <c r="N13" s="572" t="s">
        <v>19</v>
      </c>
      <c r="O13" s="537"/>
      <c r="P13" s="538">
        <v>2</v>
      </c>
      <c r="Q13" s="538"/>
      <c r="R13" s="538"/>
      <c r="S13" s="573"/>
      <c r="T13" s="574"/>
      <c r="U13" s="538"/>
      <c r="V13" s="538"/>
      <c r="W13" s="538"/>
      <c r="X13" s="573"/>
      <c r="Y13" s="537"/>
      <c r="Z13" s="538">
        <v>2</v>
      </c>
      <c r="AA13" s="538"/>
      <c r="AB13" s="538"/>
      <c r="AC13" s="539"/>
      <c r="AD13" s="540">
        <v>2</v>
      </c>
      <c r="AE13" s="514" t="s">
        <v>159</v>
      </c>
      <c r="AF13" s="515" t="s">
        <v>159</v>
      </c>
      <c r="AG13" s="517" t="s">
        <v>115</v>
      </c>
      <c r="AH13" s="575" t="s">
        <v>78</v>
      </c>
      <c r="AI13" s="576" t="s">
        <v>150</v>
      </c>
      <c r="AJ13" s="577" t="s">
        <v>156</v>
      </c>
      <c r="AK13" s="578">
        <v>3900</v>
      </c>
      <c r="AL13" s="573" t="s">
        <v>168</v>
      </c>
    </row>
    <row r="14" spans="1:38" s="227" customFormat="1" ht="14.25" customHeight="1" x14ac:dyDescent="0.3">
      <c r="A14" s="138">
        <v>10065019</v>
      </c>
      <c r="B14" s="125" t="s">
        <v>173</v>
      </c>
      <c r="C14" s="125" t="s">
        <v>551</v>
      </c>
      <c r="D14" s="128" t="s">
        <v>174</v>
      </c>
      <c r="E14" s="601" t="s">
        <v>307</v>
      </c>
      <c r="F14" s="97" t="s">
        <v>306</v>
      </c>
      <c r="G14" s="95" t="s">
        <v>117</v>
      </c>
      <c r="H14" s="95">
        <v>1</v>
      </c>
      <c r="I14" s="95">
        <v>1510</v>
      </c>
      <c r="J14" s="95">
        <v>1</v>
      </c>
      <c r="K14" s="95">
        <v>1550</v>
      </c>
      <c r="L14" s="95">
        <v>1</v>
      </c>
      <c r="M14" s="95">
        <v>2330</v>
      </c>
      <c r="N14" s="494"/>
      <c r="O14" s="390"/>
      <c r="P14" s="99"/>
      <c r="Q14" s="99"/>
      <c r="R14" s="99"/>
      <c r="S14" s="200"/>
      <c r="T14" s="407"/>
      <c r="U14" s="99"/>
      <c r="V14" s="99"/>
      <c r="W14" s="99"/>
      <c r="X14" s="200">
        <v>8.5</v>
      </c>
      <c r="Y14" s="390"/>
      <c r="Z14" s="99"/>
      <c r="AA14" s="99"/>
      <c r="AB14" s="99"/>
      <c r="AC14" s="415">
        <v>8.5</v>
      </c>
      <c r="AD14" s="507">
        <v>8.5</v>
      </c>
      <c r="AE14" s="516" t="s">
        <v>148</v>
      </c>
      <c r="AF14" s="397" t="s">
        <v>149</v>
      </c>
      <c r="AG14" s="370" t="s">
        <v>115</v>
      </c>
      <c r="AH14" s="325" t="s">
        <v>78</v>
      </c>
      <c r="AI14" s="151" t="s">
        <v>150</v>
      </c>
      <c r="AJ14" s="373" t="s">
        <v>156</v>
      </c>
      <c r="AK14" s="179">
        <v>430000</v>
      </c>
      <c r="AL14" s="200"/>
    </row>
    <row r="15" spans="1:38" s="227" customFormat="1" ht="16" customHeight="1" x14ac:dyDescent="0.3">
      <c r="A15" s="171">
        <v>11062019</v>
      </c>
      <c r="B15" s="225" t="s">
        <v>197</v>
      </c>
      <c r="C15" s="225" t="s">
        <v>197</v>
      </c>
      <c r="D15" s="323" t="s">
        <v>198</v>
      </c>
      <c r="E15" s="322" t="s">
        <v>379</v>
      </c>
      <c r="F15" s="97" t="s">
        <v>380</v>
      </c>
      <c r="G15" s="164" t="s">
        <v>117</v>
      </c>
      <c r="H15" s="96">
        <v>4</v>
      </c>
      <c r="I15" s="96">
        <v>1500</v>
      </c>
      <c r="J15" s="96">
        <v>4</v>
      </c>
      <c r="K15" s="96">
        <v>1520</v>
      </c>
      <c r="L15" s="96">
        <v>4</v>
      </c>
      <c r="M15" s="96">
        <v>2040</v>
      </c>
      <c r="N15" s="495" t="s">
        <v>45</v>
      </c>
      <c r="O15" s="390">
        <v>30</v>
      </c>
      <c r="P15" s="99"/>
      <c r="Q15" s="99">
        <v>13</v>
      </c>
      <c r="R15" s="99"/>
      <c r="S15" s="200">
        <v>2</v>
      </c>
      <c r="T15" s="407"/>
      <c r="U15" s="99"/>
      <c r="V15" s="99"/>
      <c r="W15" s="99"/>
      <c r="X15" s="200"/>
      <c r="Y15" s="390">
        <v>30</v>
      </c>
      <c r="Z15" s="99"/>
      <c r="AA15" s="99">
        <v>13</v>
      </c>
      <c r="AB15" s="99"/>
      <c r="AC15" s="415">
        <v>2</v>
      </c>
      <c r="AD15" s="507">
        <v>45</v>
      </c>
      <c r="AE15" s="396" t="s">
        <v>159</v>
      </c>
      <c r="AF15" s="396" t="s">
        <v>159</v>
      </c>
      <c r="AG15" s="370" t="s">
        <v>115</v>
      </c>
      <c r="AH15" s="226" t="s">
        <v>79</v>
      </c>
      <c r="AI15" s="151" t="s">
        <v>162</v>
      </c>
      <c r="AJ15" s="373" t="s">
        <v>156</v>
      </c>
      <c r="AK15" s="179">
        <v>203900</v>
      </c>
      <c r="AL15" s="200" t="s">
        <v>168</v>
      </c>
    </row>
    <row r="16" spans="1:38" s="227" customFormat="1" ht="16" customHeight="1" x14ac:dyDescent="0.3">
      <c r="A16" s="138">
        <v>12062519</v>
      </c>
      <c r="B16" s="125" t="s">
        <v>169</v>
      </c>
      <c r="C16" s="482" t="s">
        <v>199</v>
      </c>
      <c r="D16" s="128" t="s">
        <v>200</v>
      </c>
      <c r="E16" s="497" t="s">
        <v>407</v>
      </c>
      <c r="F16" s="370" t="s">
        <v>210</v>
      </c>
      <c r="G16" s="95" t="s">
        <v>117</v>
      </c>
      <c r="H16" s="96">
        <v>6</v>
      </c>
      <c r="I16" s="96">
        <v>1200</v>
      </c>
      <c r="J16" s="96">
        <v>6</v>
      </c>
      <c r="K16" s="96">
        <v>1245</v>
      </c>
      <c r="L16" s="96">
        <v>8</v>
      </c>
      <c r="M16" s="96">
        <v>1000</v>
      </c>
      <c r="N16" s="495" t="s">
        <v>201</v>
      </c>
      <c r="O16" s="390"/>
      <c r="P16" s="99"/>
      <c r="Q16" s="99"/>
      <c r="R16" s="99"/>
      <c r="S16" s="200"/>
      <c r="T16" s="390">
        <v>70</v>
      </c>
      <c r="U16" s="99"/>
      <c r="V16" s="99">
        <v>10</v>
      </c>
      <c r="W16" s="99"/>
      <c r="X16" s="200"/>
      <c r="Y16" s="390">
        <v>70</v>
      </c>
      <c r="Z16" s="99"/>
      <c r="AA16" s="99">
        <v>10</v>
      </c>
      <c r="AB16" s="99"/>
      <c r="AC16" s="415"/>
      <c r="AD16" s="507">
        <v>80</v>
      </c>
      <c r="AE16" s="514" t="s">
        <v>202</v>
      </c>
      <c r="AF16" s="514" t="s">
        <v>203</v>
      </c>
      <c r="AG16" s="370" t="s">
        <v>115</v>
      </c>
      <c r="AH16" s="226" t="s">
        <v>80</v>
      </c>
      <c r="AI16" s="151" t="s">
        <v>179</v>
      </c>
      <c r="AJ16" s="373" t="s">
        <v>156</v>
      </c>
      <c r="AK16" s="179">
        <v>19520300</v>
      </c>
      <c r="AL16" s="200" t="s">
        <v>204</v>
      </c>
    </row>
    <row r="17" spans="1:38" s="227" customFormat="1" ht="16" customHeight="1" x14ac:dyDescent="0.3">
      <c r="A17" s="123">
        <v>13061919</v>
      </c>
      <c r="B17" s="225" t="s">
        <v>205</v>
      </c>
      <c r="C17" s="98" t="s">
        <v>206</v>
      </c>
      <c r="D17" s="128" t="s">
        <v>207</v>
      </c>
      <c r="E17" s="97" t="s">
        <v>402</v>
      </c>
      <c r="F17" s="97" t="s">
        <v>401</v>
      </c>
      <c r="G17" s="95" t="s">
        <v>367</v>
      </c>
      <c r="H17" s="96">
        <v>8</v>
      </c>
      <c r="I17" s="96">
        <v>2000</v>
      </c>
      <c r="J17" s="96">
        <v>8</v>
      </c>
      <c r="K17" s="96">
        <v>2100</v>
      </c>
      <c r="L17" s="96">
        <v>8</v>
      </c>
      <c r="M17" s="96">
        <v>2250</v>
      </c>
      <c r="N17" s="495" t="s">
        <v>20</v>
      </c>
      <c r="O17" s="390"/>
      <c r="P17" s="99"/>
      <c r="Q17" s="99">
        <v>1</v>
      </c>
      <c r="R17" s="99"/>
      <c r="S17" s="200"/>
      <c r="T17" s="407"/>
      <c r="U17" s="99"/>
      <c r="V17" s="99"/>
      <c r="W17" s="99"/>
      <c r="X17" s="200"/>
      <c r="Y17" s="390"/>
      <c r="Z17" s="99"/>
      <c r="AA17" s="99">
        <v>1</v>
      </c>
      <c r="AB17" s="99"/>
      <c r="AC17" s="415"/>
      <c r="AD17" s="507">
        <v>1</v>
      </c>
      <c r="AE17" s="516" t="s">
        <v>148</v>
      </c>
      <c r="AF17" s="519" t="s">
        <v>209</v>
      </c>
      <c r="AG17" s="370" t="s">
        <v>115</v>
      </c>
      <c r="AH17" s="226" t="s">
        <v>79</v>
      </c>
      <c r="AI17" s="151" t="s">
        <v>162</v>
      </c>
      <c r="AJ17" s="373" t="s">
        <v>208</v>
      </c>
      <c r="AK17" s="179">
        <v>300</v>
      </c>
      <c r="AL17" s="200"/>
    </row>
    <row r="18" spans="1:38" s="227" customFormat="1" ht="16" customHeight="1" x14ac:dyDescent="0.3">
      <c r="A18" s="483">
        <v>14061719</v>
      </c>
      <c r="B18" s="484" t="s">
        <v>211</v>
      </c>
      <c r="C18" s="484" t="s">
        <v>211</v>
      </c>
      <c r="D18" s="376" t="s">
        <v>212</v>
      </c>
      <c r="E18" s="497" t="s">
        <v>408</v>
      </c>
      <c r="F18" s="370" t="s">
        <v>287</v>
      </c>
      <c r="G18" s="95" t="s">
        <v>117</v>
      </c>
      <c r="H18" s="96">
        <v>11</v>
      </c>
      <c r="I18" s="96">
        <v>1650</v>
      </c>
      <c r="J18" s="96">
        <v>11</v>
      </c>
      <c r="K18" s="96">
        <v>1730</v>
      </c>
      <c r="L18" s="96">
        <v>11</v>
      </c>
      <c r="M18" s="96">
        <v>2030</v>
      </c>
      <c r="N18" s="382" t="s">
        <v>19</v>
      </c>
      <c r="O18" s="390"/>
      <c r="P18" s="99">
        <v>1.5</v>
      </c>
      <c r="Q18" s="99"/>
      <c r="R18" s="99"/>
      <c r="S18" s="200"/>
      <c r="T18" s="407"/>
      <c r="U18" s="99"/>
      <c r="V18" s="99"/>
      <c r="W18" s="99"/>
      <c r="X18" s="200">
        <v>0.5</v>
      </c>
      <c r="Y18" s="390"/>
      <c r="Z18" s="99">
        <v>1.5</v>
      </c>
      <c r="AA18" s="99"/>
      <c r="AB18" s="99"/>
      <c r="AC18" s="415">
        <v>0.5</v>
      </c>
      <c r="AD18" s="507">
        <v>2</v>
      </c>
      <c r="AE18" s="514" t="s">
        <v>409</v>
      </c>
      <c r="AF18" s="515" t="s">
        <v>410</v>
      </c>
      <c r="AG18" s="370" t="s">
        <v>114</v>
      </c>
      <c r="AH18" s="325" t="s">
        <v>78</v>
      </c>
      <c r="AI18" s="151" t="s">
        <v>162</v>
      </c>
      <c r="AJ18" s="373" t="s">
        <v>151</v>
      </c>
      <c r="AK18" s="179">
        <v>25400</v>
      </c>
      <c r="AL18" s="200" t="s">
        <v>168</v>
      </c>
    </row>
    <row r="19" spans="1:38" s="227" customFormat="1" ht="16" customHeight="1" x14ac:dyDescent="0.3">
      <c r="A19" s="126">
        <v>15063519</v>
      </c>
      <c r="B19" s="104" t="s">
        <v>213</v>
      </c>
      <c r="C19" s="104" t="s">
        <v>214</v>
      </c>
      <c r="D19" s="486" t="s">
        <v>215</v>
      </c>
      <c r="E19" s="97" t="s">
        <v>326</v>
      </c>
      <c r="F19" s="97" t="s">
        <v>327</v>
      </c>
      <c r="G19" s="95" t="s">
        <v>117</v>
      </c>
      <c r="H19" s="96">
        <v>12</v>
      </c>
      <c r="I19" s="96">
        <v>1800</v>
      </c>
      <c r="J19" s="96">
        <v>12</v>
      </c>
      <c r="K19" s="96">
        <v>1900</v>
      </c>
      <c r="L19" s="96">
        <v>12</v>
      </c>
      <c r="M19" s="96">
        <v>2000</v>
      </c>
      <c r="N19" s="495" t="s">
        <v>20</v>
      </c>
      <c r="O19" s="390"/>
      <c r="P19" s="99"/>
      <c r="Q19" s="99">
        <v>3</v>
      </c>
      <c r="R19" s="99"/>
      <c r="S19" s="200"/>
      <c r="T19" s="408"/>
      <c r="U19" s="167"/>
      <c r="V19" s="167"/>
      <c r="W19" s="167"/>
      <c r="X19" s="357"/>
      <c r="Y19" s="391"/>
      <c r="Z19" s="167"/>
      <c r="AA19" s="167">
        <v>3</v>
      </c>
      <c r="AB19" s="167"/>
      <c r="AC19" s="416"/>
      <c r="AD19" s="508">
        <v>3</v>
      </c>
      <c r="AE19" s="514" t="s">
        <v>159</v>
      </c>
      <c r="AF19" s="515" t="s">
        <v>159</v>
      </c>
      <c r="AG19" s="370" t="s">
        <v>115</v>
      </c>
      <c r="AH19" s="325" t="s">
        <v>78</v>
      </c>
      <c r="AI19" s="151" t="s">
        <v>150</v>
      </c>
      <c r="AJ19" s="373" t="s">
        <v>216</v>
      </c>
      <c r="AK19" s="179">
        <v>900</v>
      </c>
      <c r="AL19" s="200" t="s">
        <v>168</v>
      </c>
    </row>
    <row r="20" spans="1:38" s="227" customFormat="1" ht="16" customHeight="1" x14ac:dyDescent="0.3">
      <c r="A20" s="483">
        <v>16061719</v>
      </c>
      <c r="B20" s="484" t="s">
        <v>211</v>
      </c>
      <c r="C20" s="484" t="s">
        <v>211</v>
      </c>
      <c r="D20" s="376" t="s">
        <v>212</v>
      </c>
      <c r="E20" s="525" t="s">
        <v>419</v>
      </c>
      <c r="F20" s="522" t="s">
        <v>287</v>
      </c>
      <c r="G20" s="95" t="s">
        <v>117</v>
      </c>
      <c r="H20" s="96">
        <v>12</v>
      </c>
      <c r="I20" s="96">
        <v>1100</v>
      </c>
      <c r="J20" s="96">
        <v>12</v>
      </c>
      <c r="K20" s="96">
        <v>1700</v>
      </c>
      <c r="L20" s="96">
        <v>13</v>
      </c>
      <c r="M20" s="96">
        <v>1200</v>
      </c>
      <c r="N20" s="523" t="s">
        <v>45</v>
      </c>
      <c r="O20" s="390">
        <v>1.5</v>
      </c>
      <c r="P20" s="99">
        <v>4</v>
      </c>
      <c r="Q20" s="99">
        <v>0.5</v>
      </c>
      <c r="R20" s="99"/>
      <c r="S20" s="200"/>
      <c r="T20" s="408"/>
      <c r="U20" s="167"/>
      <c r="V20" s="167"/>
      <c r="W20" s="167"/>
      <c r="X20" s="357"/>
      <c r="Y20" s="391">
        <v>1.5</v>
      </c>
      <c r="Z20" s="167">
        <v>4</v>
      </c>
      <c r="AA20" s="167">
        <v>0.5</v>
      </c>
      <c r="AB20" s="167"/>
      <c r="AC20" s="416"/>
      <c r="AD20" s="508">
        <v>6</v>
      </c>
      <c r="AE20" s="514" t="s">
        <v>159</v>
      </c>
      <c r="AF20" s="515" t="s">
        <v>159</v>
      </c>
      <c r="AG20" s="522" t="s">
        <v>115</v>
      </c>
      <c r="AH20" s="524" t="s">
        <v>78</v>
      </c>
      <c r="AI20" s="151" t="s">
        <v>150</v>
      </c>
      <c r="AJ20" s="373" t="s">
        <v>151</v>
      </c>
      <c r="AK20" s="179">
        <v>305980</v>
      </c>
      <c r="AL20" s="200" t="s">
        <v>168</v>
      </c>
    </row>
    <row r="21" spans="1:38" s="227" customFormat="1" ht="16" customHeight="1" x14ac:dyDescent="0.3">
      <c r="A21" s="483">
        <v>17061719</v>
      </c>
      <c r="B21" s="484" t="s">
        <v>211</v>
      </c>
      <c r="C21" s="484" t="s">
        <v>211</v>
      </c>
      <c r="D21" s="376" t="s">
        <v>224</v>
      </c>
      <c r="E21" s="521" t="s">
        <v>418</v>
      </c>
      <c r="F21" s="522" t="s">
        <v>288</v>
      </c>
      <c r="G21" s="95" t="s">
        <v>117</v>
      </c>
      <c r="H21" s="96">
        <v>13</v>
      </c>
      <c r="I21" s="96">
        <v>1300</v>
      </c>
      <c r="J21" s="96">
        <v>13</v>
      </c>
      <c r="K21" s="96">
        <v>1305</v>
      </c>
      <c r="L21" s="96">
        <v>13</v>
      </c>
      <c r="M21" s="96">
        <v>2100</v>
      </c>
      <c r="N21" s="523" t="s">
        <v>19</v>
      </c>
      <c r="O21" s="390"/>
      <c r="P21" s="99">
        <v>1</v>
      </c>
      <c r="Q21" s="99"/>
      <c r="R21" s="99"/>
      <c r="S21" s="200"/>
      <c r="T21" s="408"/>
      <c r="U21" s="167"/>
      <c r="V21" s="167"/>
      <c r="W21" s="167"/>
      <c r="X21" s="357"/>
      <c r="Y21" s="391"/>
      <c r="Z21" s="167">
        <v>1</v>
      </c>
      <c r="AA21" s="167"/>
      <c r="AB21" s="167"/>
      <c r="AC21" s="416"/>
      <c r="AD21" s="508">
        <v>1</v>
      </c>
      <c r="AE21" s="514" t="s">
        <v>159</v>
      </c>
      <c r="AF21" s="515" t="s">
        <v>159</v>
      </c>
      <c r="AG21" s="522" t="s">
        <v>115</v>
      </c>
      <c r="AH21" s="524" t="s">
        <v>78</v>
      </c>
      <c r="AI21" s="151" t="s">
        <v>150</v>
      </c>
      <c r="AJ21" s="373" t="s">
        <v>151</v>
      </c>
      <c r="AK21" s="179">
        <v>3900</v>
      </c>
      <c r="AL21" s="200" t="s">
        <v>168</v>
      </c>
    </row>
    <row r="22" spans="1:38" s="227" customFormat="1" ht="16" customHeight="1" x14ac:dyDescent="0.3">
      <c r="A22" s="126">
        <v>18061819</v>
      </c>
      <c r="B22" s="125" t="s">
        <v>205</v>
      </c>
      <c r="C22" s="142" t="s">
        <v>217</v>
      </c>
      <c r="D22" s="485" t="s">
        <v>218</v>
      </c>
      <c r="E22" s="521" t="s">
        <v>417</v>
      </c>
      <c r="F22" s="522" t="s">
        <v>368</v>
      </c>
      <c r="G22" s="95" t="s">
        <v>367</v>
      </c>
      <c r="H22" s="96">
        <v>13</v>
      </c>
      <c r="I22" s="96">
        <v>1210</v>
      </c>
      <c r="J22" s="96">
        <v>13</v>
      </c>
      <c r="K22" s="96">
        <v>1230</v>
      </c>
      <c r="L22" s="96">
        <v>13</v>
      </c>
      <c r="M22" s="96">
        <v>1500</v>
      </c>
      <c r="N22" s="495" t="s">
        <v>20</v>
      </c>
      <c r="O22" s="390"/>
      <c r="P22" s="99"/>
      <c r="Q22" s="99"/>
      <c r="R22" s="99"/>
      <c r="S22" s="200"/>
      <c r="T22" s="408"/>
      <c r="U22" s="167"/>
      <c r="V22" s="167">
        <v>2</v>
      </c>
      <c r="W22" s="167"/>
      <c r="X22" s="357">
        <v>1</v>
      </c>
      <c r="Y22" s="391"/>
      <c r="Z22" s="167"/>
      <c r="AA22" s="167">
        <v>2</v>
      </c>
      <c r="AB22" s="167"/>
      <c r="AC22" s="416">
        <v>1</v>
      </c>
      <c r="AD22" s="508">
        <v>3</v>
      </c>
      <c r="AE22" s="514" t="s">
        <v>159</v>
      </c>
      <c r="AF22" s="514" t="s">
        <v>159</v>
      </c>
      <c r="AG22" s="370" t="s">
        <v>115</v>
      </c>
      <c r="AH22" s="325" t="s">
        <v>78</v>
      </c>
      <c r="AI22" s="151" t="s">
        <v>150</v>
      </c>
      <c r="AJ22" s="373" t="s">
        <v>151</v>
      </c>
      <c r="AK22" s="179">
        <v>100600</v>
      </c>
      <c r="AL22" s="200"/>
    </row>
    <row r="23" spans="1:38" s="227" customFormat="1" ht="16" customHeight="1" x14ac:dyDescent="0.3">
      <c r="A23" s="138">
        <v>19064819</v>
      </c>
      <c r="B23" s="125" t="s">
        <v>219</v>
      </c>
      <c r="C23" s="125" t="s">
        <v>220</v>
      </c>
      <c r="D23" s="143" t="s">
        <v>257</v>
      </c>
      <c r="E23" s="97" t="s">
        <v>580</v>
      </c>
      <c r="F23" s="97" t="s">
        <v>581</v>
      </c>
      <c r="G23" s="95" t="s">
        <v>117</v>
      </c>
      <c r="H23" s="96">
        <v>13</v>
      </c>
      <c r="I23" s="96">
        <v>1450</v>
      </c>
      <c r="J23" s="96">
        <v>13</v>
      </c>
      <c r="K23" s="96">
        <v>1450</v>
      </c>
      <c r="L23" s="96">
        <v>13</v>
      </c>
      <c r="M23" s="96">
        <v>2130</v>
      </c>
      <c r="N23" s="495" t="s">
        <v>20</v>
      </c>
      <c r="O23" s="390"/>
      <c r="P23" s="99"/>
      <c r="Q23" s="99">
        <v>5</v>
      </c>
      <c r="R23" s="99"/>
      <c r="S23" s="200"/>
      <c r="T23" s="408"/>
      <c r="U23" s="167"/>
      <c r="V23" s="167">
        <v>3</v>
      </c>
      <c r="W23" s="167"/>
      <c r="X23" s="357"/>
      <c r="Y23" s="391"/>
      <c r="Z23" s="167"/>
      <c r="AA23" s="167">
        <v>8</v>
      </c>
      <c r="AB23" s="167"/>
      <c r="AC23" s="416"/>
      <c r="AD23" s="508">
        <v>8</v>
      </c>
      <c r="AE23" s="516" t="s">
        <v>148</v>
      </c>
      <c r="AF23" s="397" t="s">
        <v>149</v>
      </c>
      <c r="AG23" s="370" t="s">
        <v>115</v>
      </c>
      <c r="AH23" s="325" t="s">
        <v>29</v>
      </c>
      <c r="AI23" s="151" t="s">
        <v>150</v>
      </c>
      <c r="AJ23" s="373" t="s">
        <v>151</v>
      </c>
      <c r="AK23" s="179">
        <v>2400</v>
      </c>
      <c r="AL23" s="200" t="s">
        <v>168</v>
      </c>
    </row>
    <row r="24" spans="1:38" s="227" customFormat="1" ht="16" customHeight="1" x14ac:dyDescent="0.3">
      <c r="A24" s="138">
        <v>20064219</v>
      </c>
      <c r="B24" s="125" t="s">
        <v>221</v>
      </c>
      <c r="C24" s="125" t="s">
        <v>222</v>
      </c>
      <c r="D24" s="485" t="s">
        <v>223</v>
      </c>
      <c r="E24" s="322" t="s">
        <v>304</v>
      </c>
      <c r="F24" s="97" t="s">
        <v>305</v>
      </c>
      <c r="G24" s="95" t="s">
        <v>117</v>
      </c>
      <c r="H24" s="96">
        <v>13</v>
      </c>
      <c r="I24" s="96">
        <v>1600</v>
      </c>
      <c r="J24" s="96">
        <v>13</v>
      </c>
      <c r="K24" s="96">
        <v>1620</v>
      </c>
      <c r="L24" s="96">
        <v>13</v>
      </c>
      <c r="M24" s="96">
        <v>2100</v>
      </c>
      <c r="N24" s="495" t="s">
        <v>20</v>
      </c>
      <c r="O24" s="390"/>
      <c r="P24" s="99"/>
      <c r="Q24" s="99"/>
      <c r="R24" s="99"/>
      <c r="S24" s="200"/>
      <c r="T24" s="408"/>
      <c r="U24" s="167"/>
      <c r="V24" s="167">
        <v>8</v>
      </c>
      <c r="W24" s="167"/>
      <c r="X24" s="357"/>
      <c r="Y24" s="391"/>
      <c r="Z24" s="167"/>
      <c r="AA24" s="167">
        <v>8</v>
      </c>
      <c r="AB24" s="167"/>
      <c r="AC24" s="416"/>
      <c r="AD24" s="508">
        <v>8</v>
      </c>
      <c r="AE24" s="516" t="s">
        <v>148</v>
      </c>
      <c r="AF24" s="397" t="s">
        <v>149</v>
      </c>
      <c r="AG24" s="370" t="s">
        <v>115</v>
      </c>
      <c r="AH24" s="226" t="s">
        <v>79</v>
      </c>
      <c r="AI24" s="151" t="s">
        <v>150</v>
      </c>
      <c r="AJ24" s="373" t="s">
        <v>156</v>
      </c>
      <c r="AK24" s="179">
        <v>2400</v>
      </c>
      <c r="AL24" s="200"/>
    </row>
    <row r="25" spans="1:38" s="227" customFormat="1" ht="16" customHeight="1" x14ac:dyDescent="0.3">
      <c r="A25" s="138">
        <v>21064919</v>
      </c>
      <c r="B25" s="125" t="s">
        <v>225</v>
      </c>
      <c r="C25" s="125" t="s">
        <v>226</v>
      </c>
      <c r="D25" s="355" t="s">
        <v>227</v>
      </c>
      <c r="E25" s="97" t="s">
        <v>339</v>
      </c>
      <c r="F25" s="97" t="s">
        <v>340</v>
      </c>
      <c r="G25" s="95" t="s">
        <v>117</v>
      </c>
      <c r="H25" s="96">
        <v>14</v>
      </c>
      <c r="I25" s="96">
        <v>1600</v>
      </c>
      <c r="J25" s="96">
        <v>14</v>
      </c>
      <c r="K25" s="96"/>
      <c r="L25" s="96">
        <v>14</v>
      </c>
      <c r="M25" s="96">
        <v>2340</v>
      </c>
      <c r="N25" s="495" t="s">
        <v>233</v>
      </c>
      <c r="O25" s="390">
        <v>5</v>
      </c>
      <c r="P25" s="99"/>
      <c r="Q25" s="99">
        <v>4</v>
      </c>
      <c r="R25" s="99"/>
      <c r="S25" s="200"/>
      <c r="T25" s="408"/>
      <c r="U25" s="167"/>
      <c r="V25" s="167"/>
      <c r="W25" s="167"/>
      <c r="X25" s="357"/>
      <c r="Y25" s="391">
        <v>5</v>
      </c>
      <c r="Z25" s="167"/>
      <c r="AA25" s="167">
        <v>4</v>
      </c>
      <c r="AB25" s="167"/>
      <c r="AC25" s="416"/>
      <c r="AD25" s="508">
        <v>9</v>
      </c>
      <c r="AE25" s="514" t="s">
        <v>202</v>
      </c>
      <c r="AF25" s="514" t="s">
        <v>228</v>
      </c>
      <c r="AG25" s="370" t="s">
        <v>115</v>
      </c>
      <c r="AH25" s="226" t="s">
        <v>79</v>
      </c>
      <c r="AI25" s="151" t="s">
        <v>150</v>
      </c>
      <c r="AJ25" s="373" t="s">
        <v>151</v>
      </c>
      <c r="AK25" s="179">
        <v>27200</v>
      </c>
      <c r="AL25" s="200" t="s">
        <v>168</v>
      </c>
    </row>
    <row r="26" spans="1:38" s="227" customFormat="1" ht="15" customHeight="1" x14ac:dyDescent="0.3">
      <c r="A26" s="487">
        <v>22064919</v>
      </c>
      <c r="B26" s="125" t="s">
        <v>225</v>
      </c>
      <c r="C26" s="125" t="s">
        <v>226</v>
      </c>
      <c r="D26" s="355" t="s">
        <v>227</v>
      </c>
      <c r="E26" s="97" t="s">
        <v>341</v>
      </c>
      <c r="F26" s="97" t="s">
        <v>342</v>
      </c>
      <c r="G26" s="164" t="s">
        <v>117</v>
      </c>
      <c r="H26" s="489">
        <v>14</v>
      </c>
      <c r="I26" s="489">
        <v>2000</v>
      </c>
      <c r="J26" s="489">
        <v>14</v>
      </c>
      <c r="K26" s="489">
        <v>2140</v>
      </c>
      <c r="L26" s="489">
        <v>14</v>
      </c>
      <c r="M26" s="489">
        <v>420</v>
      </c>
      <c r="N26" s="382" t="s">
        <v>234</v>
      </c>
      <c r="O26" s="390"/>
      <c r="P26" s="99">
        <v>40</v>
      </c>
      <c r="Q26" s="99">
        <v>10</v>
      </c>
      <c r="R26" s="99"/>
      <c r="S26" s="200"/>
      <c r="T26" s="408"/>
      <c r="U26" s="167"/>
      <c r="V26" s="167"/>
      <c r="W26" s="167"/>
      <c r="X26" s="357"/>
      <c r="Y26" s="391"/>
      <c r="Z26" s="167">
        <v>40</v>
      </c>
      <c r="AA26" s="167">
        <v>10</v>
      </c>
      <c r="AB26" s="167"/>
      <c r="AC26" s="416"/>
      <c r="AD26" s="508">
        <v>50</v>
      </c>
      <c r="AE26" s="514" t="s">
        <v>202</v>
      </c>
      <c r="AF26" s="515" t="s">
        <v>228</v>
      </c>
      <c r="AG26" s="490" t="s">
        <v>115</v>
      </c>
      <c r="AH26" s="491" t="s">
        <v>79</v>
      </c>
      <c r="AI26" s="492" t="s">
        <v>150</v>
      </c>
      <c r="AJ26" s="400" t="s">
        <v>216</v>
      </c>
      <c r="AK26" s="182">
        <v>211000</v>
      </c>
      <c r="AL26" s="357" t="s">
        <v>168</v>
      </c>
    </row>
    <row r="27" spans="1:38" s="227" customFormat="1" ht="15" customHeight="1" x14ac:dyDescent="0.3">
      <c r="A27" s="171">
        <v>23062419</v>
      </c>
      <c r="B27" s="493" t="s">
        <v>160</v>
      </c>
      <c r="C27" s="493" t="s">
        <v>230</v>
      </c>
      <c r="D27" s="355" t="s">
        <v>248</v>
      </c>
      <c r="E27" s="97" t="s">
        <v>309</v>
      </c>
      <c r="F27" s="97" t="s">
        <v>308</v>
      </c>
      <c r="G27" s="95" t="s">
        <v>117</v>
      </c>
      <c r="H27" s="95">
        <v>17</v>
      </c>
      <c r="I27" s="95">
        <v>1300</v>
      </c>
      <c r="J27" s="95">
        <v>17</v>
      </c>
      <c r="K27" s="95">
        <v>1330</v>
      </c>
      <c r="L27" s="95">
        <v>17</v>
      </c>
      <c r="M27" s="95">
        <v>1440</v>
      </c>
      <c r="N27" s="382" t="s">
        <v>19</v>
      </c>
      <c r="O27" s="390"/>
      <c r="P27" s="99"/>
      <c r="Q27" s="99"/>
      <c r="R27" s="99"/>
      <c r="S27" s="200"/>
      <c r="T27" s="407"/>
      <c r="U27" s="99">
        <v>3</v>
      </c>
      <c r="V27" s="99"/>
      <c r="W27" s="99"/>
      <c r="X27" s="200"/>
      <c r="Y27" s="390"/>
      <c r="Z27" s="99">
        <v>3</v>
      </c>
      <c r="AA27" s="99"/>
      <c r="AB27" s="99"/>
      <c r="AC27" s="415"/>
      <c r="AD27" s="507">
        <v>3</v>
      </c>
      <c r="AE27" s="514" t="s">
        <v>202</v>
      </c>
      <c r="AF27" s="514" t="s">
        <v>238</v>
      </c>
      <c r="AG27" s="490" t="s">
        <v>115</v>
      </c>
      <c r="AH27" s="325" t="s">
        <v>78</v>
      </c>
      <c r="AI27" s="492" t="s">
        <v>150</v>
      </c>
      <c r="AJ27" s="373" t="s">
        <v>29</v>
      </c>
      <c r="AK27" s="179">
        <v>6500</v>
      </c>
      <c r="AL27" s="200"/>
    </row>
    <row r="28" spans="1:38" s="227" customFormat="1" ht="15" customHeight="1" x14ac:dyDescent="0.3">
      <c r="A28" s="138">
        <v>24062319</v>
      </c>
      <c r="B28" s="125" t="s">
        <v>231</v>
      </c>
      <c r="C28" s="125" t="s">
        <v>232</v>
      </c>
      <c r="D28" s="485" t="s">
        <v>235</v>
      </c>
      <c r="E28" s="97" t="s">
        <v>404</v>
      </c>
      <c r="F28" s="97" t="s">
        <v>403</v>
      </c>
      <c r="G28" s="95" t="s">
        <v>367</v>
      </c>
      <c r="H28" s="95">
        <v>17</v>
      </c>
      <c r="I28" s="95">
        <v>1200</v>
      </c>
      <c r="J28" s="95">
        <v>17</v>
      </c>
      <c r="K28" s="95">
        <v>1430</v>
      </c>
      <c r="L28" s="95">
        <v>17</v>
      </c>
      <c r="M28" s="95">
        <v>1600</v>
      </c>
      <c r="N28" s="384"/>
      <c r="O28" s="390"/>
      <c r="P28" s="99"/>
      <c r="Q28" s="99"/>
      <c r="R28" s="99"/>
      <c r="S28" s="200"/>
      <c r="T28" s="407"/>
      <c r="U28" s="99"/>
      <c r="V28" s="99"/>
      <c r="W28" s="99"/>
      <c r="X28" s="200">
        <v>1.5</v>
      </c>
      <c r="Y28" s="390"/>
      <c r="Z28" s="99"/>
      <c r="AA28" s="99"/>
      <c r="AB28" s="99"/>
      <c r="AC28" s="415">
        <v>1.5</v>
      </c>
      <c r="AD28" s="507">
        <v>1.5</v>
      </c>
      <c r="AE28" s="516" t="s">
        <v>148</v>
      </c>
      <c r="AF28" s="397" t="s">
        <v>149</v>
      </c>
      <c r="AG28" s="370" t="s">
        <v>115</v>
      </c>
      <c r="AH28" s="325" t="s">
        <v>29</v>
      </c>
      <c r="AI28" s="492" t="s">
        <v>150</v>
      </c>
      <c r="AJ28" s="373" t="s">
        <v>156</v>
      </c>
      <c r="AK28" s="179">
        <v>160000</v>
      </c>
      <c r="AL28" s="200"/>
    </row>
    <row r="29" spans="1:38" s="227" customFormat="1" ht="15" customHeight="1" x14ac:dyDescent="0.3">
      <c r="A29" s="123">
        <v>25063319</v>
      </c>
      <c r="B29" s="496" t="s">
        <v>219</v>
      </c>
      <c r="C29" s="496" t="s">
        <v>236</v>
      </c>
      <c r="D29" s="485" t="s">
        <v>237</v>
      </c>
      <c r="E29" s="97" t="s">
        <v>343</v>
      </c>
      <c r="F29" s="97" t="s">
        <v>344</v>
      </c>
      <c r="G29" s="95" t="s">
        <v>117</v>
      </c>
      <c r="H29" s="95">
        <v>17</v>
      </c>
      <c r="I29" s="95">
        <v>1515</v>
      </c>
      <c r="J29" s="95">
        <v>17</v>
      </c>
      <c r="K29" s="95">
        <v>1600</v>
      </c>
      <c r="L29" s="95">
        <v>17</v>
      </c>
      <c r="M29" s="95">
        <v>1900</v>
      </c>
      <c r="N29" s="495" t="s">
        <v>20</v>
      </c>
      <c r="O29" s="390"/>
      <c r="P29" s="99"/>
      <c r="Q29" s="99"/>
      <c r="R29" s="99"/>
      <c r="S29" s="200"/>
      <c r="T29" s="407"/>
      <c r="U29" s="99"/>
      <c r="V29" s="99">
        <v>4</v>
      </c>
      <c r="W29" s="99"/>
      <c r="X29" s="200">
        <v>2</v>
      </c>
      <c r="Y29" s="390"/>
      <c r="Z29" s="99"/>
      <c r="AA29" s="99">
        <v>4</v>
      </c>
      <c r="AB29" s="99"/>
      <c r="AC29" s="415">
        <v>2</v>
      </c>
      <c r="AD29" s="507">
        <v>6</v>
      </c>
      <c r="AE29" s="514" t="s">
        <v>202</v>
      </c>
      <c r="AF29" s="514" t="s">
        <v>239</v>
      </c>
      <c r="AG29" s="370" t="s">
        <v>115</v>
      </c>
      <c r="AH29" s="491" t="s">
        <v>79</v>
      </c>
      <c r="AI29" s="492" t="s">
        <v>150</v>
      </c>
      <c r="AJ29" s="373" t="s">
        <v>151</v>
      </c>
      <c r="AK29" s="179">
        <v>71500</v>
      </c>
      <c r="AL29" s="200"/>
    </row>
    <row r="30" spans="1:38" s="227" customFormat="1" ht="15" customHeight="1" x14ac:dyDescent="0.3">
      <c r="A30" s="487">
        <v>26062419</v>
      </c>
      <c r="B30" s="180" t="s">
        <v>213</v>
      </c>
      <c r="C30" s="180" t="s">
        <v>213</v>
      </c>
      <c r="D30" s="355" t="s">
        <v>240</v>
      </c>
      <c r="E30" s="97" t="s">
        <v>328</v>
      </c>
      <c r="F30" s="97" t="s">
        <v>329</v>
      </c>
      <c r="G30" s="164" t="s">
        <v>117</v>
      </c>
      <c r="H30" s="164">
        <v>17</v>
      </c>
      <c r="I30" s="164">
        <v>1520</v>
      </c>
      <c r="J30" s="164">
        <v>17</v>
      </c>
      <c r="K30" s="164">
        <v>1520</v>
      </c>
      <c r="L30" s="164">
        <v>18</v>
      </c>
      <c r="M30" s="164">
        <v>630</v>
      </c>
      <c r="N30" s="499" t="s">
        <v>241</v>
      </c>
      <c r="O30" s="390">
        <v>0.5</v>
      </c>
      <c r="P30" s="99"/>
      <c r="Q30" s="99">
        <v>5.5</v>
      </c>
      <c r="R30" s="99"/>
      <c r="S30" s="200"/>
      <c r="T30" s="408"/>
      <c r="U30" s="167"/>
      <c r="V30" s="167"/>
      <c r="W30" s="167"/>
      <c r="X30" s="357"/>
      <c r="Y30" s="391">
        <v>0.5</v>
      </c>
      <c r="Z30" s="167"/>
      <c r="AA30" s="167">
        <v>5.5</v>
      </c>
      <c r="AB30" s="167"/>
      <c r="AC30" s="416"/>
      <c r="AD30" s="508">
        <v>6</v>
      </c>
      <c r="AE30" s="516" t="s">
        <v>148</v>
      </c>
      <c r="AF30" s="516" t="s">
        <v>242</v>
      </c>
      <c r="AG30" s="490" t="s">
        <v>115</v>
      </c>
      <c r="AH30" s="491" t="s">
        <v>79</v>
      </c>
      <c r="AI30" s="492" t="s">
        <v>150</v>
      </c>
      <c r="AJ30" s="400" t="s">
        <v>151</v>
      </c>
      <c r="AK30" s="182">
        <v>8850</v>
      </c>
      <c r="AL30" s="357" t="s">
        <v>168</v>
      </c>
    </row>
    <row r="31" spans="1:38" s="227" customFormat="1" ht="15" customHeight="1" x14ac:dyDescent="0.3">
      <c r="A31" s="511">
        <v>27062019</v>
      </c>
      <c r="B31" s="180" t="s">
        <v>243</v>
      </c>
      <c r="C31" s="180" t="s">
        <v>243</v>
      </c>
      <c r="D31" s="355" t="s">
        <v>244</v>
      </c>
      <c r="E31" s="97" t="s">
        <v>381</v>
      </c>
      <c r="F31" s="97" t="s">
        <v>382</v>
      </c>
      <c r="G31" s="164" t="s">
        <v>117</v>
      </c>
      <c r="H31" s="164">
        <v>18</v>
      </c>
      <c r="I31" s="164">
        <v>1940</v>
      </c>
      <c r="J31" s="164">
        <v>18</v>
      </c>
      <c r="K31" s="164">
        <v>2000</v>
      </c>
      <c r="L31" s="164">
        <v>19</v>
      </c>
      <c r="M31" s="164">
        <v>100</v>
      </c>
      <c r="N31" s="382" t="s">
        <v>234</v>
      </c>
      <c r="O31" s="391"/>
      <c r="P31" s="167">
        <v>0.2</v>
      </c>
      <c r="Q31" s="167">
        <v>0.3</v>
      </c>
      <c r="R31" s="167"/>
      <c r="S31" s="357"/>
      <c r="T31" s="408"/>
      <c r="U31" s="167"/>
      <c r="V31" s="167"/>
      <c r="W31" s="167"/>
      <c r="X31" s="357"/>
      <c r="Y31" s="391"/>
      <c r="Z31" s="167">
        <v>0.2</v>
      </c>
      <c r="AA31" s="167">
        <v>0.3</v>
      </c>
      <c r="AB31" s="167"/>
      <c r="AC31" s="416"/>
      <c r="AD31" s="508">
        <v>0.5</v>
      </c>
      <c r="AE31" s="514" t="s">
        <v>202</v>
      </c>
      <c r="AF31" s="514" t="s">
        <v>228</v>
      </c>
      <c r="AG31" s="370" t="s">
        <v>115</v>
      </c>
      <c r="AH31" s="226" t="s">
        <v>79</v>
      </c>
      <c r="AI31" s="151" t="s">
        <v>150</v>
      </c>
      <c r="AJ31" s="400" t="s">
        <v>151</v>
      </c>
      <c r="AK31" s="182">
        <v>900</v>
      </c>
      <c r="AL31" s="357" t="s">
        <v>168</v>
      </c>
    </row>
    <row r="32" spans="1:38" s="227" customFormat="1" ht="15" customHeight="1" x14ac:dyDescent="0.3">
      <c r="A32" s="511">
        <v>28062019</v>
      </c>
      <c r="B32" s="180" t="s">
        <v>243</v>
      </c>
      <c r="C32" s="180" t="s">
        <v>243</v>
      </c>
      <c r="D32" s="355" t="s">
        <v>244</v>
      </c>
      <c r="E32" s="97" t="s">
        <v>383</v>
      </c>
      <c r="F32" s="97" t="s">
        <v>384</v>
      </c>
      <c r="G32" s="164" t="s">
        <v>117</v>
      </c>
      <c r="H32" s="164">
        <v>19</v>
      </c>
      <c r="I32" s="164">
        <v>1430</v>
      </c>
      <c r="J32" s="164">
        <v>19</v>
      </c>
      <c r="K32" s="164">
        <v>1445</v>
      </c>
      <c r="L32" s="164">
        <v>19</v>
      </c>
      <c r="M32" s="164">
        <v>1630</v>
      </c>
      <c r="N32" s="495" t="s">
        <v>20</v>
      </c>
      <c r="O32" s="391"/>
      <c r="P32" s="167"/>
      <c r="Q32" s="167">
        <v>1.5</v>
      </c>
      <c r="R32" s="167"/>
      <c r="S32" s="357"/>
      <c r="T32" s="408"/>
      <c r="U32" s="167"/>
      <c r="V32" s="167"/>
      <c r="W32" s="167"/>
      <c r="X32" s="357"/>
      <c r="Y32" s="391"/>
      <c r="Z32" s="167"/>
      <c r="AA32" s="167">
        <v>1.5</v>
      </c>
      <c r="AB32" s="167"/>
      <c r="AC32" s="416"/>
      <c r="AD32" s="508">
        <v>1.5</v>
      </c>
      <c r="AE32" s="514" t="s">
        <v>202</v>
      </c>
      <c r="AF32" s="514" t="s">
        <v>228</v>
      </c>
      <c r="AG32" s="370" t="s">
        <v>115</v>
      </c>
      <c r="AH32" s="325" t="s">
        <v>78</v>
      </c>
      <c r="AI32" s="151" t="s">
        <v>150</v>
      </c>
      <c r="AJ32" s="400" t="s">
        <v>151</v>
      </c>
      <c r="AK32" s="182">
        <v>450</v>
      </c>
      <c r="AL32" s="357"/>
    </row>
    <row r="33" spans="1:38" s="227" customFormat="1" ht="15" customHeight="1" x14ac:dyDescent="0.3">
      <c r="A33" s="487">
        <v>29064919</v>
      </c>
      <c r="B33" s="125" t="s">
        <v>225</v>
      </c>
      <c r="C33" s="125" t="s">
        <v>226</v>
      </c>
      <c r="D33" s="355" t="s">
        <v>227</v>
      </c>
      <c r="E33" s="97" t="s">
        <v>345</v>
      </c>
      <c r="F33" s="97" t="s">
        <v>346</v>
      </c>
      <c r="G33" s="164" t="s">
        <v>117</v>
      </c>
      <c r="H33" s="164">
        <v>19</v>
      </c>
      <c r="I33" s="164">
        <v>1200</v>
      </c>
      <c r="J33" s="164">
        <v>19</v>
      </c>
      <c r="K33" s="164">
        <v>1300</v>
      </c>
      <c r="L33" s="164">
        <v>19</v>
      </c>
      <c r="M33" s="164">
        <v>1930</v>
      </c>
      <c r="N33" s="495" t="s">
        <v>233</v>
      </c>
      <c r="O33" s="391">
        <v>1</v>
      </c>
      <c r="P33" s="167"/>
      <c r="Q33" s="167">
        <v>2</v>
      </c>
      <c r="R33" s="167"/>
      <c r="S33" s="357"/>
      <c r="T33" s="408"/>
      <c r="U33" s="167"/>
      <c r="V33" s="167"/>
      <c r="W33" s="167"/>
      <c r="X33" s="357"/>
      <c r="Y33" s="391">
        <v>1</v>
      </c>
      <c r="Z33" s="167"/>
      <c r="AA33" s="167">
        <v>2</v>
      </c>
      <c r="AB33" s="167"/>
      <c r="AC33" s="416"/>
      <c r="AD33" s="508">
        <v>3</v>
      </c>
      <c r="AE33" s="514" t="s">
        <v>202</v>
      </c>
      <c r="AF33" s="514" t="s">
        <v>228</v>
      </c>
      <c r="AG33" s="370" t="s">
        <v>115</v>
      </c>
      <c r="AH33" s="226" t="s">
        <v>79</v>
      </c>
      <c r="AI33" s="151" t="s">
        <v>150</v>
      </c>
      <c r="AJ33" s="400" t="s">
        <v>216</v>
      </c>
      <c r="AK33" s="182">
        <v>20600</v>
      </c>
      <c r="AL33" s="357" t="s">
        <v>168</v>
      </c>
    </row>
    <row r="34" spans="1:38" s="227" customFormat="1" ht="15" customHeight="1" x14ac:dyDescent="0.3">
      <c r="A34" s="487">
        <v>30062419</v>
      </c>
      <c r="B34" s="180" t="s">
        <v>213</v>
      </c>
      <c r="C34" s="180" t="s">
        <v>213</v>
      </c>
      <c r="D34" s="355" t="s">
        <v>245</v>
      </c>
      <c r="E34" s="97" t="s">
        <v>330</v>
      </c>
      <c r="F34" s="97" t="s">
        <v>331</v>
      </c>
      <c r="G34" s="164" t="s">
        <v>117</v>
      </c>
      <c r="H34" s="164">
        <v>20</v>
      </c>
      <c r="I34" s="164">
        <v>1450</v>
      </c>
      <c r="J34" s="164">
        <v>20</v>
      </c>
      <c r="K34" s="164">
        <v>1450</v>
      </c>
      <c r="L34" s="164">
        <v>20</v>
      </c>
      <c r="M34" s="164">
        <v>1800</v>
      </c>
      <c r="N34" s="495" t="s">
        <v>20</v>
      </c>
      <c r="O34" s="391"/>
      <c r="P34" s="167"/>
      <c r="Q34" s="167"/>
      <c r="R34" s="167"/>
      <c r="S34" s="357"/>
      <c r="T34" s="408"/>
      <c r="U34" s="167"/>
      <c r="V34" s="167">
        <v>1.5</v>
      </c>
      <c r="W34" s="167"/>
      <c r="X34" s="357"/>
      <c r="Y34" s="391"/>
      <c r="Z34" s="167"/>
      <c r="AA34" s="167">
        <v>1.5</v>
      </c>
      <c r="AB34" s="167"/>
      <c r="AC34" s="416"/>
      <c r="AD34" s="508">
        <v>1.5</v>
      </c>
      <c r="AE34" s="514" t="s">
        <v>202</v>
      </c>
      <c r="AF34" s="514" t="s">
        <v>228</v>
      </c>
      <c r="AG34" s="370" t="s">
        <v>115</v>
      </c>
      <c r="AH34" s="325" t="s">
        <v>29</v>
      </c>
      <c r="AI34" s="151" t="s">
        <v>150</v>
      </c>
      <c r="AJ34" s="373" t="s">
        <v>156</v>
      </c>
      <c r="AK34" s="182">
        <v>450</v>
      </c>
      <c r="AL34" s="357"/>
    </row>
    <row r="35" spans="1:38" s="227" customFormat="1" ht="15" customHeight="1" x14ac:dyDescent="0.3">
      <c r="A35" s="138">
        <v>31064819</v>
      </c>
      <c r="B35" s="125" t="s">
        <v>219</v>
      </c>
      <c r="C35" s="125" t="s">
        <v>220</v>
      </c>
      <c r="D35" s="143" t="s">
        <v>246</v>
      </c>
      <c r="E35" s="97" t="s">
        <v>348</v>
      </c>
      <c r="F35" s="97" t="s">
        <v>347</v>
      </c>
      <c r="G35" s="164" t="s">
        <v>117</v>
      </c>
      <c r="H35" s="164">
        <v>20</v>
      </c>
      <c r="I35" s="164">
        <v>930</v>
      </c>
      <c r="J35" s="164">
        <v>20</v>
      </c>
      <c r="K35" s="164">
        <v>1000</v>
      </c>
      <c r="L35" s="164">
        <v>20</v>
      </c>
      <c r="M35" s="164">
        <v>1900</v>
      </c>
      <c r="N35" s="499" t="s">
        <v>241</v>
      </c>
      <c r="O35" s="391"/>
      <c r="P35" s="167"/>
      <c r="Q35" s="167"/>
      <c r="R35" s="167"/>
      <c r="S35" s="357"/>
      <c r="T35" s="408"/>
      <c r="U35" s="167">
        <v>5</v>
      </c>
      <c r="V35" s="167">
        <v>20</v>
      </c>
      <c r="W35" s="167"/>
      <c r="X35" s="357"/>
      <c r="Y35" s="391"/>
      <c r="Z35" s="167">
        <v>5</v>
      </c>
      <c r="AA35" s="167">
        <v>20</v>
      </c>
      <c r="AB35" s="167"/>
      <c r="AC35" s="416"/>
      <c r="AD35" s="508">
        <v>25</v>
      </c>
      <c r="AE35" s="514" t="s">
        <v>202</v>
      </c>
      <c r="AF35" s="514" t="s">
        <v>228</v>
      </c>
      <c r="AG35" s="370" t="s">
        <v>115</v>
      </c>
      <c r="AH35" s="325" t="s">
        <v>29</v>
      </c>
      <c r="AI35" s="151" t="s">
        <v>150</v>
      </c>
      <c r="AJ35" s="400" t="s">
        <v>151</v>
      </c>
      <c r="AK35" s="182">
        <v>32000</v>
      </c>
      <c r="AL35" s="357"/>
    </row>
    <row r="36" spans="1:38" s="227" customFormat="1" ht="15" customHeight="1" x14ac:dyDescent="0.3">
      <c r="A36" s="487">
        <v>32062419</v>
      </c>
      <c r="B36" s="180" t="s">
        <v>213</v>
      </c>
      <c r="C36" s="180" t="s">
        <v>213</v>
      </c>
      <c r="D36" s="355" t="s">
        <v>247</v>
      </c>
      <c r="E36" s="97" t="s">
        <v>332</v>
      </c>
      <c r="F36" s="97" t="s">
        <v>333</v>
      </c>
      <c r="G36" s="164" t="s">
        <v>117</v>
      </c>
      <c r="H36" s="164">
        <v>20</v>
      </c>
      <c r="I36" s="164">
        <v>1230</v>
      </c>
      <c r="J36" s="164">
        <v>20</v>
      </c>
      <c r="K36" s="164">
        <v>1245</v>
      </c>
      <c r="L36" s="164">
        <v>20</v>
      </c>
      <c r="M36" s="164">
        <v>1900</v>
      </c>
      <c r="N36" s="495" t="s">
        <v>20</v>
      </c>
      <c r="O36" s="391"/>
      <c r="P36" s="167"/>
      <c r="Q36" s="167">
        <v>3.5</v>
      </c>
      <c r="R36" s="167"/>
      <c r="S36" s="357"/>
      <c r="T36" s="408"/>
      <c r="U36" s="167"/>
      <c r="V36" s="167"/>
      <c r="W36" s="167"/>
      <c r="X36" s="357"/>
      <c r="Y36" s="391"/>
      <c r="Z36" s="167"/>
      <c r="AA36" s="167">
        <v>3.5</v>
      </c>
      <c r="AB36" s="167"/>
      <c r="AC36" s="416"/>
      <c r="AD36" s="508">
        <v>3.5</v>
      </c>
      <c r="AE36" s="514" t="s">
        <v>202</v>
      </c>
      <c r="AF36" s="514" t="s">
        <v>228</v>
      </c>
      <c r="AG36" s="370" t="s">
        <v>115</v>
      </c>
      <c r="AH36" s="325" t="s">
        <v>78</v>
      </c>
      <c r="AI36" s="151" t="s">
        <v>150</v>
      </c>
      <c r="AJ36" s="373" t="s">
        <v>156</v>
      </c>
      <c r="AK36" s="182">
        <v>1050</v>
      </c>
      <c r="AL36" s="357"/>
    </row>
    <row r="37" spans="1:38" s="227" customFormat="1" ht="15" customHeight="1" x14ac:dyDescent="0.3">
      <c r="A37" s="123">
        <v>33061519</v>
      </c>
      <c r="B37" s="220" t="s">
        <v>169</v>
      </c>
      <c r="C37" s="220" t="s">
        <v>170</v>
      </c>
      <c r="D37" s="355" t="s">
        <v>248</v>
      </c>
      <c r="E37" s="521" t="s">
        <v>416</v>
      </c>
      <c r="F37" s="522" t="s">
        <v>289</v>
      </c>
      <c r="G37" s="164" t="s">
        <v>117</v>
      </c>
      <c r="H37" s="164">
        <v>20</v>
      </c>
      <c r="I37" s="164">
        <v>900</v>
      </c>
      <c r="J37" s="164">
        <v>20</v>
      </c>
      <c r="K37" s="164">
        <v>1000</v>
      </c>
      <c r="L37" s="164">
        <v>20</v>
      </c>
      <c r="M37" s="164">
        <v>2100</v>
      </c>
      <c r="N37" s="523" t="s">
        <v>234</v>
      </c>
      <c r="O37" s="391"/>
      <c r="P37" s="167"/>
      <c r="Q37" s="167"/>
      <c r="R37" s="167"/>
      <c r="S37" s="357"/>
      <c r="T37" s="408"/>
      <c r="U37" s="167">
        <v>20</v>
      </c>
      <c r="V37" s="167">
        <v>19</v>
      </c>
      <c r="W37" s="167"/>
      <c r="X37" s="357">
        <v>11</v>
      </c>
      <c r="Y37" s="391"/>
      <c r="Z37" s="167">
        <v>20</v>
      </c>
      <c r="AA37" s="167">
        <v>19</v>
      </c>
      <c r="AB37" s="167"/>
      <c r="AC37" s="416">
        <v>11</v>
      </c>
      <c r="AD37" s="508">
        <v>50</v>
      </c>
      <c r="AE37" s="514" t="s">
        <v>202</v>
      </c>
      <c r="AF37" s="514" t="s">
        <v>259</v>
      </c>
      <c r="AG37" s="522" t="s">
        <v>115</v>
      </c>
      <c r="AH37" s="226" t="s">
        <v>80</v>
      </c>
      <c r="AI37" s="151" t="s">
        <v>150</v>
      </c>
      <c r="AJ37" s="373" t="s">
        <v>156</v>
      </c>
      <c r="AK37" s="182">
        <v>1403700</v>
      </c>
      <c r="AL37" s="357"/>
    </row>
    <row r="38" spans="1:38" s="227" customFormat="1" ht="15" customHeight="1" x14ac:dyDescent="0.3">
      <c r="A38" s="488">
        <v>34062019</v>
      </c>
      <c r="B38" s="526" t="s">
        <v>243</v>
      </c>
      <c r="C38" s="526" t="s">
        <v>243</v>
      </c>
      <c r="D38" s="355" t="s">
        <v>249</v>
      </c>
      <c r="E38" s="97" t="s">
        <v>420</v>
      </c>
      <c r="F38" s="97" t="s">
        <v>385</v>
      </c>
      <c r="G38" s="164" t="s">
        <v>117</v>
      </c>
      <c r="H38" s="164">
        <v>20</v>
      </c>
      <c r="I38" s="164">
        <v>1550</v>
      </c>
      <c r="J38" s="164">
        <v>20</v>
      </c>
      <c r="K38" s="164">
        <v>1525</v>
      </c>
      <c r="L38" s="164">
        <v>20</v>
      </c>
      <c r="M38" s="164">
        <v>2400</v>
      </c>
      <c r="N38" s="499" t="s">
        <v>51</v>
      </c>
      <c r="O38" s="391">
        <v>3</v>
      </c>
      <c r="P38" s="167"/>
      <c r="Q38" s="167"/>
      <c r="R38" s="167"/>
      <c r="S38" s="357"/>
      <c r="T38" s="407"/>
      <c r="U38" s="167"/>
      <c r="V38" s="167"/>
      <c r="W38" s="167"/>
      <c r="X38" s="357"/>
      <c r="Y38" s="391">
        <v>3</v>
      </c>
      <c r="Z38" s="167"/>
      <c r="AA38" s="167"/>
      <c r="AB38" s="167"/>
      <c r="AC38" s="416"/>
      <c r="AD38" s="508">
        <v>3</v>
      </c>
      <c r="AE38" s="514" t="s">
        <v>202</v>
      </c>
      <c r="AF38" s="514" t="s">
        <v>238</v>
      </c>
      <c r="AG38" s="522" t="s">
        <v>115</v>
      </c>
      <c r="AH38" s="524" t="s">
        <v>29</v>
      </c>
      <c r="AI38" s="151" t="s">
        <v>150</v>
      </c>
      <c r="AJ38" s="400" t="s">
        <v>151</v>
      </c>
      <c r="AK38" s="182">
        <v>780</v>
      </c>
      <c r="AL38" s="357"/>
    </row>
    <row r="39" spans="1:38" s="227" customFormat="1" ht="15" customHeight="1" x14ac:dyDescent="0.3">
      <c r="A39" s="171">
        <v>35060719</v>
      </c>
      <c r="B39" s="225" t="s">
        <v>250</v>
      </c>
      <c r="C39" s="225" t="s">
        <v>250</v>
      </c>
      <c r="D39" s="512" t="s">
        <v>251</v>
      </c>
      <c r="E39" s="165" t="s">
        <v>421</v>
      </c>
      <c r="F39" s="165" t="s">
        <v>310</v>
      </c>
      <c r="G39" s="164" t="s">
        <v>117</v>
      </c>
      <c r="H39" s="164">
        <v>21</v>
      </c>
      <c r="I39" s="164">
        <v>1000</v>
      </c>
      <c r="J39" s="164">
        <v>21</v>
      </c>
      <c r="K39" s="164">
        <v>1030</v>
      </c>
      <c r="L39" s="164">
        <v>21</v>
      </c>
      <c r="M39" s="164">
        <v>1530</v>
      </c>
      <c r="N39" s="499" t="s">
        <v>241</v>
      </c>
      <c r="O39" s="391">
        <v>2</v>
      </c>
      <c r="P39" s="167"/>
      <c r="Q39" s="167"/>
      <c r="R39" s="167"/>
      <c r="S39" s="357"/>
      <c r="U39" s="99"/>
      <c r="V39" s="167">
        <v>3</v>
      </c>
      <c r="W39" s="167"/>
      <c r="X39" s="357"/>
      <c r="Y39" s="391">
        <v>2</v>
      </c>
      <c r="Z39" s="167"/>
      <c r="AA39" s="167">
        <v>3</v>
      </c>
      <c r="AB39" s="167"/>
      <c r="AC39" s="416"/>
      <c r="AD39" s="508">
        <v>5</v>
      </c>
      <c r="AE39" s="516" t="s">
        <v>148</v>
      </c>
      <c r="AF39" s="397" t="s">
        <v>149</v>
      </c>
      <c r="AG39" s="522" t="s">
        <v>115</v>
      </c>
      <c r="AH39" s="524" t="s">
        <v>29</v>
      </c>
      <c r="AI39" s="151" t="s">
        <v>150</v>
      </c>
      <c r="AJ39" s="400" t="s">
        <v>29</v>
      </c>
      <c r="AK39" s="182">
        <v>24950</v>
      </c>
      <c r="AL39" s="357" t="s">
        <v>168</v>
      </c>
    </row>
    <row r="40" spans="1:38" s="227" customFormat="1" ht="15" customHeight="1" x14ac:dyDescent="0.3">
      <c r="A40" s="488">
        <v>36062919</v>
      </c>
      <c r="B40" s="526" t="s">
        <v>221</v>
      </c>
      <c r="C40" s="526" t="s">
        <v>221</v>
      </c>
      <c r="D40" s="355" t="s">
        <v>240</v>
      </c>
      <c r="E40" s="165" t="s">
        <v>422</v>
      </c>
      <c r="F40" s="165" t="s">
        <v>311</v>
      </c>
      <c r="G40" s="164" t="s">
        <v>117</v>
      </c>
      <c r="H40" s="164">
        <v>21</v>
      </c>
      <c r="I40" s="164">
        <v>1135</v>
      </c>
      <c r="J40" s="164">
        <v>21</v>
      </c>
      <c r="K40" s="164">
        <v>1200</v>
      </c>
      <c r="L40" s="164">
        <v>21</v>
      </c>
      <c r="M40" s="164">
        <v>1530</v>
      </c>
      <c r="N40" s="499" t="s">
        <v>593</v>
      </c>
      <c r="O40" s="391">
        <v>8</v>
      </c>
      <c r="P40" s="167">
        <v>2</v>
      </c>
      <c r="Q40" s="167"/>
      <c r="R40" s="167"/>
      <c r="S40" s="357"/>
      <c r="T40" s="408"/>
      <c r="U40" s="167"/>
      <c r="V40" s="167"/>
      <c r="W40" s="167"/>
      <c r="X40" s="357"/>
      <c r="Y40" s="391">
        <v>8</v>
      </c>
      <c r="Z40" s="167">
        <v>2</v>
      </c>
      <c r="AA40" s="167"/>
      <c r="AB40" s="167"/>
      <c r="AC40" s="416"/>
      <c r="AD40" s="508">
        <v>10</v>
      </c>
      <c r="AE40" s="514" t="s">
        <v>202</v>
      </c>
      <c r="AF40" s="514" t="s">
        <v>228</v>
      </c>
      <c r="AG40" s="522" t="s">
        <v>115</v>
      </c>
      <c r="AH40" s="524" t="s">
        <v>78</v>
      </c>
      <c r="AI40" s="151" t="s">
        <v>150</v>
      </c>
      <c r="AJ40" s="400" t="s">
        <v>29</v>
      </c>
      <c r="AK40" s="182">
        <v>66600</v>
      </c>
      <c r="AL40" s="357" t="s">
        <v>168</v>
      </c>
    </row>
    <row r="41" spans="1:38" s="227" customFormat="1" ht="15" customHeight="1" x14ac:dyDescent="0.3">
      <c r="A41" s="171">
        <v>37064219</v>
      </c>
      <c r="B41" s="527" t="s">
        <v>221</v>
      </c>
      <c r="C41" s="527" t="s">
        <v>222</v>
      </c>
      <c r="D41" s="355" t="s">
        <v>253</v>
      </c>
      <c r="E41" s="97" t="s">
        <v>312</v>
      </c>
      <c r="F41" s="165" t="s">
        <v>313</v>
      </c>
      <c r="G41" s="164" t="s">
        <v>117</v>
      </c>
      <c r="H41" s="164">
        <v>21</v>
      </c>
      <c r="I41" s="164">
        <v>1225</v>
      </c>
      <c r="J41" s="164">
        <v>21</v>
      </c>
      <c r="K41" s="164">
        <v>1245</v>
      </c>
      <c r="L41" s="164">
        <v>21</v>
      </c>
      <c r="M41" s="164">
        <v>2100</v>
      </c>
      <c r="N41" s="523" t="s">
        <v>19</v>
      </c>
      <c r="O41" s="391"/>
      <c r="P41" s="167"/>
      <c r="Q41" s="167"/>
      <c r="R41" s="167"/>
      <c r="S41" s="357"/>
      <c r="T41" s="408"/>
      <c r="U41" s="167">
        <v>6</v>
      </c>
      <c r="V41" s="167"/>
      <c r="W41" s="167"/>
      <c r="X41" s="357"/>
      <c r="Y41" s="391"/>
      <c r="Z41" s="167">
        <v>6</v>
      </c>
      <c r="AA41" s="167"/>
      <c r="AB41" s="167"/>
      <c r="AC41" s="416"/>
      <c r="AD41" s="508">
        <v>6</v>
      </c>
      <c r="AE41" s="516" t="s">
        <v>148</v>
      </c>
      <c r="AF41" s="519" t="s">
        <v>254</v>
      </c>
      <c r="AG41" s="522" t="s">
        <v>115</v>
      </c>
      <c r="AH41" s="524" t="s">
        <v>78</v>
      </c>
      <c r="AI41" s="151" t="s">
        <v>150</v>
      </c>
      <c r="AJ41" s="373" t="s">
        <v>156</v>
      </c>
      <c r="AK41" s="182">
        <v>18720</v>
      </c>
      <c r="AL41" s="357"/>
    </row>
    <row r="42" spans="1:38" s="227" customFormat="1" ht="15" customHeight="1" x14ac:dyDescent="0.3">
      <c r="A42" s="483">
        <v>38062419</v>
      </c>
      <c r="B42" s="484" t="s">
        <v>147</v>
      </c>
      <c r="C42" s="484" t="s">
        <v>147</v>
      </c>
      <c r="D42" s="355" t="s">
        <v>255</v>
      </c>
      <c r="E42" s="521" t="s">
        <v>416</v>
      </c>
      <c r="F42" s="522" t="s">
        <v>290</v>
      </c>
      <c r="G42" s="164" t="s">
        <v>117</v>
      </c>
      <c r="H42" s="164">
        <v>21</v>
      </c>
      <c r="I42" s="164">
        <v>1500</v>
      </c>
      <c r="J42" s="164">
        <v>21</v>
      </c>
      <c r="K42" s="164">
        <v>1600</v>
      </c>
      <c r="L42" s="164">
        <v>21</v>
      </c>
      <c r="M42" s="164">
        <v>2400</v>
      </c>
      <c r="N42" s="499" t="s">
        <v>252</v>
      </c>
      <c r="O42" s="391">
        <v>6</v>
      </c>
      <c r="P42" s="167">
        <v>5</v>
      </c>
      <c r="Q42" s="167">
        <v>4</v>
      </c>
      <c r="R42" s="167"/>
      <c r="S42" s="357"/>
      <c r="T42" s="408"/>
      <c r="U42" s="167"/>
      <c r="V42" s="167"/>
      <c r="W42" s="167"/>
      <c r="X42" s="357"/>
      <c r="Y42" s="391">
        <v>6</v>
      </c>
      <c r="Z42" s="167">
        <v>5</v>
      </c>
      <c r="AA42" s="167">
        <v>4</v>
      </c>
      <c r="AB42" s="167"/>
      <c r="AC42" s="416"/>
      <c r="AD42" s="508">
        <v>15</v>
      </c>
      <c r="AE42" s="514" t="s">
        <v>202</v>
      </c>
      <c r="AF42" s="514" t="s">
        <v>228</v>
      </c>
      <c r="AG42" s="522" t="s">
        <v>115</v>
      </c>
      <c r="AH42" s="524" t="s">
        <v>78</v>
      </c>
      <c r="AI42" s="151" t="s">
        <v>150</v>
      </c>
      <c r="AJ42" s="373" t="s">
        <v>208</v>
      </c>
      <c r="AK42" s="182">
        <v>68200</v>
      </c>
      <c r="AL42" s="357" t="s">
        <v>168</v>
      </c>
    </row>
    <row r="43" spans="1:38" s="600" customFormat="1" ht="15" customHeight="1" x14ac:dyDescent="0.3">
      <c r="A43" s="587">
        <v>39062919</v>
      </c>
      <c r="B43" s="588" t="s">
        <v>221</v>
      </c>
      <c r="C43" s="588" t="s">
        <v>221</v>
      </c>
      <c r="D43" s="589" t="s">
        <v>256</v>
      </c>
      <c r="E43" s="590" t="s">
        <v>315</v>
      </c>
      <c r="F43" s="590" t="s">
        <v>314</v>
      </c>
      <c r="G43" s="591" t="s">
        <v>117</v>
      </c>
      <c r="H43" s="591">
        <v>22</v>
      </c>
      <c r="I43" s="591">
        <v>1245</v>
      </c>
      <c r="J43" s="591">
        <v>22</v>
      </c>
      <c r="K43" s="591">
        <v>1300</v>
      </c>
      <c r="L43" s="591">
        <v>22</v>
      </c>
      <c r="M43" s="591">
        <v>1830</v>
      </c>
      <c r="N43" s="523" t="s">
        <v>19</v>
      </c>
      <c r="O43" s="592"/>
      <c r="P43" s="166"/>
      <c r="Q43" s="166"/>
      <c r="R43" s="166"/>
      <c r="S43" s="593"/>
      <c r="T43" s="594"/>
      <c r="U43" s="166">
        <v>4</v>
      </c>
      <c r="V43" s="166"/>
      <c r="W43" s="166"/>
      <c r="X43" s="593">
        <v>6</v>
      </c>
      <c r="Y43" s="592"/>
      <c r="Z43" s="166">
        <v>4</v>
      </c>
      <c r="AA43" s="166"/>
      <c r="AB43" s="166"/>
      <c r="AC43" s="595">
        <v>6</v>
      </c>
      <c r="AD43" s="596">
        <v>10</v>
      </c>
      <c r="AE43" s="514" t="s">
        <v>202</v>
      </c>
      <c r="AF43" s="514" t="s">
        <v>238</v>
      </c>
      <c r="AG43" s="522" t="s">
        <v>115</v>
      </c>
      <c r="AH43" s="524" t="s">
        <v>78</v>
      </c>
      <c r="AI43" s="597" t="s">
        <v>150</v>
      </c>
      <c r="AJ43" s="598" t="s">
        <v>156</v>
      </c>
      <c r="AK43" s="599">
        <v>94290</v>
      </c>
      <c r="AL43" s="593"/>
    </row>
    <row r="44" spans="1:38" s="227" customFormat="1" ht="15" customHeight="1" x14ac:dyDescent="0.3">
      <c r="A44" s="171">
        <v>40064819</v>
      </c>
      <c r="B44" s="527" t="s">
        <v>219</v>
      </c>
      <c r="C44" s="527" t="s">
        <v>220</v>
      </c>
      <c r="D44" s="528" t="s">
        <v>257</v>
      </c>
      <c r="E44" s="97" t="s">
        <v>349</v>
      </c>
      <c r="F44" s="97" t="s">
        <v>350</v>
      </c>
      <c r="G44" s="164" t="s">
        <v>117</v>
      </c>
      <c r="H44" s="164">
        <v>22</v>
      </c>
      <c r="I44" s="164">
        <v>1215</v>
      </c>
      <c r="J44" s="164">
        <v>22</v>
      </c>
      <c r="K44" s="164">
        <v>1235</v>
      </c>
      <c r="L44" s="164">
        <v>22</v>
      </c>
      <c r="M44" s="164">
        <v>1900</v>
      </c>
      <c r="N44" s="523" t="s">
        <v>234</v>
      </c>
      <c r="O44" s="391"/>
      <c r="P44" s="167">
        <v>2</v>
      </c>
      <c r="Q44" s="167"/>
      <c r="R44" s="167"/>
      <c r="S44" s="357"/>
      <c r="T44" s="408"/>
      <c r="U44" s="167"/>
      <c r="V44" s="167">
        <v>3</v>
      </c>
      <c r="W44" s="167"/>
      <c r="X44" s="357"/>
      <c r="Y44" s="391"/>
      <c r="Z44" s="167">
        <v>2</v>
      </c>
      <c r="AA44" s="167">
        <v>3</v>
      </c>
      <c r="AB44" s="167"/>
      <c r="AC44" s="416"/>
      <c r="AD44" s="508">
        <v>5</v>
      </c>
      <c r="AE44" s="514" t="s">
        <v>202</v>
      </c>
      <c r="AF44" s="514" t="s">
        <v>238</v>
      </c>
      <c r="AG44" s="522" t="s">
        <v>115</v>
      </c>
      <c r="AH44" s="226" t="s">
        <v>79</v>
      </c>
      <c r="AI44" s="151" t="s">
        <v>150</v>
      </c>
      <c r="AJ44" s="400" t="s">
        <v>151</v>
      </c>
      <c r="AK44" s="182">
        <v>11300</v>
      </c>
      <c r="AL44" s="357" t="s">
        <v>168</v>
      </c>
    </row>
    <row r="45" spans="1:38" s="227" customFormat="1" ht="15" customHeight="1" x14ac:dyDescent="0.3">
      <c r="A45" s="171">
        <v>41064219</v>
      </c>
      <c r="B45" s="527" t="s">
        <v>221</v>
      </c>
      <c r="C45" s="527" t="s">
        <v>222</v>
      </c>
      <c r="D45" s="529" t="s">
        <v>258</v>
      </c>
      <c r="E45" s="165" t="s">
        <v>317</v>
      </c>
      <c r="F45" s="165" t="s">
        <v>316</v>
      </c>
      <c r="G45" s="164" t="s">
        <v>117</v>
      </c>
      <c r="H45" s="164">
        <v>23</v>
      </c>
      <c r="I45" s="164">
        <v>1330</v>
      </c>
      <c r="J45" s="164">
        <v>23</v>
      </c>
      <c r="K45" s="164">
        <v>1400</v>
      </c>
      <c r="L45" s="164">
        <v>23</v>
      </c>
      <c r="M45" s="164">
        <v>1900</v>
      </c>
      <c r="N45" s="523" t="s">
        <v>234</v>
      </c>
      <c r="O45" s="391"/>
      <c r="P45" s="167"/>
      <c r="Q45" s="167"/>
      <c r="R45" s="167"/>
      <c r="S45" s="357"/>
      <c r="T45" s="408"/>
      <c r="U45" s="167">
        <v>3</v>
      </c>
      <c r="V45" s="167">
        <v>2</v>
      </c>
      <c r="W45" s="167"/>
      <c r="X45" s="357"/>
      <c r="Y45" s="391"/>
      <c r="Z45" s="167">
        <v>3</v>
      </c>
      <c r="AA45" s="167">
        <v>2</v>
      </c>
      <c r="AB45" s="167"/>
      <c r="AC45" s="416"/>
      <c r="AD45" s="508">
        <v>5</v>
      </c>
      <c r="AE45" s="514" t="s">
        <v>202</v>
      </c>
      <c r="AF45" s="514" t="s">
        <v>228</v>
      </c>
      <c r="AG45" s="522" t="s">
        <v>115</v>
      </c>
      <c r="AH45" s="524" t="s">
        <v>29</v>
      </c>
      <c r="AI45" s="151" t="s">
        <v>162</v>
      </c>
      <c r="AJ45" s="400" t="s">
        <v>151</v>
      </c>
      <c r="AK45" s="182">
        <v>9960</v>
      </c>
      <c r="AL45" s="357"/>
    </row>
    <row r="46" spans="1:38" s="227" customFormat="1" ht="15" customHeight="1" x14ac:dyDescent="0.3">
      <c r="A46" s="171">
        <v>42064919</v>
      </c>
      <c r="B46" s="527" t="s">
        <v>225</v>
      </c>
      <c r="C46" s="527" t="s">
        <v>226</v>
      </c>
      <c r="D46" s="355" t="s">
        <v>227</v>
      </c>
      <c r="E46" s="97" t="s">
        <v>351</v>
      </c>
      <c r="F46" s="97" t="s">
        <v>352</v>
      </c>
      <c r="G46" s="164" t="s">
        <v>117</v>
      </c>
      <c r="H46" s="164">
        <v>23</v>
      </c>
      <c r="I46" s="164">
        <v>1400</v>
      </c>
      <c r="J46" s="164">
        <v>23</v>
      </c>
      <c r="K46" s="164">
        <v>1430</v>
      </c>
      <c r="L46" s="164">
        <v>23</v>
      </c>
      <c r="M46" s="164">
        <v>2145</v>
      </c>
      <c r="N46" s="499" t="s">
        <v>233</v>
      </c>
      <c r="O46" s="391">
        <v>1</v>
      </c>
      <c r="P46" s="167"/>
      <c r="Q46" s="167">
        <v>4</v>
      </c>
      <c r="R46" s="167"/>
      <c r="S46" s="357"/>
      <c r="T46" s="408"/>
      <c r="U46" s="167"/>
      <c r="V46" s="167"/>
      <c r="W46" s="167"/>
      <c r="X46" s="357"/>
      <c r="Y46" s="391">
        <v>1</v>
      </c>
      <c r="Z46" s="167"/>
      <c r="AA46" s="167">
        <v>4</v>
      </c>
      <c r="AB46" s="167"/>
      <c r="AC46" s="416"/>
      <c r="AD46" s="508">
        <v>5</v>
      </c>
      <c r="AE46" s="514" t="s">
        <v>202</v>
      </c>
      <c r="AF46" s="514" t="s">
        <v>228</v>
      </c>
      <c r="AG46" s="522" t="s">
        <v>115</v>
      </c>
      <c r="AH46" s="226" t="s">
        <v>79</v>
      </c>
      <c r="AI46" s="151" t="s">
        <v>162</v>
      </c>
      <c r="AJ46" s="400" t="s">
        <v>216</v>
      </c>
      <c r="AK46" s="182">
        <v>21200</v>
      </c>
      <c r="AL46" s="357" t="s">
        <v>168</v>
      </c>
    </row>
    <row r="47" spans="1:38" s="227" customFormat="1" ht="15" customHeight="1" x14ac:dyDescent="0.3">
      <c r="A47" s="171">
        <v>43064919</v>
      </c>
      <c r="B47" s="527" t="s">
        <v>225</v>
      </c>
      <c r="C47" s="527" t="s">
        <v>226</v>
      </c>
      <c r="D47" s="355" t="s">
        <v>261</v>
      </c>
      <c r="E47" s="97" t="s">
        <v>353</v>
      </c>
      <c r="F47" s="97" t="s">
        <v>354</v>
      </c>
      <c r="G47" s="164" t="s">
        <v>117</v>
      </c>
      <c r="H47" s="164">
        <v>23</v>
      </c>
      <c r="I47" s="164">
        <v>1645</v>
      </c>
      <c r="J47" s="164">
        <v>23</v>
      </c>
      <c r="K47" s="164">
        <v>1655</v>
      </c>
      <c r="L47" s="164">
        <v>24</v>
      </c>
      <c r="M47" s="164">
        <v>410</v>
      </c>
      <c r="N47" s="530" t="s">
        <v>20</v>
      </c>
      <c r="O47" s="391"/>
      <c r="P47" s="167"/>
      <c r="Q47" s="167"/>
      <c r="R47" s="167"/>
      <c r="S47" s="357"/>
      <c r="T47" s="408"/>
      <c r="U47" s="167"/>
      <c r="V47" s="167">
        <v>8</v>
      </c>
      <c r="W47" s="167"/>
      <c r="X47" s="357"/>
      <c r="Y47" s="391"/>
      <c r="Z47" s="167"/>
      <c r="AA47" s="167">
        <v>8</v>
      </c>
      <c r="AB47" s="167"/>
      <c r="AC47" s="416"/>
      <c r="AD47" s="508">
        <v>8</v>
      </c>
      <c r="AE47" s="514" t="s">
        <v>202</v>
      </c>
      <c r="AF47" s="514" t="s">
        <v>228</v>
      </c>
      <c r="AG47" s="522" t="s">
        <v>115</v>
      </c>
      <c r="AH47" s="226" t="s">
        <v>79</v>
      </c>
      <c r="AI47" s="151" t="s">
        <v>162</v>
      </c>
      <c r="AJ47" s="400" t="s">
        <v>151</v>
      </c>
      <c r="AK47" s="182">
        <v>2400</v>
      </c>
      <c r="AL47" s="357"/>
    </row>
    <row r="48" spans="1:38" s="227" customFormat="1" ht="15" customHeight="1" x14ac:dyDescent="0.3">
      <c r="A48" s="171">
        <v>44064219</v>
      </c>
      <c r="B48" s="527" t="s">
        <v>221</v>
      </c>
      <c r="C48" s="527" t="s">
        <v>222</v>
      </c>
      <c r="D48" s="355" t="s">
        <v>240</v>
      </c>
      <c r="E48" s="165" t="s">
        <v>319</v>
      </c>
      <c r="F48" s="165" t="s">
        <v>318</v>
      </c>
      <c r="G48" s="164" t="s">
        <v>117</v>
      </c>
      <c r="H48" s="164">
        <v>23</v>
      </c>
      <c r="I48" s="164">
        <v>1030</v>
      </c>
      <c r="J48" s="164">
        <v>23</v>
      </c>
      <c r="K48" s="164">
        <v>1130</v>
      </c>
      <c r="L48" s="164">
        <v>24</v>
      </c>
      <c r="M48" s="164">
        <v>600</v>
      </c>
      <c r="N48" s="499" t="s">
        <v>260</v>
      </c>
      <c r="O48" s="391">
        <v>10</v>
      </c>
      <c r="P48" s="167"/>
      <c r="Q48" s="167"/>
      <c r="R48" s="167"/>
      <c r="S48" s="357"/>
      <c r="T48" s="408"/>
      <c r="U48" s="167">
        <v>5</v>
      </c>
      <c r="V48" s="167"/>
      <c r="W48" s="167"/>
      <c r="X48" s="357"/>
      <c r="Y48" s="391">
        <v>10</v>
      </c>
      <c r="Z48" s="167">
        <v>5</v>
      </c>
      <c r="AA48" s="167"/>
      <c r="AB48" s="167"/>
      <c r="AC48" s="416"/>
      <c r="AD48" s="508">
        <v>15</v>
      </c>
      <c r="AE48" s="514" t="s">
        <v>202</v>
      </c>
      <c r="AF48" s="514" t="s">
        <v>228</v>
      </c>
      <c r="AG48" s="522" t="s">
        <v>115</v>
      </c>
      <c r="AH48" s="524" t="s">
        <v>29</v>
      </c>
      <c r="AI48" s="151" t="s">
        <v>162</v>
      </c>
      <c r="AJ48" s="400" t="s">
        <v>151</v>
      </c>
      <c r="AK48" s="182">
        <v>70800</v>
      </c>
      <c r="AL48" s="357" t="s">
        <v>168</v>
      </c>
    </row>
    <row r="49" spans="1:38" s="227" customFormat="1" ht="15" customHeight="1" x14ac:dyDescent="0.3">
      <c r="A49" s="97">
        <v>45064919</v>
      </c>
      <c r="B49" s="527" t="s">
        <v>225</v>
      </c>
      <c r="C49" s="527" t="s">
        <v>226</v>
      </c>
      <c r="D49" s="485" t="s">
        <v>227</v>
      </c>
      <c r="E49" s="97" t="s">
        <v>355</v>
      </c>
      <c r="F49" s="97" t="s">
        <v>356</v>
      </c>
      <c r="G49" s="164" t="s">
        <v>117</v>
      </c>
      <c r="H49" s="164">
        <v>24</v>
      </c>
      <c r="I49" s="164">
        <v>1500</v>
      </c>
      <c r="J49" s="164">
        <v>24</v>
      </c>
      <c r="K49" s="164">
        <v>900</v>
      </c>
      <c r="L49" s="164">
        <v>24</v>
      </c>
      <c r="M49" s="164">
        <v>1620</v>
      </c>
      <c r="N49" s="499" t="s">
        <v>233</v>
      </c>
      <c r="O49" s="391">
        <v>2</v>
      </c>
      <c r="P49" s="167"/>
      <c r="Q49" s="167">
        <v>10</v>
      </c>
      <c r="R49" s="167"/>
      <c r="S49" s="357"/>
      <c r="T49" s="408"/>
      <c r="U49" s="167"/>
      <c r="V49" s="167"/>
      <c r="W49" s="167"/>
      <c r="X49" s="357"/>
      <c r="Y49" s="391">
        <v>2</v>
      </c>
      <c r="Z49" s="167"/>
      <c r="AA49" s="167">
        <v>10</v>
      </c>
      <c r="AB49" s="167"/>
      <c r="AC49" s="416"/>
      <c r="AD49" s="508">
        <v>12</v>
      </c>
      <c r="AE49" s="514" t="s">
        <v>164</v>
      </c>
      <c r="AF49" s="514" t="s">
        <v>164</v>
      </c>
      <c r="AG49" s="522" t="s">
        <v>115</v>
      </c>
      <c r="AH49" s="226" t="s">
        <v>79</v>
      </c>
      <c r="AI49" s="151" t="s">
        <v>162</v>
      </c>
      <c r="AJ49" s="400" t="s">
        <v>216</v>
      </c>
      <c r="AK49" s="182">
        <v>43000</v>
      </c>
      <c r="AL49" s="357"/>
    </row>
    <row r="50" spans="1:38" s="227" customFormat="1" ht="15" customHeight="1" x14ac:dyDescent="0.3">
      <c r="A50" s="483">
        <v>46062419</v>
      </c>
      <c r="B50" s="484" t="s">
        <v>147</v>
      </c>
      <c r="C50" s="484" t="s">
        <v>147</v>
      </c>
      <c r="D50" s="376" t="s">
        <v>182</v>
      </c>
      <c r="E50" s="521" t="s">
        <v>415</v>
      </c>
      <c r="F50" s="522" t="s">
        <v>292</v>
      </c>
      <c r="G50" s="164" t="s">
        <v>117</v>
      </c>
      <c r="H50" s="164">
        <v>24</v>
      </c>
      <c r="I50" s="164">
        <v>1100</v>
      </c>
      <c r="J50" s="164">
        <v>24</v>
      </c>
      <c r="K50" s="164">
        <v>1200</v>
      </c>
      <c r="L50" s="164">
        <v>24</v>
      </c>
      <c r="M50" s="164">
        <v>2100</v>
      </c>
      <c r="N50" s="499" t="s">
        <v>241</v>
      </c>
      <c r="O50" s="390"/>
      <c r="P50" s="99"/>
      <c r="Q50" s="99"/>
      <c r="R50" s="99"/>
      <c r="S50" s="200"/>
      <c r="T50" s="407">
        <v>7</v>
      </c>
      <c r="U50" s="99"/>
      <c r="V50" s="99">
        <v>8</v>
      </c>
      <c r="W50" s="99"/>
      <c r="X50" s="200">
        <v>3</v>
      </c>
      <c r="Y50" s="407">
        <v>7</v>
      </c>
      <c r="Z50" s="99"/>
      <c r="AA50" s="99">
        <v>8</v>
      </c>
      <c r="AB50" s="99"/>
      <c r="AC50" s="415">
        <v>3</v>
      </c>
      <c r="AD50" s="507">
        <v>18</v>
      </c>
      <c r="AE50" s="516" t="s">
        <v>148</v>
      </c>
      <c r="AF50" s="397" t="s">
        <v>149</v>
      </c>
      <c r="AG50" s="522" t="s">
        <v>115</v>
      </c>
      <c r="AH50" s="524" t="s">
        <v>78</v>
      </c>
      <c r="AI50" s="151" t="s">
        <v>150</v>
      </c>
      <c r="AJ50" s="373" t="s">
        <v>156</v>
      </c>
      <c r="AK50" s="182">
        <v>1062400</v>
      </c>
      <c r="AL50" s="357"/>
    </row>
    <row r="51" spans="1:38" s="227" customFormat="1" ht="15" customHeight="1" x14ac:dyDescent="0.3">
      <c r="A51" s="488">
        <v>47062019</v>
      </c>
      <c r="B51" s="526" t="s">
        <v>243</v>
      </c>
      <c r="C51" s="526" t="s">
        <v>243</v>
      </c>
      <c r="D51" s="355" t="s">
        <v>244</v>
      </c>
      <c r="E51" s="165" t="s">
        <v>386</v>
      </c>
      <c r="F51" s="165" t="s">
        <v>387</v>
      </c>
      <c r="G51" s="164" t="s">
        <v>117</v>
      </c>
      <c r="H51" s="164">
        <v>24</v>
      </c>
      <c r="I51" s="164">
        <v>1600</v>
      </c>
      <c r="J51" s="164">
        <v>24</v>
      </c>
      <c r="K51" s="164">
        <v>1610</v>
      </c>
      <c r="L51" s="164">
        <v>24</v>
      </c>
      <c r="M51" s="164">
        <v>2100</v>
      </c>
      <c r="N51" s="523" t="s">
        <v>19</v>
      </c>
      <c r="O51" s="391"/>
      <c r="P51" s="167">
        <v>0.5</v>
      </c>
      <c r="Q51" s="167">
        <v>0.5</v>
      </c>
      <c r="R51" s="167"/>
      <c r="S51" s="357"/>
      <c r="T51" s="408"/>
      <c r="U51" s="167"/>
      <c r="V51" s="167"/>
      <c r="W51" s="167"/>
      <c r="X51" s="357"/>
      <c r="Y51" s="391"/>
      <c r="Z51" s="167">
        <v>0.5</v>
      </c>
      <c r="AA51" s="167">
        <v>0.5</v>
      </c>
      <c r="AB51" s="167"/>
      <c r="AC51" s="416"/>
      <c r="AD51" s="508">
        <v>1</v>
      </c>
      <c r="AE51" s="516" t="s">
        <v>148</v>
      </c>
      <c r="AF51" s="519" t="s">
        <v>209</v>
      </c>
      <c r="AG51" s="522" t="s">
        <v>115</v>
      </c>
      <c r="AH51" s="226" t="s">
        <v>79</v>
      </c>
      <c r="AI51" s="151" t="s">
        <v>150</v>
      </c>
      <c r="AJ51" s="373" t="s">
        <v>208</v>
      </c>
      <c r="AK51" s="182">
        <v>1350</v>
      </c>
      <c r="AL51" s="357" t="s">
        <v>168</v>
      </c>
    </row>
    <row r="52" spans="1:38" s="227" customFormat="1" ht="15" customHeight="1" x14ac:dyDescent="0.3">
      <c r="A52" s="488">
        <v>48061319</v>
      </c>
      <c r="B52" s="526" t="s">
        <v>167</v>
      </c>
      <c r="C52" s="526" t="s">
        <v>262</v>
      </c>
      <c r="D52" s="355" t="s">
        <v>263</v>
      </c>
      <c r="E52" s="97" t="s">
        <v>406</v>
      </c>
      <c r="F52" s="97" t="s">
        <v>405</v>
      </c>
      <c r="G52" s="164" t="s">
        <v>367</v>
      </c>
      <c r="H52" s="164">
        <v>24</v>
      </c>
      <c r="I52" s="164">
        <v>1800</v>
      </c>
      <c r="J52" s="164">
        <v>24</v>
      </c>
      <c r="K52" s="164">
        <v>1935</v>
      </c>
      <c r="L52" s="164">
        <v>24</v>
      </c>
      <c r="M52" s="164">
        <v>2230</v>
      </c>
      <c r="N52" s="530" t="s">
        <v>20</v>
      </c>
      <c r="O52" s="391"/>
      <c r="P52" s="167"/>
      <c r="Q52" s="167"/>
      <c r="R52" s="167"/>
      <c r="S52" s="357"/>
      <c r="T52" s="408"/>
      <c r="U52" s="167"/>
      <c r="V52" s="167">
        <v>1.5</v>
      </c>
      <c r="W52" s="167"/>
      <c r="X52" s="357"/>
      <c r="Y52" s="391"/>
      <c r="Z52" s="167"/>
      <c r="AA52" s="167">
        <v>1.5</v>
      </c>
      <c r="AB52" s="167"/>
      <c r="AC52" s="416"/>
      <c r="AD52" s="508">
        <v>1.5</v>
      </c>
      <c r="AE52" s="514" t="s">
        <v>159</v>
      </c>
      <c r="AF52" s="515" t="s">
        <v>159</v>
      </c>
      <c r="AG52" s="522" t="s">
        <v>115</v>
      </c>
      <c r="AH52" s="226" t="s">
        <v>79</v>
      </c>
      <c r="AI52" s="151" t="s">
        <v>150</v>
      </c>
      <c r="AJ52" s="373" t="s">
        <v>156</v>
      </c>
      <c r="AK52" s="182">
        <v>450</v>
      </c>
      <c r="AL52" s="357"/>
    </row>
    <row r="53" spans="1:38" s="227" customFormat="1" ht="15" customHeight="1" x14ac:dyDescent="0.3">
      <c r="A53" s="171">
        <v>49064919</v>
      </c>
      <c r="B53" s="527" t="s">
        <v>225</v>
      </c>
      <c r="C53" s="527" t="s">
        <v>226</v>
      </c>
      <c r="D53" s="355" t="s">
        <v>264</v>
      </c>
      <c r="E53" s="97" t="s">
        <v>357</v>
      </c>
      <c r="F53" s="97" t="s">
        <v>358</v>
      </c>
      <c r="G53" s="164" t="s">
        <v>117</v>
      </c>
      <c r="H53" s="164">
        <v>25</v>
      </c>
      <c r="I53" s="164">
        <v>1230</v>
      </c>
      <c r="J53" s="164">
        <v>25</v>
      </c>
      <c r="K53" s="164"/>
      <c r="L53" s="164">
        <v>25</v>
      </c>
      <c r="M53" s="164">
        <v>1830</v>
      </c>
      <c r="N53" s="530" t="s">
        <v>20</v>
      </c>
      <c r="O53" s="391"/>
      <c r="P53" s="167"/>
      <c r="Q53" s="167"/>
      <c r="R53" s="167"/>
      <c r="S53" s="357"/>
      <c r="T53" s="408"/>
      <c r="U53" s="167"/>
      <c r="V53" s="167">
        <v>5</v>
      </c>
      <c r="W53" s="167"/>
      <c r="X53" s="357"/>
      <c r="Y53" s="391"/>
      <c r="Z53" s="167"/>
      <c r="AA53" s="167">
        <v>5</v>
      </c>
      <c r="AB53" s="167"/>
      <c r="AC53" s="416"/>
      <c r="AD53" s="508">
        <v>5</v>
      </c>
      <c r="AE53" s="514" t="s">
        <v>202</v>
      </c>
      <c r="AF53" s="514" t="s">
        <v>228</v>
      </c>
      <c r="AG53" s="522" t="s">
        <v>115</v>
      </c>
      <c r="AH53" s="226" t="s">
        <v>79</v>
      </c>
      <c r="AI53" s="151" t="s">
        <v>150</v>
      </c>
      <c r="AJ53" s="400"/>
      <c r="AK53" s="182">
        <v>1500</v>
      </c>
      <c r="AL53" s="357"/>
    </row>
    <row r="54" spans="1:38" s="227" customFormat="1" ht="15" customHeight="1" x14ac:dyDescent="0.3">
      <c r="A54" s="171">
        <v>50064219</v>
      </c>
      <c r="B54" s="527" t="s">
        <v>221</v>
      </c>
      <c r="C54" s="527" t="s">
        <v>221</v>
      </c>
      <c r="D54" s="528" t="s">
        <v>272</v>
      </c>
      <c r="E54" s="97" t="s">
        <v>321</v>
      </c>
      <c r="F54" s="97" t="s">
        <v>320</v>
      </c>
      <c r="G54" s="95" t="s">
        <v>117</v>
      </c>
      <c r="H54" s="95">
        <v>25</v>
      </c>
      <c r="I54" s="95">
        <v>1510</v>
      </c>
      <c r="J54" s="95">
        <v>25</v>
      </c>
      <c r="K54" s="95">
        <v>1525</v>
      </c>
      <c r="L54" s="95">
        <v>25</v>
      </c>
      <c r="M54" s="95">
        <v>2310</v>
      </c>
      <c r="N54" s="523" t="s">
        <v>19</v>
      </c>
      <c r="O54" s="390"/>
      <c r="P54" s="99"/>
      <c r="Q54" s="99"/>
      <c r="R54" s="99"/>
      <c r="S54" s="200"/>
      <c r="T54" s="407"/>
      <c r="U54" s="99">
        <v>9</v>
      </c>
      <c r="V54" s="99"/>
      <c r="W54" s="99"/>
      <c r="X54" s="200">
        <v>5</v>
      </c>
      <c r="Y54" s="390"/>
      <c r="Z54" s="99">
        <v>9</v>
      </c>
      <c r="AA54" s="99"/>
      <c r="AB54" s="99"/>
      <c r="AC54" s="415">
        <v>5</v>
      </c>
      <c r="AD54" s="507">
        <v>14</v>
      </c>
      <c r="AE54" s="514" t="s">
        <v>202</v>
      </c>
      <c r="AF54" s="514" t="s">
        <v>238</v>
      </c>
      <c r="AG54" s="522" t="s">
        <v>115</v>
      </c>
      <c r="AH54" s="524" t="s">
        <v>78</v>
      </c>
      <c r="AI54" s="151" t="s">
        <v>162</v>
      </c>
      <c r="AJ54" s="373" t="s">
        <v>151</v>
      </c>
      <c r="AK54" s="179">
        <v>183940</v>
      </c>
      <c r="AL54" s="200"/>
    </row>
    <row r="55" spans="1:38" s="547" customFormat="1" ht="15.75" customHeight="1" x14ac:dyDescent="0.3">
      <c r="A55" s="483">
        <v>51062419</v>
      </c>
      <c r="B55" s="484" t="s">
        <v>147</v>
      </c>
      <c r="C55" s="484" t="s">
        <v>147</v>
      </c>
      <c r="D55" s="376" t="s">
        <v>265</v>
      </c>
      <c r="E55" s="521" t="s">
        <v>414</v>
      </c>
      <c r="F55" s="522" t="s">
        <v>291</v>
      </c>
      <c r="G55" s="96" t="s">
        <v>117</v>
      </c>
      <c r="H55" s="489">
        <v>25</v>
      </c>
      <c r="I55" s="531">
        <v>1600</v>
      </c>
      <c r="J55" s="531">
        <v>25</v>
      </c>
      <c r="K55" s="531">
        <v>1630</v>
      </c>
      <c r="L55" s="531">
        <v>25</v>
      </c>
      <c r="M55" s="531">
        <v>2300</v>
      </c>
      <c r="N55" s="523" t="s">
        <v>234</v>
      </c>
      <c r="O55" s="532">
        <v>10</v>
      </c>
      <c r="P55" s="533">
        <v>5</v>
      </c>
      <c r="Q55" s="533"/>
      <c r="R55" s="533"/>
      <c r="S55" s="534"/>
      <c r="T55" s="535"/>
      <c r="U55" s="533"/>
      <c r="V55" s="533">
        <v>3</v>
      </c>
      <c r="W55" s="533"/>
      <c r="X55" s="536">
        <v>7</v>
      </c>
      <c r="Y55" s="537">
        <v>10</v>
      </c>
      <c r="Z55" s="538">
        <v>5</v>
      </c>
      <c r="AA55" s="538">
        <v>3</v>
      </c>
      <c r="AB55" s="538"/>
      <c r="AC55" s="539">
        <v>7</v>
      </c>
      <c r="AD55" s="540">
        <v>25</v>
      </c>
      <c r="AE55" s="514" t="s">
        <v>202</v>
      </c>
      <c r="AF55" s="514" t="s">
        <v>238</v>
      </c>
      <c r="AG55" s="541" t="s">
        <v>115</v>
      </c>
      <c r="AH55" s="542" t="s">
        <v>29</v>
      </c>
      <c r="AI55" s="543" t="s">
        <v>150</v>
      </c>
      <c r="AJ55" s="544" t="s">
        <v>156</v>
      </c>
      <c r="AK55" s="545">
        <v>1360900</v>
      </c>
      <c r="AL55" s="546" t="s">
        <v>168</v>
      </c>
    </row>
    <row r="56" spans="1:38" s="227" customFormat="1" ht="15" customHeight="1" x14ac:dyDescent="0.3">
      <c r="A56" s="511">
        <v>52062019</v>
      </c>
      <c r="B56" s="180" t="s">
        <v>243</v>
      </c>
      <c r="C56" s="180" t="s">
        <v>266</v>
      </c>
      <c r="D56" s="355" t="s">
        <v>273</v>
      </c>
      <c r="E56" s="165" t="s">
        <v>388</v>
      </c>
      <c r="F56" s="165" t="s">
        <v>389</v>
      </c>
      <c r="G56" s="164" t="s">
        <v>117</v>
      </c>
      <c r="H56" s="164">
        <v>25</v>
      </c>
      <c r="I56" s="164">
        <v>1720</v>
      </c>
      <c r="J56" s="164">
        <v>25</v>
      </c>
      <c r="K56" s="164">
        <v>1830</v>
      </c>
      <c r="L56" s="164">
        <v>25</v>
      </c>
      <c r="M56" s="164">
        <v>2330</v>
      </c>
      <c r="N56" s="495" t="s">
        <v>20</v>
      </c>
      <c r="O56" s="391"/>
      <c r="P56" s="167"/>
      <c r="Q56" s="167">
        <v>1</v>
      </c>
      <c r="R56" s="167"/>
      <c r="S56" s="357">
        <v>2</v>
      </c>
      <c r="T56" s="408"/>
      <c r="U56" s="167"/>
      <c r="V56" s="167"/>
      <c r="W56" s="167"/>
      <c r="X56" s="357"/>
      <c r="Y56" s="391"/>
      <c r="Z56" s="167"/>
      <c r="AA56" s="167">
        <v>1</v>
      </c>
      <c r="AB56" s="167"/>
      <c r="AC56" s="416">
        <v>2</v>
      </c>
      <c r="AD56" s="508">
        <v>3</v>
      </c>
      <c r="AE56" s="514" t="s">
        <v>202</v>
      </c>
      <c r="AF56" s="514" t="s">
        <v>228</v>
      </c>
      <c r="AG56" s="370" t="s">
        <v>115</v>
      </c>
      <c r="AH56" s="226" t="s">
        <v>79</v>
      </c>
      <c r="AI56" s="151" t="s">
        <v>150</v>
      </c>
      <c r="AJ56" s="400" t="s">
        <v>151</v>
      </c>
      <c r="AK56" s="182">
        <v>240000</v>
      </c>
      <c r="AL56" s="357" t="s">
        <v>168</v>
      </c>
    </row>
    <row r="57" spans="1:38" s="227" customFormat="1" ht="15" customHeight="1" x14ac:dyDescent="0.3">
      <c r="A57" s="138">
        <v>53064219</v>
      </c>
      <c r="B57" s="125" t="s">
        <v>221</v>
      </c>
      <c r="C57" s="125" t="s">
        <v>267</v>
      </c>
      <c r="D57" s="181" t="s">
        <v>274</v>
      </c>
      <c r="E57" s="165" t="s">
        <v>323</v>
      </c>
      <c r="F57" s="165" t="s">
        <v>322</v>
      </c>
      <c r="G57" s="164" t="s">
        <v>117</v>
      </c>
      <c r="H57" s="164">
        <v>25</v>
      </c>
      <c r="I57" s="164">
        <v>2345</v>
      </c>
      <c r="J57" s="164">
        <v>26</v>
      </c>
      <c r="K57" s="164">
        <v>2425</v>
      </c>
      <c r="L57" s="164">
        <v>26</v>
      </c>
      <c r="M57" s="164">
        <v>600</v>
      </c>
      <c r="N57" s="382" t="s">
        <v>234</v>
      </c>
      <c r="O57" s="391"/>
      <c r="P57" s="167"/>
      <c r="Q57" s="167"/>
      <c r="R57" s="167"/>
      <c r="S57" s="357"/>
      <c r="T57" s="408"/>
      <c r="U57" s="167">
        <v>2</v>
      </c>
      <c r="V57" s="167">
        <v>8</v>
      </c>
      <c r="W57" s="167"/>
      <c r="X57" s="357"/>
      <c r="Y57" s="391"/>
      <c r="Z57" s="167">
        <v>2</v>
      </c>
      <c r="AA57" s="167">
        <v>8</v>
      </c>
      <c r="AB57" s="167"/>
      <c r="AC57" s="416"/>
      <c r="AD57" s="508">
        <v>10</v>
      </c>
      <c r="AE57" s="514" t="s">
        <v>202</v>
      </c>
      <c r="AF57" s="514" t="s">
        <v>228</v>
      </c>
      <c r="AG57" s="517" t="s">
        <v>115</v>
      </c>
      <c r="AH57" s="226" t="s">
        <v>79</v>
      </c>
      <c r="AI57" s="151" t="s">
        <v>162</v>
      </c>
      <c r="AJ57" s="400" t="s">
        <v>151</v>
      </c>
      <c r="AK57" s="182">
        <v>14880</v>
      </c>
      <c r="AL57" s="357"/>
    </row>
    <row r="58" spans="1:38" s="227" customFormat="1" ht="15" customHeight="1" x14ac:dyDescent="0.3">
      <c r="A58" s="487">
        <v>54062419</v>
      </c>
      <c r="B58" s="180" t="s">
        <v>213</v>
      </c>
      <c r="C58" s="180" t="s">
        <v>213</v>
      </c>
      <c r="D58" s="355" t="s">
        <v>268</v>
      </c>
      <c r="E58" s="97" t="s">
        <v>334</v>
      </c>
      <c r="F58" s="97" t="s">
        <v>335</v>
      </c>
      <c r="G58" s="164" t="s">
        <v>117</v>
      </c>
      <c r="H58" s="164">
        <v>25</v>
      </c>
      <c r="I58" s="164">
        <v>1145</v>
      </c>
      <c r="J58" s="164">
        <v>25</v>
      </c>
      <c r="K58" s="164">
        <v>1200</v>
      </c>
      <c r="L58" s="164">
        <v>26</v>
      </c>
      <c r="M58" s="164">
        <v>1700</v>
      </c>
      <c r="N58" s="495" t="s">
        <v>233</v>
      </c>
      <c r="O58" s="391">
        <v>3</v>
      </c>
      <c r="P58" s="167"/>
      <c r="Q58" s="167">
        <v>5</v>
      </c>
      <c r="R58" s="167"/>
      <c r="S58" s="357"/>
      <c r="T58" s="408"/>
      <c r="U58" s="167"/>
      <c r="V58" s="167"/>
      <c r="W58" s="167"/>
      <c r="X58" s="357"/>
      <c r="Y58" s="391">
        <v>3</v>
      </c>
      <c r="Z58" s="167"/>
      <c r="AA58" s="167">
        <v>5</v>
      </c>
      <c r="AB58" s="167"/>
      <c r="AC58" s="416"/>
      <c r="AD58" s="508">
        <v>8</v>
      </c>
      <c r="AE58" s="514" t="s">
        <v>202</v>
      </c>
      <c r="AF58" s="514" t="s">
        <v>228</v>
      </c>
      <c r="AG58" s="370" t="s">
        <v>115</v>
      </c>
      <c r="AH58" s="226" t="s">
        <v>79</v>
      </c>
      <c r="AI58" s="151" t="s">
        <v>150</v>
      </c>
      <c r="AJ58" s="373" t="s">
        <v>275</v>
      </c>
      <c r="AK58" s="182">
        <v>2400</v>
      </c>
      <c r="AL58" s="357" t="s">
        <v>168</v>
      </c>
    </row>
    <row r="59" spans="1:38" s="227" customFormat="1" ht="15" customHeight="1" x14ac:dyDescent="0.3">
      <c r="A59" s="511">
        <v>55061318</v>
      </c>
      <c r="B59" s="180" t="s">
        <v>167</v>
      </c>
      <c r="C59" s="180" t="s">
        <v>262</v>
      </c>
      <c r="D59" s="355" t="s">
        <v>166</v>
      </c>
      <c r="E59" s="525" t="s">
        <v>413</v>
      </c>
      <c r="F59" s="522" t="s">
        <v>369</v>
      </c>
      <c r="G59" s="164" t="s">
        <v>367</v>
      </c>
      <c r="H59" s="164">
        <v>26</v>
      </c>
      <c r="I59" s="164">
        <v>1215</v>
      </c>
      <c r="J59" s="164">
        <v>26</v>
      </c>
      <c r="K59" s="164">
        <v>1230</v>
      </c>
      <c r="L59" s="164">
        <v>26</v>
      </c>
      <c r="M59" s="164">
        <v>1920</v>
      </c>
      <c r="N59" s="499" t="s">
        <v>276</v>
      </c>
      <c r="O59" s="391">
        <v>2</v>
      </c>
      <c r="P59" s="167"/>
      <c r="Q59" s="167">
        <v>4</v>
      </c>
      <c r="R59" s="167"/>
      <c r="S59" s="357"/>
      <c r="T59" s="408"/>
      <c r="U59" s="167"/>
      <c r="V59" s="167"/>
      <c r="W59" s="167"/>
      <c r="X59" s="357"/>
      <c r="Y59" s="391">
        <v>2</v>
      </c>
      <c r="Z59" s="167"/>
      <c r="AA59" s="167">
        <v>4</v>
      </c>
      <c r="AB59" s="167"/>
      <c r="AC59" s="416"/>
      <c r="AD59" s="508">
        <v>6</v>
      </c>
      <c r="AE59" s="516" t="s">
        <v>148</v>
      </c>
      <c r="AF59" s="397" t="s">
        <v>149</v>
      </c>
      <c r="AG59" s="370" t="s">
        <v>115</v>
      </c>
      <c r="AH59" s="226" t="s">
        <v>94</v>
      </c>
      <c r="AI59" s="151" t="s">
        <v>150</v>
      </c>
      <c r="AJ59" s="373" t="s">
        <v>156</v>
      </c>
      <c r="AK59" s="182">
        <v>24200</v>
      </c>
      <c r="AL59" s="357" t="s">
        <v>168</v>
      </c>
    </row>
    <row r="60" spans="1:38" s="227" customFormat="1" ht="15" customHeight="1" x14ac:dyDescent="0.3">
      <c r="A60" s="487">
        <v>56062419</v>
      </c>
      <c r="B60" s="180" t="s">
        <v>213</v>
      </c>
      <c r="C60" s="180" t="s">
        <v>213</v>
      </c>
      <c r="D60" s="355" t="s">
        <v>240</v>
      </c>
      <c r="E60" s="97" t="s">
        <v>336</v>
      </c>
      <c r="F60" s="97" t="s">
        <v>327</v>
      </c>
      <c r="G60" s="164" t="s">
        <v>117</v>
      </c>
      <c r="H60" s="164">
        <v>25</v>
      </c>
      <c r="I60" s="164">
        <v>2400</v>
      </c>
      <c r="J60" s="164">
        <v>25</v>
      </c>
      <c r="K60" s="164"/>
      <c r="L60" s="164">
        <v>26</v>
      </c>
      <c r="M60" s="164">
        <v>1930</v>
      </c>
      <c r="N60" s="499" t="s">
        <v>277</v>
      </c>
      <c r="O60" s="391">
        <v>1</v>
      </c>
      <c r="P60" s="167"/>
      <c r="Q60" s="167">
        <v>45</v>
      </c>
      <c r="R60" s="167"/>
      <c r="S60" s="357"/>
      <c r="T60" s="408"/>
      <c r="U60" s="167"/>
      <c r="V60" s="167"/>
      <c r="W60" s="167"/>
      <c r="X60" s="357"/>
      <c r="Y60" s="391">
        <v>1</v>
      </c>
      <c r="Z60" s="167"/>
      <c r="AA60" s="167">
        <v>45</v>
      </c>
      <c r="AB60" s="167"/>
      <c r="AC60" s="416"/>
      <c r="AD60" s="508">
        <v>46</v>
      </c>
      <c r="AE60" s="514" t="s">
        <v>202</v>
      </c>
      <c r="AF60" s="514" t="s">
        <v>228</v>
      </c>
      <c r="AG60" s="370" t="s">
        <v>115</v>
      </c>
      <c r="AH60" s="226" t="s">
        <v>94</v>
      </c>
      <c r="AI60" s="151" t="s">
        <v>162</v>
      </c>
      <c r="AJ60" s="373" t="s">
        <v>278</v>
      </c>
      <c r="AK60" s="182">
        <v>13800</v>
      </c>
      <c r="AL60" s="357" t="s">
        <v>168</v>
      </c>
    </row>
    <row r="61" spans="1:38" s="227" customFormat="1" ht="15" customHeight="1" x14ac:dyDescent="0.3">
      <c r="A61" s="511">
        <v>57062019</v>
      </c>
      <c r="B61" s="125" t="s">
        <v>243</v>
      </c>
      <c r="C61" s="180" t="s">
        <v>269</v>
      </c>
      <c r="D61" s="355" t="s">
        <v>270</v>
      </c>
      <c r="E61" s="165" t="s">
        <v>390</v>
      </c>
      <c r="F61" s="165" t="s">
        <v>391</v>
      </c>
      <c r="G61" s="164" t="s">
        <v>117</v>
      </c>
      <c r="H61" s="164">
        <v>26</v>
      </c>
      <c r="I61" s="164">
        <v>1540</v>
      </c>
      <c r="J61" s="164">
        <v>26</v>
      </c>
      <c r="K61" s="164">
        <v>1610</v>
      </c>
      <c r="L61" s="164">
        <v>26</v>
      </c>
      <c r="M61" s="164">
        <v>1655</v>
      </c>
      <c r="N61" s="495" t="s">
        <v>20</v>
      </c>
      <c r="O61" s="391"/>
      <c r="P61" s="167"/>
      <c r="Q61" s="167"/>
      <c r="R61" s="167"/>
      <c r="S61" s="357"/>
      <c r="T61" s="408"/>
      <c r="U61" s="167"/>
      <c r="V61" s="167">
        <v>0.5</v>
      </c>
      <c r="W61" s="167"/>
      <c r="X61" s="357">
        <v>0.4</v>
      </c>
      <c r="Y61" s="391"/>
      <c r="Z61" s="167"/>
      <c r="AA61" s="167">
        <v>0.5</v>
      </c>
      <c r="AB61" s="167"/>
      <c r="AC61" s="416">
        <v>0.4</v>
      </c>
      <c r="AD61" s="508">
        <v>0.9</v>
      </c>
      <c r="AE61" s="516" t="s">
        <v>148</v>
      </c>
      <c r="AF61" s="397" t="s">
        <v>149</v>
      </c>
      <c r="AG61" s="370" t="s">
        <v>115</v>
      </c>
      <c r="AH61" s="372" t="s">
        <v>29</v>
      </c>
      <c r="AI61" s="151" t="s">
        <v>150</v>
      </c>
      <c r="AJ61" s="373" t="s">
        <v>156</v>
      </c>
      <c r="AK61" s="182">
        <v>48150</v>
      </c>
      <c r="AL61" s="357"/>
    </row>
    <row r="62" spans="1:38" s="227" customFormat="1" ht="15" customHeight="1" x14ac:dyDescent="0.3">
      <c r="A62" s="138">
        <v>58064219</v>
      </c>
      <c r="B62" s="125" t="s">
        <v>221</v>
      </c>
      <c r="C62" s="125" t="s">
        <v>221</v>
      </c>
      <c r="D62" s="181" t="s">
        <v>271</v>
      </c>
      <c r="E62" s="165" t="s">
        <v>325</v>
      </c>
      <c r="F62" s="165" t="s">
        <v>324</v>
      </c>
      <c r="G62" s="164" t="s">
        <v>117</v>
      </c>
      <c r="H62" s="164">
        <v>26</v>
      </c>
      <c r="I62" s="164">
        <v>2100</v>
      </c>
      <c r="J62" s="164">
        <v>26</v>
      </c>
      <c r="K62" s="164">
        <v>2115</v>
      </c>
      <c r="L62" s="164">
        <v>27</v>
      </c>
      <c r="M62" s="164">
        <v>310</v>
      </c>
      <c r="N62" s="382" t="s">
        <v>234</v>
      </c>
      <c r="O62" s="391"/>
      <c r="P62" s="167"/>
      <c r="Q62" s="167"/>
      <c r="R62" s="167"/>
      <c r="S62" s="357"/>
      <c r="T62" s="408"/>
      <c r="U62" s="167">
        <v>5</v>
      </c>
      <c r="V62" s="167">
        <v>7</v>
      </c>
      <c r="W62" s="167"/>
      <c r="X62" s="357"/>
      <c r="Y62" s="391"/>
      <c r="Z62" s="167">
        <v>5</v>
      </c>
      <c r="AA62" s="167">
        <v>7</v>
      </c>
      <c r="AB62" s="167"/>
      <c r="AC62" s="416"/>
      <c r="AD62" s="508">
        <v>12</v>
      </c>
      <c r="AE62" s="514" t="s">
        <v>202</v>
      </c>
      <c r="AF62" s="514" t="s">
        <v>228</v>
      </c>
      <c r="AG62" s="370" t="s">
        <v>115</v>
      </c>
      <c r="AH62" s="226" t="s">
        <v>79</v>
      </c>
      <c r="AI62" s="151" t="s">
        <v>162</v>
      </c>
      <c r="AJ62" s="400" t="s">
        <v>151</v>
      </c>
      <c r="AK62" s="182">
        <v>18480</v>
      </c>
      <c r="AL62" s="357"/>
    </row>
    <row r="63" spans="1:38" s="227" customFormat="1" ht="15" customHeight="1" x14ac:dyDescent="0.3">
      <c r="A63" s="487">
        <v>59062419</v>
      </c>
      <c r="B63" s="180" t="s">
        <v>213</v>
      </c>
      <c r="C63" s="180" t="s">
        <v>213</v>
      </c>
      <c r="D63" s="355" t="s">
        <v>279</v>
      </c>
      <c r="E63" s="97" t="s">
        <v>337</v>
      </c>
      <c r="F63" s="97" t="s">
        <v>338</v>
      </c>
      <c r="G63" s="164" t="s">
        <v>117</v>
      </c>
      <c r="H63" s="164">
        <v>27</v>
      </c>
      <c r="I63" s="164">
        <v>1620</v>
      </c>
      <c r="J63" s="164">
        <v>27</v>
      </c>
      <c r="K63" s="164">
        <v>1640</v>
      </c>
      <c r="L63" s="164">
        <v>27</v>
      </c>
      <c r="M63" s="164">
        <v>1800</v>
      </c>
      <c r="N63" s="495" t="s">
        <v>20</v>
      </c>
      <c r="O63" s="391"/>
      <c r="P63" s="167"/>
      <c r="Q63" s="167"/>
      <c r="R63" s="167"/>
      <c r="S63" s="357"/>
      <c r="T63" s="408"/>
      <c r="U63" s="167"/>
      <c r="V63" s="167">
        <v>2</v>
      </c>
      <c r="W63" s="167"/>
      <c r="X63" s="357"/>
      <c r="Y63" s="391"/>
      <c r="Z63" s="167"/>
      <c r="AA63" s="167">
        <v>2</v>
      </c>
      <c r="AB63" s="167"/>
      <c r="AC63" s="416"/>
      <c r="AD63" s="508">
        <v>2</v>
      </c>
      <c r="AE63" s="514" t="s">
        <v>202</v>
      </c>
      <c r="AF63" s="514" t="s">
        <v>228</v>
      </c>
      <c r="AG63" s="370" t="s">
        <v>115</v>
      </c>
      <c r="AH63" s="226" t="s">
        <v>79</v>
      </c>
      <c r="AI63" s="151" t="s">
        <v>162</v>
      </c>
      <c r="AJ63" s="373" t="s">
        <v>156</v>
      </c>
      <c r="AK63" s="182">
        <v>600</v>
      </c>
      <c r="AL63" s="357"/>
    </row>
    <row r="64" spans="1:38" s="227" customFormat="1" ht="15" customHeight="1" x14ac:dyDescent="0.3">
      <c r="A64" s="138">
        <v>60064819</v>
      </c>
      <c r="B64" s="125" t="s">
        <v>219</v>
      </c>
      <c r="C64" s="125" t="s">
        <v>220</v>
      </c>
      <c r="D64" s="143" t="s">
        <v>257</v>
      </c>
      <c r="E64" s="97" t="s">
        <v>359</v>
      </c>
      <c r="F64" s="97" t="s">
        <v>358</v>
      </c>
      <c r="G64" s="164" t="s">
        <v>117</v>
      </c>
      <c r="H64" s="164">
        <v>27</v>
      </c>
      <c r="I64" s="164">
        <v>1230</v>
      </c>
      <c r="J64" s="164">
        <v>27</v>
      </c>
      <c r="K64" s="164">
        <v>1300</v>
      </c>
      <c r="L64" s="164">
        <v>27</v>
      </c>
      <c r="M64" s="164">
        <v>2015</v>
      </c>
      <c r="N64" s="382" t="s">
        <v>234</v>
      </c>
      <c r="O64" s="391"/>
      <c r="P64" s="167"/>
      <c r="Q64" s="167"/>
      <c r="R64" s="167"/>
      <c r="S64" s="357"/>
      <c r="T64" s="408"/>
      <c r="U64" s="167">
        <v>0.5</v>
      </c>
      <c r="V64" s="167">
        <v>1</v>
      </c>
      <c r="W64" s="167"/>
      <c r="X64" s="357"/>
      <c r="Y64" s="391"/>
      <c r="Z64" s="167">
        <v>0.5</v>
      </c>
      <c r="AA64" s="167">
        <v>1</v>
      </c>
      <c r="AB64" s="167"/>
      <c r="AC64" s="416"/>
      <c r="AD64" s="508">
        <v>1.5</v>
      </c>
      <c r="AE64" s="514" t="s">
        <v>202</v>
      </c>
      <c r="AF64" s="514" t="s">
        <v>228</v>
      </c>
      <c r="AG64" s="370" t="s">
        <v>115</v>
      </c>
      <c r="AH64" s="226" t="s">
        <v>80</v>
      </c>
      <c r="AI64" s="151" t="s">
        <v>162</v>
      </c>
      <c r="AJ64" s="400" t="s">
        <v>151</v>
      </c>
      <c r="AK64" s="182">
        <v>60300</v>
      </c>
      <c r="AL64" s="357" t="s">
        <v>168</v>
      </c>
    </row>
    <row r="65" spans="1:144" s="227" customFormat="1" ht="15" customHeight="1" x14ac:dyDescent="0.3">
      <c r="A65" s="105">
        <v>61061819</v>
      </c>
      <c r="B65" s="125" t="s">
        <v>205</v>
      </c>
      <c r="C65" s="125" t="s">
        <v>217</v>
      </c>
      <c r="D65" s="181" t="s">
        <v>366</v>
      </c>
      <c r="E65" s="521" t="s">
        <v>412</v>
      </c>
      <c r="F65" s="522" t="s">
        <v>398</v>
      </c>
      <c r="G65" s="164" t="s">
        <v>367</v>
      </c>
      <c r="H65" s="164">
        <v>27</v>
      </c>
      <c r="I65" s="164">
        <v>1635</v>
      </c>
      <c r="J65" s="164">
        <v>27</v>
      </c>
      <c r="K65" s="164">
        <v>1650</v>
      </c>
      <c r="L65" s="164">
        <v>27</v>
      </c>
      <c r="M65" s="164">
        <v>2100</v>
      </c>
      <c r="N65" s="518"/>
      <c r="O65" s="391"/>
      <c r="P65" s="167"/>
      <c r="Q65" s="167"/>
      <c r="R65" s="167"/>
      <c r="S65" s="357"/>
      <c r="T65" s="408"/>
      <c r="U65" s="167"/>
      <c r="V65" s="167"/>
      <c r="W65" s="167"/>
      <c r="X65" s="357">
        <v>3</v>
      </c>
      <c r="Y65" s="391"/>
      <c r="Z65" s="167"/>
      <c r="AA65" s="167"/>
      <c r="AB65" s="167"/>
      <c r="AC65" s="416">
        <v>3</v>
      </c>
      <c r="AD65" s="508">
        <v>3</v>
      </c>
      <c r="AE65" s="516" t="s">
        <v>148</v>
      </c>
      <c r="AF65" s="397" t="s">
        <v>149</v>
      </c>
      <c r="AG65" s="370" t="s">
        <v>115</v>
      </c>
      <c r="AH65" s="226" t="s">
        <v>94</v>
      </c>
      <c r="AI65" s="151" t="s">
        <v>150</v>
      </c>
      <c r="AJ65" s="373" t="s">
        <v>165</v>
      </c>
      <c r="AK65" s="182">
        <v>360000</v>
      </c>
      <c r="AL65" s="357"/>
    </row>
    <row r="66" spans="1:144" s="227" customFormat="1" ht="15" customHeight="1" x14ac:dyDescent="0.3">
      <c r="A66" s="487">
        <v>62062419</v>
      </c>
      <c r="B66" s="125" t="s">
        <v>213</v>
      </c>
      <c r="C66" s="125" t="s">
        <v>213</v>
      </c>
      <c r="D66" s="355" t="s">
        <v>280</v>
      </c>
      <c r="E66" s="97" t="s">
        <v>360</v>
      </c>
      <c r="F66" s="97" t="s">
        <v>361</v>
      </c>
      <c r="G66" s="164" t="s">
        <v>117</v>
      </c>
      <c r="H66" s="164">
        <v>24</v>
      </c>
      <c r="I66" s="164">
        <v>1330</v>
      </c>
      <c r="J66" s="164">
        <v>27</v>
      </c>
      <c r="K66" s="164">
        <v>1340</v>
      </c>
      <c r="L66" s="164">
        <v>27</v>
      </c>
      <c r="M66" s="164">
        <v>2220</v>
      </c>
      <c r="N66" s="495" t="s">
        <v>20</v>
      </c>
      <c r="O66" s="391"/>
      <c r="P66" s="167"/>
      <c r="Q66" s="167">
        <v>55</v>
      </c>
      <c r="R66" s="167"/>
      <c r="S66" s="357"/>
      <c r="T66" s="408"/>
      <c r="U66" s="167"/>
      <c r="V66" s="167"/>
      <c r="W66" s="167"/>
      <c r="X66" s="357"/>
      <c r="Y66" s="391"/>
      <c r="Z66" s="167"/>
      <c r="AA66" s="167">
        <v>55</v>
      </c>
      <c r="AB66" s="167"/>
      <c r="AC66" s="416"/>
      <c r="AD66" s="508">
        <v>55</v>
      </c>
      <c r="AE66" s="514" t="s">
        <v>202</v>
      </c>
      <c r="AF66" s="514" t="s">
        <v>228</v>
      </c>
      <c r="AG66" s="370" t="s">
        <v>115</v>
      </c>
      <c r="AH66" s="325" t="s">
        <v>78</v>
      </c>
      <c r="AI66" s="151" t="s">
        <v>150</v>
      </c>
      <c r="AJ66" s="400" t="s">
        <v>151</v>
      </c>
      <c r="AK66" s="182">
        <v>16500</v>
      </c>
      <c r="AL66" s="357"/>
    </row>
    <row r="67" spans="1:144" s="227" customFormat="1" ht="15" customHeight="1" x14ac:dyDescent="0.3">
      <c r="A67" s="548">
        <v>63061519</v>
      </c>
      <c r="B67" s="549" t="s">
        <v>169</v>
      </c>
      <c r="C67" s="549" t="s">
        <v>172</v>
      </c>
      <c r="D67" s="529" t="s">
        <v>281</v>
      </c>
      <c r="E67" s="521" t="s">
        <v>411</v>
      </c>
      <c r="F67" s="522" t="s">
        <v>399</v>
      </c>
      <c r="G67" s="164" t="s">
        <v>117</v>
      </c>
      <c r="H67" s="164">
        <v>27</v>
      </c>
      <c r="I67" s="164">
        <v>1945</v>
      </c>
      <c r="J67" s="164">
        <v>27</v>
      </c>
      <c r="K67" s="164">
        <v>2015</v>
      </c>
      <c r="L67" s="164">
        <v>28</v>
      </c>
      <c r="M67" s="164">
        <v>130</v>
      </c>
      <c r="N67" s="523" t="s">
        <v>234</v>
      </c>
      <c r="O67" s="391"/>
      <c r="P67" s="167"/>
      <c r="Q67" s="167"/>
      <c r="R67" s="167"/>
      <c r="S67" s="357"/>
      <c r="T67" s="408"/>
      <c r="U67" s="167">
        <v>7</v>
      </c>
      <c r="V67" s="167">
        <v>8</v>
      </c>
      <c r="W67" s="167"/>
      <c r="X67" s="357">
        <v>10</v>
      </c>
      <c r="Y67" s="391"/>
      <c r="Z67" s="167">
        <v>7</v>
      </c>
      <c r="AA67" s="167">
        <v>8</v>
      </c>
      <c r="AB67" s="167"/>
      <c r="AC67" s="357">
        <v>10</v>
      </c>
      <c r="AD67" s="508">
        <v>25</v>
      </c>
      <c r="AE67" s="514" t="s">
        <v>202</v>
      </c>
      <c r="AF67" s="514" t="s">
        <v>238</v>
      </c>
      <c r="AG67" s="541" t="s">
        <v>115</v>
      </c>
      <c r="AH67" s="226" t="s">
        <v>94</v>
      </c>
      <c r="AI67" s="151" t="s">
        <v>150</v>
      </c>
      <c r="AJ67" s="400" t="s">
        <v>151</v>
      </c>
      <c r="AK67" s="182">
        <v>1229700</v>
      </c>
      <c r="AL67" s="357"/>
    </row>
    <row r="68" spans="1:144" s="227" customFormat="1" ht="15" customHeight="1" x14ac:dyDescent="0.3">
      <c r="A68" s="487">
        <v>64062419</v>
      </c>
      <c r="B68" s="125" t="s">
        <v>213</v>
      </c>
      <c r="C68" s="180" t="s">
        <v>213</v>
      </c>
      <c r="D68" s="355" t="s">
        <v>240</v>
      </c>
      <c r="E68" s="97" t="s">
        <v>363</v>
      </c>
      <c r="F68" s="97" t="s">
        <v>362</v>
      </c>
      <c r="G68" s="164" t="s">
        <v>117</v>
      </c>
      <c r="H68" s="164">
        <v>27</v>
      </c>
      <c r="I68" s="164">
        <v>1910</v>
      </c>
      <c r="J68" s="164">
        <v>27</v>
      </c>
      <c r="K68" s="164">
        <v>1940</v>
      </c>
      <c r="L68" s="164">
        <v>28</v>
      </c>
      <c r="M68" s="164">
        <v>1035</v>
      </c>
      <c r="N68" s="495" t="s">
        <v>20</v>
      </c>
      <c r="O68" s="391"/>
      <c r="P68" s="167"/>
      <c r="Q68" s="167">
        <v>15</v>
      </c>
      <c r="R68" s="167"/>
      <c r="S68" s="357"/>
      <c r="T68" s="408"/>
      <c r="U68" s="167"/>
      <c r="V68" s="167"/>
      <c r="W68" s="167"/>
      <c r="X68" s="357"/>
      <c r="Y68" s="391"/>
      <c r="Z68" s="167"/>
      <c r="AA68" s="167">
        <v>15</v>
      </c>
      <c r="AB68" s="167"/>
      <c r="AC68" s="416"/>
      <c r="AD68" s="508">
        <v>15</v>
      </c>
      <c r="AE68" s="514" t="s">
        <v>164</v>
      </c>
      <c r="AF68" s="514" t="s">
        <v>164</v>
      </c>
      <c r="AG68" s="370" t="s">
        <v>115</v>
      </c>
      <c r="AH68" s="226" t="s">
        <v>79</v>
      </c>
      <c r="AI68" s="151" t="s">
        <v>150</v>
      </c>
      <c r="AJ68" s="400" t="s">
        <v>151</v>
      </c>
      <c r="AK68" s="182">
        <v>4500</v>
      </c>
      <c r="AL68" s="357"/>
    </row>
    <row r="69" spans="1:144" s="227" customFormat="1" ht="15" customHeight="1" x14ac:dyDescent="0.3">
      <c r="A69" s="123">
        <v>65064619</v>
      </c>
      <c r="B69" s="493" t="s">
        <v>282</v>
      </c>
      <c r="C69" s="485" t="s">
        <v>283</v>
      </c>
      <c r="D69" s="512" t="s">
        <v>284</v>
      </c>
      <c r="E69" s="165" t="s">
        <v>392</v>
      </c>
      <c r="F69" s="165" t="s">
        <v>393</v>
      </c>
      <c r="G69" s="164" t="s">
        <v>117</v>
      </c>
      <c r="H69" s="164">
        <v>28</v>
      </c>
      <c r="I69" s="164">
        <v>1630</v>
      </c>
      <c r="J69" s="164">
        <v>28</v>
      </c>
      <c r="K69" s="164">
        <v>1650</v>
      </c>
      <c r="L69" s="164">
        <v>28</v>
      </c>
      <c r="M69" s="164">
        <v>1920</v>
      </c>
      <c r="N69" s="499" t="s">
        <v>51</v>
      </c>
      <c r="O69" s="391"/>
      <c r="P69" s="167">
        <v>2</v>
      </c>
      <c r="Q69" s="167"/>
      <c r="R69" s="167"/>
      <c r="S69" s="357"/>
      <c r="T69" s="408"/>
      <c r="U69" s="167"/>
      <c r="V69" s="167"/>
      <c r="W69" s="167"/>
      <c r="X69" s="357"/>
      <c r="Y69" s="391"/>
      <c r="Z69" s="167">
        <v>2</v>
      </c>
      <c r="AA69" s="167"/>
      <c r="AB69" s="167"/>
      <c r="AC69" s="416"/>
      <c r="AD69" s="508">
        <v>2</v>
      </c>
      <c r="AE69" s="514" t="s">
        <v>202</v>
      </c>
      <c r="AF69" s="514" t="s">
        <v>228</v>
      </c>
      <c r="AG69" s="370" t="s">
        <v>115</v>
      </c>
      <c r="AH69" s="325" t="s">
        <v>78</v>
      </c>
      <c r="AI69" s="151" t="s">
        <v>150</v>
      </c>
      <c r="AJ69" s="400" t="s">
        <v>216</v>
      </c>
      <c r="AK69" s="182">
        <v>1800</v>
      </c>
      <c r="AL69" s="357" t="s">
        <v>168</v>
      </c>
    </row>
    <row r="70" spans="1:144" s="227" customFormat="1" ht="15" customHeight="1" x14ac:dyDescent="0.3">
      <c r="A70" s="511">
        <v>66062019</v>
      </c>
      <c r="B70" s="125" t="s">
        <v>243</v>
      </c>
      <c r="C70" s="180" t="s">
        <v>243</v>
      </c>
      <c r="D70" s="355" t="s">
        <v>244</v>
      </c>
      <c r="E70" s="165" t="s">
        <v>394</v>
      </c>
      <c r="F70" s="165" t="s">
        <v>395</v>
      </c>
      <c r="G70" s="164" t="s">
        <v>117</v>
      </c>
      <c r="H70" s="164">
        <v>30</v>
      </c>
      <c r="I70" s="164">
        <v>1915</v>
      </c>
      <c r="J70" s="164">
        <v>30</v>
      </c>
      <c r="K70" s="164">
        <v>1930</v>
      </c>
      <c r="L70" s="164">
        <v>30</v>
      </c>
      <c r="M70" s="164">
        <v>2135</v>
      </c>
      <c r="N70" s="495" t="s">
        <v>20</v>
      </c>
      <c r="O70" s="391"/>
      <c r="P70" s="167"/>
      <c r="Q70" s="167">
        <v>0.2</v>
      </c>
      <c r="R70" s="167"/>
      <c r="S70" s="357"/>
      <c r="T70" s="408"/>
      <c r="U70" s="167"/>
      <c r="V70" s="167"/>
      <c r="W70" s="167"/>
      <c r="X70" s="357"/>
      <c r="Y70" s="391"/>
      <c r="Z70" s="167"/>
      <c r="AA70" s="167">
        <v>0.2</v>
      </c>
      <c r="AB70" s="167"/>
      <c r="AC70" s="416"/>
      <c r="AD70" s="508">
        <v>0.2</v>
      </c>
      <c r="AE70" s="514" t="s">
        <v>159</v>
      </c>
      <c r="AF70" s="514" t="s">
        <v>159</v>
      </c>
      <c r="AG70" s="370" t="s">
        <v>115</v>
      </c>
      <c r="AH70" s="372" t="s">
        <v>29</v>
      </c>
      <c r="AI70" s="151" t="s">
        <v>285</v>
      </c>
      <c r="AJ70" s="373" t="s">
        <v>156</v>
      </c>
      <c r="AK70" s="182">
        <v>60</v>
      </c>
      <c r="AL70" s="357" t="s">
        <v>168</v>
      </c>
    </row>
    <row r="71" spans="1:144" s="227" customFormat="1" ht="15" customHeight="1" x14ac:dyDescent="0.3">
      <c r="A71" s="511">
        <v>67062019</v>
      </c>
      <c r="B71" s="125" t="s">
        <v>243</v>
      </c>
      <c r="C71" s="180" t="s">
        <v>243</v>
      </c>
      <c r="D71" s="355" t="s">
        <v>284</v>
      </c>
      <c r="E71" s="97" t="s">
        <v>396</v>
      </c>
      <c r="F71" s="165" t="s">
        <v>397</v>
      </c>
      <c r="G71" s="164" t="s">
        <v>117</v>
      </c>
      <c r="H71" s="164">
        <v>30</v>
      </c>
      <c r="I71" s="164">
        <v>1730</v>
      </c>
      <c r="J71" s="164">
        <v>30</v>
      </c>
      <c r="K71" s="164">
        <v>1830</v>
      </c>
      <c r="L71" s="164">
        <v>30</v>
      </c>
      <c r="M71" s="164">
        <v>2200</v>
      </c>
      <c r="N71" s="499" t="s">
        <v>241</v>
      </c>
      <c r="O71" s="391">
        <v>2</v>
      </c>
      <c r="P71" s="167"/>
      <c r="Q71" s="167">
        <v>3</v>
      </c>
      <c r="R71" s="167"/>
      <c r="S71" s="357"/>
      <c r="T71" s="408"/>
      <c r="U71" s="167"/>
      <c r="V71" s="167"/>
      <c r="W71" s="167"/>
      <c r="X71" s="357"/>
      <c r="Y71" s="391">
        <v>2</v>
      </c>
      <c r="Z71" s="167"/>
      <c r="AA71" s="167">
        <v>3</v>
      </c>
      <c r="AB71" s="167"/>
      <c r="AC71" s="416"/>
      <c r="AD71" s="508">
        <v>5</v>
      </c>
      <c r="AE71" s="514" t="s">
        <v>202</v>
      </c>
      <c r="AF71" s="514" t="s">
        <v>228</v>
      </c>
      <c r="AG71" s="370" t="s">
        <v>115</v>
      </c>
      <c r="AH71" s="325" t="s">
        <v>78</v>
      </c>
      <c r="AI71" s="151" t="s">
        <v>285</v>
      </c>
      <c r="AJ71" s="400" t="s">
        <v>216</v>
      </c>
      <c r="AK71" s="182">
        <v>4200</v>
      </c>
      <c r="AL71" s="357" t="s">
        <v>168</v>
      </c>
    </row>
    <row r="72" spans="1:144" s="502" customFormat="1" ht="15" customHeight="1" thickBot="1" x14ac:dyDescent="0.35">
      <c r="A72" s="511">
        <v>68061319</v>
      </c>
      <c r="B72" s="180" t="s">
        <v>167</v>
      </c>
      <c r="C72" s="180" t="s">
        <v>262</v>
      </c>
      <c r="D72" s="520" t="s">
        <v>571</v>
      </c>
      <c r="E72" s="521" t="s">
        <v>423</v>
      </c>
      <c r="F72" s="522" t="s">
        <v>400</v>
      </c>
      <c r="G72" s="506" t="s">
        <v>367</v>
      </c>
      <c r="H72" s="164">
        <v>31</v>
      </c>
      <c r="I72" s="685">
        <v>1200</v>
      </c>
      <c r="J72" s="164">
        <v>31</v>
      </c>
      <c r="K72" s="685">
        <v>1300</v>
      </c>
      <c r="L72" s="164">
        <v>31</v>
      </c>
      <c r="M72" s="685">
        <v>2100</v>
      </c>
      <c r="N72" s="499" t="s">
        <v>276</v>
      </c>
      <c r="O72" s="503"/>
      <c r="P72" s="504"/>
      <c r="Q72" s="504"/>
      <c r="R72" s="504"/>
      <c r="S72" s="505"/>
      <c r="T72" s="513"/>
      <c r="U72" s="504">
        <v>19.5</v>
      </c>
      <c r="V72" s="504">
        <v>10</v>
      </c>
      <c r="W72" s="504"/>
      <c r="X72" s="505">
        <v>0.5</v>
      </c>
      <c r="Y72" s="503"/>
      <c r="Z72" s="504">
        <v>19.5</v>
      </c>
      <c r="AA72" s="504">
        <v>10</v>
      </c>
      <c r="AB72" s="504"/>
      <c r="AC72" s="505">
        <v>0.5</v>
      </c>
      <c r="AD72" s="509">
        <v>30</v>
      </c>
      <c r="AE72" s="514" t="s">
        <v>159</v>
      </c>
      <c r="AF72" s="514" t="s">
        <v>159</v>
      </c>
      <c r="AG72" s="370" t="s">
        <v>115</v>
      </c>
      <c r="AH72" s="226" t="s">
        <v>94</v>
      </c>
      <c r="AI72" s="151" t="s">
        <v>162</v>
      </c>
      <c r="AJ72" s="373" t="s">
        <v>156</v>
      </c>
      <c r="AK72" s="604">
        <v>1728616</v>
      </c>
      <c r="AL72" s="505"/>
      <c r="AM72" s="510"/>
      <c r="AN72" s="510"/>
      <c r="AO72" s="510"/>
      <c r="AP72" s="510"/>
      <c r="AQ72" s="510"/>
      <c r="AR72" s="510"/>
      <c r="AS72" s="510"/>
      <c r="AT72" s="510"/>
      <c r="AU72" s="510"/>
      <c r="AV72" s="510"/>
      <c r="AW72" s="510"/>
      <c r="AX72" s="510"/>
      <c r="AY72" s="510"/>
      <c r="AZ72" s="510"/>
      <c r="BA72" s="510"/>
      <c r="BB72" s="510"/>
      <c r="BC72" s="510"/>
      <c r="BD72" s="510"/>
      <c r="BE72" s="510"/>
      <c r="BF72" s="510"/>
      <c r="BG72" s="510"/>
      <c r="BH72" s="510"/>
      <c r="BI72" s="510"/>
      <c r="BJ72" s="510"/>
      <c r="BK72" s="510"/>
      <c r="BL72" s="510"/>
      <c r="BM72" s="510"/>
      <c r="BN72" s="510"/>
      <c r="BO72" s="510"/>
      <c r="BP72" s="510"/>
      <c r="BQ72" s="510"/>
      <c r="BR72" s="510"/>
      <c r="BS72" s="510"/>
      <c r="BT72" s="510"/>
      <c r="BU72" s="510"/>
      <c r="BV72" s="510"/>
      <c r="BW72" s="510"/>
      <c r="BX72" s="510"/>
      <c r="BY72" s="510"/>
      <c r="BZ72" s="510"/>
      <c r="CA72" s="510"/>
      <c r="CB72" s="510"/>
      <c r="CC72" s="510"/>
      <c r="CD72" s="510"/>
      <c r="CE72" s="510"/>
      <c r="CF72" s="510"/>
      <c r="CG72" s="510"/>
      <c r="CH72" s="510"/>
      <c r="CI72" s="510"/>
      <c r="CJ72" s="510"/>
      <c r="CK72" s="510"/>
      <c r="CL72" s="510"/>
      <c r="CM72" s="510"/>
      <c r="CN72" s="510"/>
      <c r="CO72" s="510"/>
      <c r="CP72" s="510"/>
      <c r="CQ72" s="510"/>
      <c r="CR72" s="510"/>
      <c r="CS72" s="510"/>
      <c r="CT72" s="510"/>
      <c r="CU72" s="510"/>
      <c r="CV72" s="510"/>
      <c r="CW72" s="510"/>
      <c r="CX72" s="510"/>
      <c r="CY72" s="510"/>
      <c r="CZ72" s="510"/>
      <c r="DA72" s="510"/>
      <c r="DB72" s="510"/>
      <c r="DC72" s="510"/>
      <c r="DD72" s="510"/>
      <c r="DE72" s="510"/>
      <c r="DF72" s="510"/>
      <c r="DG72" s="510"/>
      <c r="DH72" s="510"/>
      <c r="DI72" s="510"/>
      <c r="DJ72" s="510"/>
      <c r="DK72" s="510"/>
      <c r="DL72" s="510"/>
      <c r="DM72" s="510"/>
      <c r="DN72" s="510"/>
      <c r="DO72" s="510"/>
      <c r="DP72" s="510"/>
      <c r="DQ72" s="510"/>
      <c r="DR72" s="510"/>
      <c r="DS72" s="510"/>
      <c r="DT72" s="510"/>
      <c r="DU72" s="510"/>
      <c r="DV72" s="510"/>
      <c r="DW72" s="510"/>
      <c r="DX72" s="510"/>
      <c r="DY72" s="510"/>
      <c r="DZ72" s="510"/>
      <c r="EA72" s="510"/>
      <c r="EB72" s="510"/>
      <c r="EC72" s="510"/>
      <c r="ED72" s="510"/>
      <c r="EE72" s="510"/>
      <c r="EF72" s="510"/>
      <c r="EG72" s="510"/>
      <c r="EH72" s="510"/>
      <c r="EI72" s="510"/>
      <c r="EJ72" s="510"/>
      <c r="EK72" s="510"/>
      <c r="EL72" s="510"/>
      <c r="EM72" s="510"/>
      <c r="EN72" s="510"/>
    </row>
    <row r="73" spans="1:144" s="501" customFormat="1" ht="16.5" customHeight="1" thickBot="1" x14ac:dyDescent="0.45">
      <c r="A73" s="1006" t="s">
        <v>229</v>
      </c>
      <c r="B73" s="1007"/>
      <c r="C73" s="1007"/>
      <c r="D73" s="1007"/>
      <c r="E73" s="1007"/>
      <c r="F73" s="1007"/>
      <c r="G73" s="1007"/>
      <c r="H73" s="1007"/>
      <c r="I73" s="1007"/>
      <c r="J73" s="1007"/>
      <c r="K73" s="1007"/>
      <c r="L73" s="1007"/>
      <c r="M73" s="1007"/>
      <c r="N73" s="1008"/>
      <c r="O73" s="500">
        <f>SUM(O13:O72)</f>
        <v>88</v>
      </c>
      <c r="P73" s="500">
        <f t="shared" ref="P73:AD73" si="0">SUM(P13:P72)</f>
        <v>65.2</v>
      </c>
      <c r="Q73" s="500">
        <f t="shared" si="0"/>
        <v>196</v>
      </c>
      <c r="R73" s="500">
        <f t="shared" si="0"/>
        <v>0</v>
      </c>
      <c r="S73" s="500">
        <f t="shared" si="0"/>
        <v>4</v>
      </c>
      <c r="T73" s="500">
        <f t="shared" si="0"/>
        <v>77</v>
      </c>
      <c r="U73" s="500">
        <f t="shared" si="0"/>
        <v>89</v>
      </c>
      <c r="V73" s="500">
        <f t="shared" si="0"/>
        <v>137.5</v>
      </c>
      <c r="W73" s="500">
        <f t="shared" si="0"/>
        <v>0</v>
      </c>
      <c r="X73" s="500">
        <f t="shared" si="0"/>
        <v>59.4</v>
      </c>
      <c r="Y73" s="500">
        <f t="shared" si="0"/>
        <v>165</v>
      </c>
      <c r="Z73" s="500">
        <f t="shared" si="0"/>
        <v>154.19999999999999</v>
      </c>
      <c r="AA73" s="500">
        <f t="shared" si="0"/>
        <v>333.5</v>
      </c>
      <c r="AB73" s="500">
        <f t="shared" si="0"/>
        <v>0</v>
      </c>
      <c r="AC73" s="500">
        <f t="shared" si="0"/>
        <v>63.4</v>
      </c>
      <c r="AD73" s="500">
        <f t="shared" si="0"/>
        <v>716.1</v>
      </c>
      <c r="AE73" s="498"/>
      <c r="AF73" s="421"/>
      <c r="AG73" s="421"/>
      <c r="AH73" s="421"/>
      <c r="AI73" s="421"/>
      <c r="AJ73" s="421"/>
      <c r="AK73" s="421">
        <f>SUM(AK13:AK72)</f>
        <v>29355106</v>
      </c>
      <c r="AL73" s="498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  <c r="BS73" s="189"/>
      <c r="BT73" s="189"/>
      <c r="BU73" s="189"/>
      <c r="BV73" s="189"/>
      <c r="BW73" s="189"/>
      <c r="BX73" s="189"/>
      <c r="BY73" s="189"/>
      <c r="BZ73" s="189"/>
      <c r="CA73" s="189"/>
      <c r="CB73" s="189"/>
      <c r="CC73" s="189"/>
      <c r="CD73" s="189"/>
      <c r="CE73" s="189"/>
      <c r="CF73" s="189"/>
      <c r="CG73" s="189"/>
      <c r="CH73" s="189"/>
      <c r="CI73" s="189"/>
      <c r="CJ73" s="189"/>
      <c r="CK73" s="189"/>
      <c r="CL73" s="189"/>
      <c r="CM73" s="189"/>
      <c r="CN73" s="189"/>
      <c r="CO73" s="189"/>
      <c r="CP73" s="189"/>
      <c r="CQ73" s="189"/>
      <c r="CR73" s="189"/>
      <c r="CS73" s="189"/>
      <c r="CT73" s="189"/>
      <c r="CU73" s="189"/>
      <c r="CV73" s="189"/>
      <c r="CW73" s="189"/>
      <c r="CX73" s="189"/>
      <c r="CY73" s="189"/>
      <c r="CZ73" s="189"/>
      <c r="DA73" s="189"/>
      <c r="DB73" s="189"/>
      <c r="DC73" s="189"/>
      <c r="DD73" s="189"/>
      <c r="DE73" s="189"/>
      <c r="DF73" s="189"/>
      <c r="DG73" s="189"/>
      <c r="DH73" s="189"/>
      <c r="DI73" s="189"/>
      <c r="DJ73" s="189"/>
      <c r="DK73" s="189"/>
      <c r="DL73" s="189"/>
      <c r="DM73" s="189"/>
      <c r="DN73" s="189"/>
      <c r="DO73" s="189"/>
      <c r="DP73" s="189"/>
      <c r="DQ73" s="189"/>
      <c r="DR73" s="189"/>
      <c r="DS73" s="189"/>
      <c r="DT73" s="189"/>
      <c r="DU73" s="189"/>
      <c r="DV73" s="189"/>
      <c r="DW73" s="189"/>
      <c r="DX73" s="189"/>
      <c r="DY73" s="189"/>
      <c r="DZ73" s="189"/>
      <c r="EA73" s="189"/>
      <c r="EB73" s="189"/>
      <c r="EC73" s="189"/>
      <c r="ED73" s="189"/>
      <c r="EE73" s="189"/>
      <c r="EF73" s="189"/>
      <c r="EG73" s="189"/>
      <c r="EH73" s="189"/>
      <c r="EI73" s="189"/>
      <c r="EJ73" s="189"/>
      <c r="EK73" s="189"/>
      <c r="EL73" s="189"/>
      <c r="EM73" s="189"/>
      <c r="EN73" s="189"/>
    </row>
    <row r="74" spans="1:144" s="67" customFormat="1" x14ac:dyDescent="0.35">
      <c r="A74" s="100"/>
      <c r="B74" s="100"/>
      <c r="C74" s="196"/>
      <c r="D74" s="197"/>
      <c r="E74" s="198"/>
      <c r="F74" s="198"/>
      <c r="G74" s="100"/>
      <c r="H74" s="100"/>
      <c r="I74" s="100"/>
      <c r="J74" s="100"/>
      <c r="K74" s="100"/>
      <c r="L74" s="100"/>
      <c r="M74" s="100"/>
      <c r="N74" s="197"/>
      <c r="Q74" s="70"/>
      <c r="V74" s="70"/>
      <c r="AA74" s="70"/>
      <c r="AD74" s="70"/>
      <c r="AI74" s="192"/>
      <c r="AJ74" s="190"/>
      <c r="AK74" s="237"/>
    </row>
    <row r="75" spans="1:144" s="67" customFormat="1" x14ac:dyDescent="0.35">
      <c r="A75" s="100"/>
      <c r="B75" s="100"/>
      <c r="C75" s="196"/>
      <c r="D75" s="199"/>
      <c r="E75" s="198"/>
      <c r="F75" s="198"/>
      <c r="G75" s="100"/>
      <c r="H75" s="100"/>
      <c r="I75" s="100"/>
      <c r="J75" s="100"/>
      <c r="K75" s="100"/>
      <c r="L75" s="100"/>
      <c r="M75" s="100"/>
      <c r="N75" s="197"/>
      <c r="Q75" s="70"/>
      <c r="V75" s="70"/>
      <c r="AA75" s="70"/>
      <c r="AD75" s="70"/>
      <c r="AI75" s="192"/>
      <c r="AJ75" s="190"/>
      <c r="AK75" s="237"/>
    </row>
    <row r="76" spans="1:144" s="67" customFormat="1" x14ac:dyDescent="0.35">
      <c r="A76" s="100"/>
      <c r="B76" s="100"/>
      <c r="C76" s="196"/>
      <c r="D76" s="197"/>
      <c r="E76" s="198"/>
      <c r="F76" s="198"/>
      <c r="G76" s="100"/>
      <c r="H76" s="100"/>
      <c r="I76" s="100"/>
      <c r="J76" s="100"/>
      <c r="K76" s="100"/>
      <c r="L76" s="100"/>
      <c r="M76" s="100"/>
      <c r="N76" s="197"/>
      <c r="Q76" s="70"/>
      <c r="V76" s="70"/>
      <c r="AA76" s="70"/>
      <c r="AD76" s="70"/>
      <c r="AI76" s="192"/>
      <c r="AJ76" s="190"/>
      <c r="AK76" s="237"/>
    </row>
    <row r="77" spans="1:144" s="67" customFormat="1" x14ac:dyDescent="0.35">
      <c r="A77" s="100"/>
      <c r="B77" s="100"/>
      <c r="C77" s="196"/>
      <c r="D77" s="197"/>
      <c r="E77" s="198"/>
      <c r="F77" s="198"/>
      <c r="G77" s="100"/>
      <c r="H77" s="100"/>
      <c r="I77" s="100"/>
      <c r="J77" s="100"/>
      <c r="K77" s="100"/>
      <c r="L77" s="100"/>
      <c r="M77" s="100"/>
      <c r="N77" s="197"/>
      <c r="Q77" s="70"/>
      <c r="V77" s="70"/>
      <c r="AA77" s="70"/>
      <c r="AD77" s="70"/>
      <c r="AI77" s="192"/>
      <c r="AJ77" s="190"/>
      <c r="AK77" s="237"/>
    </row>
    <row r="78" spans="1:144" s="67" customFormat="1" x14ac:dyDescent="0.35">
      <c r="A78" s="100"/>
      <c r="B78" s="100"/>
      <c r="C78" s="196"/>
      <c r="D78" s="197"/>
      <c r="E78" s="198"/>
      <c r="F78" s="198"/>
      <c r="G78" s="100"/>
      <c r="H78" s="100"/>
      <c r="I78" s="100"/>
      <c r="J78" s="100"/>
      <c r="K78" s="100"/>
      <c r="L78" s="100"/>
      <c r="M78" s="100"/>
      <c r="N78" s="197"/>
      <c r="Q78" s="70"/>
      <c r="V78" s="70"/>
      <c r="AA78" s="70"/>
      <c r="AD78" s="70"/>
      <c r="AI78" s="192"/>
      <c r="AJ78" s="190"/>
      <c r="AK78" s="237"/>
    </row>
    <row r="79" spans="1:144" s="67" customFormat="1" x14ac:dyDescent="0.35">
      <c r="A79" s="100"/>
      <c r="B79" s="100"/>
      <c r="C79" s="196"/>
      <c r="D79" s="197"/>
      <c r="E79" s="198"/>
      <c r="F79" s="198"/>
      <c r="G79" s="100"/>
      <c r="H79" s="100"/>
      <c r="I79" s="100"/>
      <c r="J79" s="100"/>
      <c r="K79" s="100"/>
      <c r="L79" s="100"/>
      <c r="M79" s="100"/>
      <c r="N79" s="197"/>
      <c r="Q79" s="70"/>
      <c r="V79" s="70"/>
      <c r="AA79" s="70"/>
      <c r="AD79" s="70"/>
      <c r="AI79" s="192"/>
      <c r="AJ79" s="190"/>
      <c r="AK79" s="237"/>
    </row>
    <row r="80" spans="1:144" s="67" customFormat="1" x14ac:dyDescent="0.35">
      <c r="A80" s="100"/>
      <c r="B80" s="100"/>
      <c r="C80" s="196"/>
      <c r="D80" s="197"/>
      <c r="E80" s="198"/>
      <c r="F80" s="198"/>
      <c r="G80" s="100"/>
      <c r="H80" s="100"/>
      <c r="I80" s="100"/>
      <c r="J80" s="100"/>
      <c r="K80" s="100"/>
      <c r="L80" s="100"/>
      <c r="M80" s="100"/>
      <c r="N80" s="197"/>
      <c r="Q80" s="70"/>
      <c r="V80" s="70"/>
      <c r="AA80" s="70"/>
      <c r="AD80" s="70"/>
      <c r="AI80" s="192"/>
      <c r="AJ80" s="190"/>
      <c r="AK80" s="237"/>
    </row>
    <row r="81" spans="1:37" s="67" customFormat="1" x14ac:dyDescent="0.35">
      <c r="A81" s="100"/>
      <c r="B81" s="100"/>
      <c r="C81" s="196"/>
      <c r="D81" s="197"/>
      <c r="E81" s="198"/>
      <c r="F81" s="198"/>
      <c r="G81" s="100"/>
      <c r="H81" s="100"/>
      <c r="I81" s="100"/>
      <c r="J81" s="100"/>
      <c r="K81" s="100"/>
      <c r="L81" s="100"/>
      <c r="M81" s="100"/>
      <c r="N81" s="197"/>
      <c r="Q81" s="70"/>
      <c r="V81" s="70"/>
      <c r="AA81" s="70"/>
      <c r="AD81" s="70"/>
      <c r="AI81" s="192"/>
      <c r="AJ81" s="190"/>
      <c r="AK81" s="237"/>
    </row>
    <row r="82" spans="1:37" s="67" customFormat="1" x14ac:dyDescent="0.35">
      <c r="A82" s="100"/>
      <c r="B82" s="100"/>
      <c r="C82" s="196"/>
      <c r="D82" s="197"/>
      <c r="E82" s="198"/>
      <c r="F82" s="198"/>
      <c r="G82" s="100"/>
      <c r="H82" s="100"/>
      <c r="I82" s="100"/>
      <c r="J82" s="100"/>
      <c r="K82" s="100"/>
      <c r="L82" s="100"/>
      <c r="M82" s="100"/>
      <c r="N82" s="197"/>
      <c r="Q82" s="70"/>
      <c r="V82" s="70"/>
      <c r="AA82" s="70"/>
      <c r="AD82" s="70"/>
      <c r="AI82" s="192"/>
      <c r="AJ82" s="190"/>
      <c r="AK82" s="237"/>
    </row>
    <row r="83" spans="1:37" s="67" customFormat="1" x14ac:dyDescent="0.35">
      <c r="A83" s="100"/>
      <c r="B83" s="100"/>
      <c r="C83" s="196"/>
      <c r="D83" s="197"/>
      <c r="E83" s="198"/>
      <c r="F83" s="198"/>
      <c r="G83" s="100"/>
      <c r="H83" s="100"/>
      <c r="I83" s="100"/>
      <c r="J83" s="100"/>
      <c r="K83" s="100"/>
      <c r="L83" s="100"/>
      <c r="M83" s="100"/>
      <c r="N83" s="197"/>
      <c r="Q83" s="70"/>
      <c r="V83" s="70"/>
      <c r="AA83" s="70"/>
      <c r="AD83" s="70"/>
      <c r="AI83" s="192"/>
      <c r="AJ83" s="190"/>
      <c r="AK83" s="237"/>
    </row>
    <row r="84" spans="1:37" s="67" customFormat="1" x14ac:dyDescent="0.35">
      <c r="A84" s="100"/>
      <c r="B84" s="100"/>
      <c r="C84" s="196"/>
      <c r="D84" s="197"/>
      <c r="E84" s="198"/>
      <c r="F84" s="198"/>
      <c r="G84" s="100"/>
      <c r="H84" s="100"/>
      <c r="I84" s="100"/>
      <c r="J84" s="100"/>
      <c r="K84" s="100"/>
      <c r="L84" s="100"/>
      <c r="M84" s="100"/>
      <c r="N84" s="197"/>
      <c r="Q84" s="70"/>
      <c r="V84" s="70"/>
      <c r="AA84" s="70"/>
      <c r="AD84" s="70"/>
      <c r="AI84" s="192"/>
      <c r="AJ84" s="190"/>
      <c r="AK84" s="237"/>
    </row>
    <row r="85" spans="1:37" s="67" customFormat="1" x14ac:dyDescent="0.35">
      <c r="A85" s="100"/>
      <c r="B85" s="100"/>
      <c r="C85" s="196"/>
      <c r="D85" s="197"/>
      <c r="E85" s="198"/>
      <c r="F85" s="198"/>
      <c r="G85" s="100"/>
      <c r="H85" s="100"/>
      <c r="I85" s="100"/>
      <c r="J85" s="100"/>
      <c r="K85" s="100"/>
      <c r="L85" s="100"/>
      <c r="M85" s="100"/>
      <c r="N85" s="197"/>
      <c r="Q85" s="70"/>
      <c r="V85" s="70"/>
      <c r="AA85" s="70"/>
      <c r="AD85" s="70"/>
      <c r="AI85" s="192"/>
      <c r="AJ85" s="190"/>
      <c r="AK85" s="237"/>
    </row>
    <row r="86" spans="1:37" s="67" customFormat="1" x14ac:dyDescent="0.35">
      <c r="A86" s="100"/>
      <c r="B86" s="100"/>
      <c r="C86" s="196"/>
      <c r="D86" s="197"/>
      <c r="E86" s="198"/>
      <c r="F86" s="198"/>
      <c r="G86" s="100"/>
      <c r="H86" s="100"/>
      <c r="I86" s="100"/>
      <c r="J86" s="100"/>
      <c r="K86" s="100"/>
      <c r="L86" s="100"/>
      <c r="M86" s="100"/>
      <c r="N86" s="197"/>
      <c r="Q86" s="70"/>
      <c r="V86" s="70"/>
      <c r="AA86" s="70"/>
      <c r="AD86" s="70"/>
      <c r="AI86" s="192"/>
      <c r="AJ86" s="190"/>
      <c r="AK86" s="237"/>
    </row>
    <row r="87" spans="1:37" s="67" customFormat="1" x14ac:dyDescent="0.35">
      <c r="A87" s="100"/>
      <c r="B87" s="100"/>
      <c r="C87" s="196"/>
      <c r="D87" s="197"/>
      <c r="E87" s="198"/>
      <c r="F87" s="198"/>
      <c r="G87" s="100"/>
      <c r="H87" s="100"/>
      <c r="I87" s="100"/>
      <c r="J87" s="100"/>
      <c r="K87" s="100"/>
      <c r="L87" s="100"/>
      <c r="M87" s="100"/>
      <c r="N87" s="197"/>
      <c r="Q87" s="70"/>
      <c r="V87" s="70"/>
      <c r="AA87" s="70"/>
      <c r="AD87" s="70"/>
      <c r="AI87" s="192"/>
      <c r="AJ87" s="190"/>
      <c r="AK87" s="237"/>
    </row>
    <row r="88" spans="1:37" s="67" customFormat="1" x14ac:dyDescent="0.35">
      <c r="A88" s="100"/>
      <c r="B88" s="100"/>
      <c r="C88" s="196"/>
      <c r="D88" s="197"/>
      <c r="E88" s="198"/>
      <c r="F88" s="198"/>
      <c r="G88" s="100"/>
      <c r="H88" s="100"/>
      <c r="I88" s="100"/>
      <c r="J88" s="100"/>
      <c r="K88" s="100"/>
      <c r="L88" s="100"/>
      <c r="M88" s="100"/>
      <c r="N88" s="197"/>
      <c r="Q88" s="70"/>
      <c r="V88" s="70"/>
      <c r="AA88" s="70"/>
      <c r="AD88" s="70"/>
      <c r="AI88" s="192"/>
      <c r="AJ88" s="190"/>
      <c r="AK88" s="237"/>
    </row>
    <row r="89" spans="1:37" s="67" customFormat="1" x14ac:dyDescent="0.35">
      <c r="A89" s="100"/>
      <c r="B89" s="100"/>
      <c r="C89" s="196"/>
      <c r="D89" s="197"/>
      <c r="E89" s="198"/>
      <c r="F89" s="198"/>
      <c r="G89" s="100"/>
      <c r="H89" s="100"/>
      <c r="I89" s="100"/>
      <c r="J89" s="100"/>
      <c r="K89" s="100"/>
      <c r="L89" s="100"/>
      <c r="M89" s="100"/>
      <c r="N89" s="197"/>
      <c r="Q89" s="70"/>
      <c r="V89" s="70"/>
      <c r="AA89" s="70"/>
      <c r="AD89" s="70"/>
      <c r="AI89" s="192"/>
      <c r="AJ89" s="190"/>
      <c r="AK89" s="237"/>
    </row>
    <row r="90" spans="1:37" s="67" customFormat="1" x14ac:dyDescent="0.35">
      <c r="A90" s="100"/>
      <c r="B90" s="100"/>
      <c r="C90" s="196"/>
      <c r="D90" s="197"/>
      <c r="E90" s="198"/>
      <c r="F90" s="198"/>
      <c r="G90" s="100"/>
      <c r="H90" s="100"/>
      <c r="I90" s="100"/>
      <c r="J90" s="100"/>
      <c r="K90" s="100"/>
      <c r="L90" s="100"/>
      <c r="M90" s="100"/>
      <c r="N90" s="197"/>
      <c r="Q90" s="70"/>
      <c r="V90" s="70"/>
      <c r="AA90" s="70"/>
      <c r="AD90" s="70"/>
      <c r="AI90" s="192"/>
      <c r="AJ90" s="190"/>
      <c r="AK90" s="237"/>
    </row>
    <row r="91" spans="1:37" s="67" customFormat="1" x14ac:dyDescent="0.35">
      <c r="A91" s="100"/>
      <c r="B91" s="100"/>
      <c r="C91" s="196"/>
      <c r="D91" s="197"/>
      <c r="E91" s="198"/>
      <c r="F91" s="198"/>
      <c r="G91" s="100"/>
      <c r="H91" s="100"/>
      <c r="I91" s="100"/>
      <c r="J91" s="100"/>
      <c r="K91" s="100"/>
      <c r="L91" s="100"/>
      <c r="M91" s="100"/>
      <c r="N91" s="197"/>
      <c r="Q91" s="70"/>
      <c r="V91" s="70"/>
      <c r="AA91" s="70"/>
      <c r="AD91" s="70"/>
      <c r="AI91" s="192"/>
      <c r="AJ91" s="190"/>
      <c r="AK91" s="237"/>
    </row>
    <row r="92" spans="1:37" s="67" customFormat="1" x14ac:dyDescent="0.35">
      <c r="A92" s="100"/>
      <c r="B92" s="100"/>
      <c r="C92" s="196"/>
      <c r="D92" s="197"/>
      <c r="E92" s="198"/>
      <c r="F92" s="198"/>
      <c r="G92" s="100"/>
      <c r="H92" s="100"/>
      <c r="I92" s="100"/>
      <c r="J92" s="100"/>
      <c r="K92" s="100"/>
      <c r="L92" s="100"/>
      <c r="M92" s="100"/>
      <c r="N92" s="197"/>
      <c r="Q92" s="70"/>
      <c r="V92" s="70"/>
      <c r="AA92" s="70"/>
      <c r="AD92" s="70"/>
      <c r="AI92" s="192"/>
      <c r="AJ92" s="190"/>
      <c r="AK92" s="237"/>
    </row>
    <row r="93" spans="1:37" s="67" customFormat="1" x14ac:dyDescent="0.35">
      <c r="A93" s="100"/>
      <c r="B93" s="100"/>
      <c r="C93" s="196"/>
      <c r="D93" s="197"/>
      <c r="E93" s="198"/>
      <c r="F93" s="198"/>
      <c r="G93" s="100"/>
      <c r="H93" s="100"/>
      <c r="I93" s="100"/>
      <c r="J93" s="100"/>
      <c r="K93" s="100"/>
      <c r="L93" s="100"/>
      <c r="M93" s="100"/>
      <c r="N93" s="197"/>
      <c r="Q93" s="70"/>
      <c r="V93" s="70"/>
      <c r="AA93" s="70"/>
      <c r="AD93" s="70"/>
      <c r="AI93" s="192"/>
      <c r="AJ93" s="190"/>
      <c r="AK93" s="237"/>
    </row>
    <row r="94" spans="1:37" s="67" customFormat="1" x14ac:dyDescent="0.35">
      <c r="A94" s="100"/>
      <c r="B94" s="100"/>
      <c r="C94" s="196"/>
      <c r="D94" s="197"/>
      <c r="E94" s="198"/>
      <c r="F94" s="198"/>
      <c r="G94" s="100"/>
      <c r="H94" s="100"/>
      <c r="I94" s="100"/>
      <c r="J94" s="100"/>
      <c r="K94" s="100"/>
      <c r="L94" s="100"/>
      <c r="M94" s="100"/>
      <c r="N94" s="197"/>
      <c r="Q94" s="70"/>
      <c r="V94" s="70"/>
      <c r="AA94" s="70"/>
      <c r="AD94" s="70"/>
      <c r="AI94" s="192"/>
      <c r="AJ94" s="190"/>
      <c r="AK94" s="237"/>
    </row>
    <row r="95" spans="1:37" s="67" customFormat="1" x14ac:dyDescent="0.35">
      <c r="A95" s="100"/>
      <c r="B95" s="100"/>
      <c r="C95" s="196"/>
      <c r="D95" s="197"/>
      <c r="E95" s="198"/>
      <c r="F95" s="198"/>
      <c r="G95" s="100"/>
      <c r="H95" s="100"/>
      <c r="I95" s="100"/>
      <c r="J95" s="100"/>
      <c r="K95" s="100"/>
      <c r="L95" s="100"/>
      <c r="M95" s="100"/>
      <c r="N95" s="197"/>
      <c r="Q95" s="70"/>
      <c r="V95" s="70"/>
      <c r="AA95" s="70"/>
      <c r="AD95" s="70"/>
      <c r="AI95" s="192"/>
      <c r="AJ95" s="190"/>
      <c r="AK95" s="237"/>
    </row>
    <row r="96" spans="1:37" s="67" customFormat="1" x14ac:dyDescent="0.35">
      <c r="A96" s="100"/>
      <c r="B96" s="100"/>
      <c r="C96" s="196"/>
      <c r="D96" s="197"/>
      <c r="E96" s="198"/>
      <c r="F96" s="198"/>
      <c r="G96" s="100"/>
      <c r="H96" s="100"/>
      <c r="I96" s="100"/>
      <c r="J96" s="100"/>
      <c r="K96" s="100"/>
      <c r="L96" s="100"/>
      <c r="M96" s="100"/>
      <c r="N96" s="197"/>
      <c r="Q96" s="70"/>
      <c r="V96" s="70"/>
      <c r="AA96" s="70"/>
      <c r="AD96" s="70"/>
      <c r="AI96" s="192"/>
      <c r="AJ96" s="190"/>
      <c r="AK96" s="237"/>
    </row>
    <row r="97" spans="1:37" s="67" customFormat="1" x14ac:dyDescent="0.35">
      <c r="A97" s="100"/>
      <c r="B97" s="100"/>
      <c r="C97" s="196"/>
      <c r="D97" s="197"/>
      <c r="E97" s="198"/>
      <c r="F97" s="198"/>
      <c r="G97" s="100"/>
      <c r="H97" s="100"/>
      <c r="I97" s="100"/>
      <c r="J97" s="100"/>
      <c r="K97" s="100"/>
      <c r="L97" s="100"/>
      <c r="M97" s="100"/>
      <c r="N97" s="197"/>
      <c r="Q97" s="70"/>
      <c r="V97" s="70"/>
      <c r="AA97" s="70"/>
      <c r="AD97" s="70"/>
      <c r="AI97" s="192"/>
      <c r="AJ97" s="190"/>
      <c r="AK97" s="237"/>
    </row>
    <row r="98" spans="1:37" s="67" customFormat="1" x14ac:dyDescent="0.35">
      <c r="A98" s="100"/>
      <c r="B98" s="100"/>
      <c r="C98" s="196"/>
      <c r="D98" s="197"/>
      <c r="E98" s="198"/>
      <c r="F98" s="198"/>
      <c r="G98" s="100"/>
      <c r="H98" s="100"/>
      <c r="I98" s="100"/>
      <c r="J98" s="100"/>
      <c r="K98" s="100"/>
      <c r="L98" s="100"/>
      <c r="M98" s="100"/>
      <c r="N98" s="197"/>
      <c r="Q98" s="70"/>
      <c r="V98" s="70"/>
      <c r="AA98" s="70"/>
      <c r="AD98" s="70"/>
      <c r="AI98" s="192"/>
      <c r="AJ98" s="190"/>
      <c r="AK98" s="237"/>
    </row>
    <row r="99" spans="1:37" s="67" customFormat="1" x14ac:dyDescent="0.35">
      <c r="A99" s="100"/>
      <c r="B99" s="100"/>
      <c r="C99" s="196"/>
      <c r="D99" s="197"/>
      <c r="E99" s="198"/>
      <c r="F99" s="198"/>
      <c r="G99" s="100"/>
      <c r="H99" s="100"/>
      <c r="I99" s="100"/>
      <c r="J99" s="100"/>
      <c r="K99" s="100"/>
      <c r="L99" s="100"/>
      <c r="M99" s="100"/>
      <c r="N99" s="197"/>
      <c r="Q99" s="70"/>
      <c r="V99" s="70"/>
      <c r="AA99" s="70"/>
      <c r="AD99" s="70"/>
      <c r="AI99" s="192"/>
      <c r="AJ99" s="190"/>
      <c r="AK99" s="237"/>
    </row>
    <row r="100" spans="1:37" s="67" customFormat="1" x14ac:dyDescent="0.35">
      <c r="A100" s="100"/>
      <c r="B100" s="100"/>
      <c r="C100" s="196"/>
      <c r="D100" s="197"/>
      <c r="E100" s="198"/>
      <c r="F100" s="198"/>
      <c r="G100" s="100"/>
      <c r="H100" s="100"/>
      <c r="I100" s="100"/>
      <c r="J100" s="100"/>
      <c r="K100" s="100"/>
      <c r="L100" s="100"/>
      <c r="M100" s="100"/>
      <c r="N100" s="197"/>
      <c r="Q100" s="70"/>
      <c r="V100" s="70"/>
      <c r="AA100" s="70"/>
      <c r="AD100" s="70"/>
      <c r="AI100" s="192"/>
      <c r="AJ100" s="190"/>
      <c r="AK100" s="237"/>
    </row>
    <row r="101" spans="1:37" s="67" customFormat="1" x14ac:dyDescent="0.35">
      <c r="A101" s="100"/>
      <c r="B101" s="100"/>
      <c r="C101" s="196"/>
      <c r="D101" s="197"/>
      <c r="E101" s="198"/>
      <c r="F101" s="198"/>
      <c r="G101" s="100"/>
      <c r="H101" s="100"/>
      <c r="I101" s="100"/>
      <c r="J101" s="100"/>
      <c r="K101" s="100"/>
      <c r="L101" s="100"/>
      <c r="M101" s="100"/>
      <c r="N101" s="197"/>
      <c r="Q101" s="70"/>
      <c r="V101" s="70"/>
      <c r="AA101" s="70"/>
      <c r="AD101" s="70"/>
      <c r="AI101" s="192"/>
      <c r="AJ101" s="190"/>
      <c r="AK101" s="237"/>
    </row>
    <row r="102" spans="1:37" s="67" customFormat="1" x14ac:dyDescent="0.35">
      <c r="A102" s="100"/>
      <c r="B102" s="100"/>
      <c r="C102" s="196"/>
      <c r="D102" s="197"/>
      <c r="E102" s="198"/>
      <c r="F102" s="198"/>
      <c r="G102" s="100"/>
      <c r="H102" s="100"/>
      <c r="I102" s="100"/>
      <c r="J102" s="100"/>
      <c r="K102" s="100"/>
      <c r="L102" s="100"/>
      <c r="M102" s="100"/>
      <c r="N102" s="197"/>
      <c r="Q102" s="70"/>
      <c r="V102" s="70"/>
      <c r="AA102" s="70"/>
      <c r="AD102" s="70"/>
      <c r="AI102" s="192"/>
      <c r="AJ102" s="190"/>
      <c r="AK102" s="237"/>
    </row>
    <row r="103" spans="1:37" s="67" customFormat="1" x14ac:dyDescent="0.35">
      <c r="A103" s="100"/>
      <c r="B103" s="100"/>
      <c r="C103" s="196"/>
      <c r="D103" s="197"/>
      <c r="E103" s="198"/>
      <c r="F103" s="198"/>
      <c r="G103" s="100"/>
      <c r="H103" s="100"/>
      <c r="I103" s="100"/>
      <c r="J103" s="100"/>
      <c r="K103" s="100"/>
      <c r="L103" s="100"/>
      <c r="M103" s="100"/>
      <c r="N103" s="197"/>
      <c r="Q103" s="70"/>
      <c r="V103" s="70"/>
      <c r="AA103" s="70"/>
      <c r="AD103" s="70"/>
      <c r="AI103" s="192"/>
      <c r="AJ103" s="190"/>
      <c r="AK103" s="237"/>
    </row>
    <row r="104" spans="1:37" s="67" customFormat="1" x14ac:dyDescent="0.35">
      <c r="A104" s="100"/>
      <c r="B104" s="100"/>
      <c r="C104" s="196"/>
      <c r="D104" s="197"/>
      <c r="E104" s="198"/>
      <c r="F104" s="198"/>
      <c r="G104" s="100"/>
      <c r="H104" s="100"/>
      <c r="I104" s="100"/>
      <c r="J104" s="100"/>
      <c r="K104" s="100"/>
      <c r="L104" s="100"/>
      <c r="M104" s="100"/>
      <c r="N104" s="197"/>
      <c r="Q104" s="70"/>
      <c r="V104" s="70"/>
      <c r="AA104" s="70"/>
      <c r="AD104" s="70"/>
      <c r="AI104" s="192"/>
      <c r="AJ104" s="190"/>
      <c r="AK104" s="237"/>
    </row>
    <row r="105" spans="1:37" s="67" customFormat="1" x14ac:dyDescent="0.35">
      <c r="A105" s="100"/>
      <c r="B105" s="100"/>
      <c r="C105" s="196"/>
      <c r="D105" s="197"/>
      <c r="E105" s="198"/>
      <c r="F105" s="198"/>
      <c r="G105" s="100"/>
      <c r="H105" s="100"/>
      <c r="I105" s="100"/>
      <c r="J105" s="100"/>
      <c r="K105" s="100"/>
      <c r="L105" s="100"/>
      <c r="M105" s="100"/>
      <c r="N105" s="197"/>
      <c r="Q105" s="70"/>
      <c r="V105" s="70"/>
      <c r="AA105" s="70"/>
      <c r="AD105" s="70"/>
      <c r="AI105" s="192"/>
      <c r="AJ105" s="190"/>
      <c r="AK105" s="237"/>
    </row>
    <row r="106" spans="1:37" s="67" customFormat="1" x14ac:dyDescent="0.35">
      <c r="A106" s="100"/>
      <c r="B106" s="100"/>
      <c r="C106" s="196"/>
      <c r="D106" s="197"/>
      <c r="E106" s="198"/>
      <c r="F106" s="198"/>
      <c r="G106" s="100"/>
      <c r="H106" s="100"/>
      <c r="I106" s="100"/>
      <c r="J106" s="100"/>
      <c r="K106" s="100"/>
      <c r="L106" s="100"/>
      <c r="M106" s="100"/>
      <c r="N106" s="197"/>
      <c r="Q106" s="70"/>
      <c r="V106" s="70"/>
      <c r="AA106" s="70"/>
      <c r="AD106" s="70"/>
      <c r="AI106" s="192"/>
      <c r="AJ106" s="190"/>
      <c r="AK106" s="237"/>
    </row>
    <row r="107" spans="1:37" s="67" customFormat="1" x14ac:dyDescent="0.35">
      <c r="A107" s="100"/>
      <c r="B107" s="100"/>
      <c r="C107" s="196"/>
      <c r="D107" s="197"/>
      <c r="E107" s="198"/>
      <c r="F107" s="198"/>
      <c r="G107" s="100"/>
      <c r="H107" s="100"/>
      <c r="I107" s="100"/>
      <c r="J107" s="100"/>
      <c r="K107" s="100"/>
      <c r="L107" s="100"/>
      <c r="M107" s="100"/>
      <c r="N107" s="197"/>
      <c r="Q107" s="70"/>
      <c r="V107" s="70"/>
      <c r="AA107" s="70"/>
      <c r="AD107" s="70"/>
      <c r="AI107" s="192"/>
      <c r="AJ107" s="190"/>
      <c r="AK107" s="237"/>
    </row>
    <row r="108" spans="1:37" s="67" customFormat="1" x14ac:dyDescent="0.35">
      <c r="A108" s="100"/>
      <c r="B108" s="100"/>
      <c r="C108" s="196"/>
      <c r="D108" s="197"/>
      <c r="E108" s="198"/>
      <c r="F108" s="198"/>
      <c r="G108" s="100"/>
      <c r="H108" s="100"/>
      <c r="I108" s="100"/>
      <c r="J108" s="100"/>
      <c r="K108" s="100"/>
      <c r="L108" s="100"/>
      <c r="M108" s="100"/>
      <c r="N108" s="197"/>
      <c r="Q108" s="70"/>
      <c r="V108" s="70"/>
      <c r="AA108" s="70"/>
      <c r="AD108" s="70"/>
      <c r="AI108" s="192"/>
      <c r="AJ108" s="190"/>
      <c r="AK108" s="237"/>
    </row>
    <row r="109" spans="1:37" s="67" customFormat="1" x14ac:dyDescent="0.35">
      <c r="A109" s="100"/>
      <c r="B109" s="100"/>
      <c r="C109" s="196"/>
      <c r="D109" s="197"/>
      <c r="E109" s="198"/>
      <c r="F109" s="198"/>
      <c r="G109" s="100"/>
      <c r="H109" s="100"/>
      <c r="I109" s="100"/>
      <c r="J109" s="100"/>
      <c r="K109" s="100"/>
      <c r="L109" s="100"/>
      <c r="M109" s="100"/>
      <c r="N109" s="197"/>
      <c r="Q109" s="70"/>
      <c r="V109" s="70"/>
      <c r="AA109" s="70"/>
      <c r="AD109" s="70"/>
      <c r="AI109" s="192"/>
      <c r="AJ109" s="190"/>
      <c r="AK109" s="237"/>
    </row>
    <row r="110" spans="1:37" s="67" customFormat="1" x14ac:dyDescent="0.35">
      <c r="A110" s="100"/>
      <c r="B110" s="100"/>
      <c r="C110" s="196"/>
      <c r="D110" s="197"/>
      <c r="E110" s="198"/>
      <c r="F110" s="198"/>
      <c r="G110" s="100"/>
      <c r="H110" s="100"/>
      <c r="I110" s="100"/>
      <c r="J110" s="100"/>
      <c r="K110" s="100"/>
      <c r="L110" s="100"/>
      <c r="M110" s="100"/>
      <c r="N110" s="197"/>
      <c r="Q110" s="70"/>
      <c r="V110" s="70"/>
      <c r="AA110" s="70"/>
      <c r="AD110" s="70"/>
      <c r="AI110" s="192"/>
      <c r="AJ110" s="190"/>
      <c r="AK110" s="237"/>
    </row>
    <row r="111" spans="1:37" s="67" customFormat="1" x14ac:dyDescent="0.35">
      <c r="A111" s="100"/>
      <c r="B111" s="100"/>
      <c r="C111" s="196"/>
      <c r="D111" s="197"/>
      <c r="E111" s="198"/>
      <c r="F111" s="198"/>
      <c r="G111" s="100"/>
      <c r="H111" s="100"/>
      <c r="I111" s="100"/>
      <c r="J111" s="100"/>
      <c r="K111" s="100"/>
      <c r="L111" s="100"/>
      <c r="M111" s="100"/>
      <c r="N111" s="197"/>
      <c r="Q111" s="70"/>
      <c r="V111" s="70"/>
      <c r="AA111" s="70"/>
      <c r="AD111" s="70"/>
      <c r="AI111" s="192"/>
      <c r="AJ111" s="190"/>
      <c r="AK111" s="237"/>
    </row>
    <row r="112" spans="1:37" s="67" customFormat="1" x14ac:dyDescent="0.35">
      <c r="A112" s="100"/>
      <c r="B112" s="100"/>
      <c r="C112" s="196"/>
      <c r="D112" s="197"/>
      <c r="E112" s="198"/>
      <c r="F112" s="198"/>
      <c r="G112" s="100"/>
      <c r="H112" s="100"/>
      <c r="I112" s="100"/>
      <c r="J112" s="100"/>
      <c r="K112" s="100"/>
      <c r="L112" s="100"/>
      <c r="M112" s="100"/>
      <c r="N112" s="197"/>
      <c r="Q112" s="70"/>
      <c r="V112" s="70"/>
      <c r="AA112" s="70"/>
      <c r="AD112" s="70"/>
      <c r="AI112" s="192"/>
      <c r="AJ112" s="190"/>
      <c r="AK112" s="237"/>
    </row>
    <row r="113" spans="1:37" s="67" customFormat="1" x14ac:dyDescent="0.35">
      <c r="A113" s="100"/>
      <c r="B113" s="100"/>
      <c r="C113" s="196"/>
      <c r="D113" s="197"/>
      <c r="E113" s="198"/>
      <c r="F113" s="198"/>
      <c r="G113" s="100"/>
      <c r="H113" s="100"/>
      <c r="I113" s="100"/>
      <c r="J113" s="100"/>
      <c r="K113" s="100"/>
      <c r="L113" s="100"/>
      <c r="M113" s="100"/>
      <c r="N113" s="197"/>
      <c r="Q113" s="70"/>
      <c r="V113" s="70"/>
      <c r="AA113" s="70"/>
      <c r="AD113" s="70"/>
      <c r="AI113" s="192"/>
      <c r="AJ113" s="190"/>
      <c r="AK113" s="237"/>
    </row>
    <row r="114" spans="1:37" s="67" customFormat="1" x14ac:dyDescent="0.35">
      <c r="A114" s="100"/>
      <c r="B114" s="100"/>
      <c r="C114" s="196"/>
      <c r="D114" s="197"/>
      <c r="E114" s="198"/>
      <c r="F114" s="198"/>
      <c r="G114" s="100"/>
      <c r="H114" s="100"/>
      <c r="I114" s="100"/>
      <c r="J114" s="100"/>
      <c r="K114" s="100"/>
      <c r="L114" s="100"/>
      <c r="M114" s="100"/>
      <c r="N114" s="197"/>
      <c r="Q114" s="70"/>
      <c r="V114" s="70"/>
      <c r="AA114" s="70"/>
      <c r="AD114" s="70"/>
      <c r="AI114" s="192"/>
      <c r="AJ114" s="190"/>
      <c r="AK114" s="237"/>
    </row>
    <row r="115" spans="1:37" s="67" customFormat="1" x14ac:dyDescent="0.35">
      <c r="A115" s="100"/>
      <c r="B115" s="100"/>
      <c r="C115" s="196"/>
      <c r="D115" s="197"/>
      <c r="E115" s="198"/>
      <c r="F115" s="198"/>
      <c r="G115" s="100"/>
      <c r="H115" s="100"/>
      <c r="I115" s="100"/>
      <c r="J115" s="100"/>
      <c r="K115" s="100"/>
      <c r="L115" s="100"/>
      <c r="M115" s="100"/>
      <c r="N115" s="197"/>
      <c r="Q115" s="70"/>
      <c r="V115" s="70"/>
      <c r="AA115" s="70"/>
      <c r="AD115" s="70"/>
      <c r="AI115" s="192"/>
      <c r="AJ115" s="190"/>
      <c r="AK115" s="237"/>
    </row>
    <row r="116" spans="1:37" s="67" customFormat="1" x14ac:dyDescent="0.35">
      <c r="A116" s="100"/>
      <c r="B116" s="100"/>
      <c r="C116" s="196"/>
      <c r="D116" s="197"/>
      <c r="E116" s="198"/>
      <c r="F116" s="198"/>
      <c r="G116" s="100"/>
      <c r="H116" s="100"/>
      <c r="I116" s="100"/>
      <c r="J116" s="100"/>
      <c r="K116" s="100"/>
      <c r="L116" s="100"/>
      <c r="M116" s="100"/>
      <c r="N116" s="197"/>
      <c r="Q116" s="70"/>
      <c r="V116" s="70"/>
      <c r="AA116" s="70"/>
      <c r="AD116" s="70"/>
      <c r="AI116" s="192"/>
      <c r="AJ116" s="190"/>
      <c r="AK116" s="237"/>
    </row>
    <row r="117" spans="1:37" s="67" customFormat="1" x14ac:dyDescent="0.35">
      <c r="A117" s="100"/>
      <c r="B117" s="100"/>
      <c r="C117" s="196"/>
      <c r="D117" s="197"/>
      <c r="E117" s="198"/>
      <c r="F117" s="198"/>
      <c r="G117" s="100"/>
      <c r="H117" s="100"/>
      <c r="I117" s="100"/>
      <c r="J117" s="100"/>
      <c r="K117" s="100"/>
      <c r="L117" s="100"/>
      <c r="M117" s="100"/>
      <c r="N117" s="197"/>
      <c r="Q117" s="70"/>
      <c r="V117" s="70"/>
      <c r="AA117" s="70"/>
      <c r="AD117" s="70"/>
      <c r="AI117" s="192"/>
      <c r="AJ117" s="190"/>
      <c r="AK117" s="237"/>
    </row>
    <row r="118" spans="1:37" s="67" customFormat="1" x14ac:dyDescent="0.35">
      <c r="A118" s="100"/>
      <c r="B118" s="100"/>
      <c r="C118" s="196"/>
      <c r="D118" s="197"/>
      <c r="E118" s="198"/>
      <c r="F118" s="198"/>
      <c r="G118" s="100"/>
      <c r="H118" s="100"/>
      <c r="I118" s="100"/>
      <c r="J118" s="100"/>
      <c r="K118" s="100"/>
      <c r="L118" s="100"/>
      <c r="M118" s="100"/>
      <c r="N118" s="197"/>
      <c r="Q118" s="70"/>
      <c r="V118" s="70"/>
      <c r="AA118" s="70"/>
      <c r="AD118" s="70"/>
      <c r="AI118" s="192"/>
      <c r="AJ118" s="190"/>
      <c r="AK118" s="237"/>
    </row>
    <row r="119" spans="1:37" s="67" customFormat="1" x14ac:dyDescent="0.35">
      <c r="A119" s="100"/>
      <c r="B119" s="100"/>
      <c r="C119" s="196"/>
      <c r="D119" s="197"/>
      <c r="E119" s="198"/>
      <c r="F119" s="198"/>
      <c r="G119" s="100"/>
      <c r="H119" s="100"/>
      <c r="I119" s="100"/>
      <c r="J119" s="100"/>
      <c r="K119" s="100"/>
      <c r="L119" s="100"/>
      <c r="M119" s="100"/>
      <c r="N119" s="197"/>
      <c r="Q119" s="70"/>
      <c r="V119" s="70"/>
      <c r="AA119" s="70"/>
      <c r="AD119" s="70"/>
      <c r="AI119" s="192"/>
      <c r="AJ119" s="190"/>
      <c r="AK119" s="237"/>
    </row>
    <row r="120" spans="1:37" s="67" customFormat="1" x14ac:dyDescent="0.35">
      <c r="A120" s="100"/>
      <c r="B120" s="100"/>
      <c r="C120" s="196"/>
      <c r="D120" s="197"/>
      <c r="E120" s="198"/>
      <c r="F120" s="198"/>
      <c r="G120" s="100"/>
      <c r="H120" s="100"/>
      <c r="I120" s="100"/>
      <c r="J120" s="100"/>
      <c r="K120" s="100"/>
      <c r="L120" s="100"/>
      <c r="M120" s="100"/>
      <c r="N120" s="197"/>
      <c r="Q120" s="70"/>
      <c r="V120" s="70"/>
      <c r="AA120" s="70"/>
      <c r="AD120" s="70"/>
      <c r="AI120" s="192"/>
      <c r="AJ120" s="190"/>
      <c r="AK120" s="237"/>
    </row>
    <row r="121" spans="1:37" s="67" customFormat="1" x14ac:dyDescent="0.35">
      <c r="A121" s="100"/>
      <c r="B121" s="100"/>
      <c r="C121" s="196"/>
      <c r="D121" s="197"/>
      <c r="E121" s="198"/>
      <c r="F121" s="198"/>
      <c r="G121" s="100"/>
      <c r="H121" s="100"/>
      <c r="I121" s="100"/>
      <c r="J121" s="100"/>
      <c r="K121" s="100"/>
      <c r="L121" s="100"/>
      <c r="M121" s="100"/>
      <c r="N121" s="197"/>
      <c r="Q121" s="70"/>
      <c r="V121" s="70"/>
      <c r="AA121" s="70"/>
      <c r="AD121" s="70"/>
      <c r="AI121" s="192"/>
      <c r="AJ121" s="190"/>
      <c r="AK121" s="237"/>
    </row>
    <row r="122" spans="1:37" s="67" customFormat="1" x14ac:dyDescent="0.35">
      <c r="A122" s="100"/>
      <c r="B122" s="100"/>
      <c r="C122" s="196"/>
      <c r="D122" s="197"/>
      <c r="E122" s="198"/>
      <c r="F122" s="198"/>
      <c r="G122" s="100"/>
      <c r="H122" s="100"/>
      <c r="I122" s="100"/>
      <c r="J122" s="100"/>
      <c r="K122" s="100"/>
      <c r="L122" s="100"/>
      <c r="M122" s="100"/>
      <c r="N122" s="197"/>
      <c r="Q122" s="70"/>
      <c r="V122" s="70"/>
      <c r="AA122" s="70"/>
      <c r="AD122" s="70"/>
      <c r="AI122" s="192"/>
      <c r="AJ122" s="190"/>
      <c r="AK122" s="237"/>
    </row>
    <row r="123" spans="1:37" s="67" customFormat="1" x14ac:dyDescent="0.35">
      <c r="A123" s="100"/>
      <c r="B123" s="100"/>
      <c r="C123" s="196"/>
      <c r="D123" s="197"/>
      <c r="E123" s="198"/>
      <c r="F123" s="198"/>
      <c r="G123" s="100"/>
      <c r="H123" s="100"/>
      <c r="I123" s="100"/>
      <c r="J123" s="100"/>
      <c r="K123" s="100"/>
      <c r="L123" s="100"/>
      <c r="M123" s="100"/>
      <c r="N123" s="197"/>
      <c r="Q123" s="70"/>
      <c r="V123" s="70"/>
      <c r="AA123" s="70"/>
      <c r="AD123" s="70"/>
      <c r="AI123" s="192"/>
      <c r="AJ123" s="190"/>
      <c r="AK123" s="237"/>
    </row>
    <row r="124" spans="1:37" s="67" customFormat="1" x14ac:dyDescent="0.35">
      <c r="A124" s="100"/>
      <c r="B124" s="100"/>
      <c r="C124" s="196"/>
      <c r="D124" s="197"/>
      <c r="E124" s="198"/>
      <c r="F124" s="198"/>
      <c r="G124" s="100"/>
      <c r="H124" s="100"/>
      <c r="I124" s="100"/>
      <c r="J124" s="100"/>
      <c r="K124" s="100"/>
      <c r="L124" s="100"/>
      <c r="M124" s="100"/>
      <c r="N124" s="197"/>
      <c r="Q124" s="70"/>
      <c r="V124" s="70"/>
      <c r="AA124" s="70"/>
      <c r="AD124" s="70"/>
      <c r="AI124" s="192"/>
      <c r="AJ124" s="190"/>
      <c r="AK124" s="237"/>
    </row>
    <row r="125" spans="1:37" s="67" customFormat="1" x14ac:dyDescent="0.35">
      <c r="A125" s="100"/>
      <c r="B125" s="100"/>
      <c r="C125" s="196"/>
      <c r="D125" s="197"/>
      <c r="E125" s="198"/>
      <c r="F125" s="198"/>
      <c r="G125" s="100"/>
      <c r="H125" s="100"/>
      <c r="I125" s="100"/>
      <c r="J125" s="100"/>
      <c r="K125" s="100"/>
      <c r="L125" s="100"/>
      <c r="M125" s="100"/>
      <c r="N125" s="197"/>
      <c r="Q125" s="70"/>
      <c r="V125" s="70"/>
      <c r="AA125" s="70"/>
      <c r="AD125" s="70"/>
      <c r="AI125" s="192"/>
      <c r="AJ125" s="190"/>
      <c r="AK125" s="237"/>
    </row>
    <row r="126" spans="1:37" s="67" customFormat="1" x14ac:dyDescent="0.35">
      <c r="A126" s="100"/>
      <c r="B126" s="100"/>
      <c r="C126" s="196"/>
      <c r="D126" s="197"/>
      <c r="E126" s="198"/>
      <c r="F126" s="198"/>
      <c r="G126" s="100"/>
      <c r="H126" s="100"/>
      <c r="I126" s="100"/>
      <c r="J126" s="100"/>
      <c r="K126" s="100"/>
      <c r="L126" s="100"/>
      <c r="M126" s="100"/>
      <c r="N126" s="197"/>
      <c r="Q126" s="70"/>
      <c r="V126" s="70"/>
      <c r="AA126" s="70"/>
      <c r="AD126" s="70"/>
      <c r="AI126" s="192"/>
      <c r="AJ126" s="190"/>
      <c r="AK126" s="237"/>
    </row>
    <row r="127" spans="1:37" s="67" customFormat="1" x14ac:dyDescent="0.35">
      <c r="A127" s="100"/>
      <c r="C127" s="70"/>
      <c r="D127" s="190"/>
      <c r="E127" s="191"/>
      <c r="F127" s="191"/>
      <c r="N127" s="190"/>
      <c r="Q127" s="70"/>
      <c r="V127" s="70"/>
      <c r="AA127" s="70"/>
      <c r="AD127" s="70"/>
      <c r="AI127" s="192"/>
      <c r="AJ127" s="190"/>
      <c r="AK127" s="237"/>
    </row>
    <row r="128" spans="1:37" s="67" customFormat="1" x14ac:dyDescent="0.35">
      <c r="A128" s="100"/>
      <c r="C128" s="70"/>
      <c r="D128" s="190"/>
      <c r="E128" s="191"/>
      <c r="F128" s="191"/>
      <c r="N128" s="190"/>
      <c r="Q128" s="70"/>
      <c r="V128" s="70"/>
      <c r="AA128" s="70"/>
      <c r="AD128" s="70"/>
      <c r="AI128" s="192"/>
      <c r="AJ128" s="190"/>
      <c r="AK128" s="237"/>
    </row>
    <row r="129" spans="1:37" s="67" customFormat="1" x14ac:dyDescent="0.35">
      <c r="A129" s="100"/>
      <c r="C129" s="70"/>
      <c r="D129" s="190"/>
      <c r="E129" s="191"/>
      <c r="F129" s="191"/>
      <c r="N129" s="190"/>
      <c r="Q129" s="70"/>
      <c r="V129" s="70"/>
      <c r="AA129" s="70"/>
      <c r="AD129" s="70"/>
      <c r="AI129" s="192"/>
      <c r="AJ129" s="190"/>
      <c r="AK129" s="237"/>
    </row>
    <row r="130" spans="1:37" s="67" customFormat="1" x14ac:dyDescent="0.35">
      <c r="A130" s="100"/>
      <c r="C130" s="70"/>
      <c r="D130" s="190"/>
      <c r="E130" s="191"/>
      <c r="F130" s="191"/>
      <c r="N130" s="190"/>
      <c r="Q130" s="70"/>
      <c r="V130" s="70"/>
      <c r="AA130" s="70"/>
      <c r="AD130" s="70"/>
      <c r="AI130" s="192"/>
      <c r="AJ130" s="190"/>
      <c r="AK130" s="237"/>
    </row>
    <row r="131" spans="1:37" s="67" customFormat="1" x14ac:dyDescent="0.35">
      <c r="A131" s="100"/>
      <c r="C131" s="70"/>
      <c r="D131" s="190"/>
      <c r="E131" s="191"/>
      <c r="F131" s="191"/>
      <c r="N131" s="190"/>
      <c r="Q131" s="70"/>
      <c r="V131" s="70"/>
      <c r="AA131" s="70"/>
      <c r="AD131" s="70"/>
      <c r="AI131" s="192"/>
      <c r="AJ131" s="190"/>
      <c r="AK131" s="237"/>
    </row>
    <row r="132" spans="1:37" s="67" customFormat="1" x14ac:dyDescent="0.35">
      <c r="A132" s="100"/>
      <c r="C132" s="70"/>
      <c r="D132" s="190"/>
      <c r="E132" s="191"/>
      <c r="F132" s="191"/>
      <c r="N132" s="190"/>
      <c r="Q132" s="70"/>
      <c r="V132" s="70"/>
      <c r="AA132" s="70"/>
      <c r="AD132" s="70"/>
      <c r="AI132" s="192"/>
      <c r="AJ132" s="190"/>
      <c r="AK132" s="237"/>
    </row>
    <row r="133" spans="1:37" s="67" customFormat="1" x14ac:dyDescent="0.35">
      <c r="A133" s="100"/>
      <c r="C133" s="70"/>
      <c r="D133" s="190"/>
      <c r="E133" s="191"/>
      <c r="F133" s="191"/>
      <c r="N133" s="190"/>
      <c r="Q133" s="70"/>
      <c r="V133" s="70"/>
      <c r="AA133" s="70"/>
      <c r="AD133" s="70"/>
      <c r="AI133" s="192"/>
      <c r="AJ133" s="190"/>
      <c r="AK133" s="237"/>
    </row>
    <row r="134" spans="1:37" s="67" customFormat="1" x14ac:dyDescent="0.35">
      <c r="A134" s="100"/>
      <c r="C134" s="70"/>
      <c r="D134" s="190"/>
      <c r="E134" s="191"/>
      <c r="F134" s="191"/>
      <c r="N134" s="190"/>
      <c r="Q134" s="70"/>
      <c r="V134" s="70"/>
      <c r="AA134" s="70"/>
      <c r="AD134" s="70"/>
      <c r="AI134" s="192"/>
      <c r="AJ134" s="190"/>
      <c r="AK134" s="237"/>
    </row>
    <row r="135" spans="1:37" s="67" customFormat="1" x14ac:dyDescent="0.35">
      <c r="A135" s="100"/>
      <c r="C135" s="70"/>
      <c r="D135" s="190"/>
      <c r="E135" s="191"/>
      <c r="F135" s="191"/>
      <c r="N135" s="190"/>
      <c r="Q135" s="70"/>
      <c r="V135" s="70"/>
      <c r="AA135" s="70"/>
      <c r="AD135" s="70"/>
      <c r="AI135" s="192"/>
      <c r="AJ135" s="190"/>
      <c r="AK135" s="237"/>
    </row>
    <row r="136" spans="1:37" s="67" customFormat="1" x14ac:dyDescent="0.35">
      <c r="A136" s="100"/>
      <c r="C136" s="70"/>
      <c r="D136" s="190"/>
      <c r="E136" s="191"/>
      <c r="F136" s="191"/>
      <c r="N136" s="190"/>
      <c r="Q136" s="70"/>
      <c r="V136" s="70"/>
      <c r="AA136" s="70"/>
      <c r="AD136" s="70"/>
      <c r="AI136" s="192"/>
      <c r="AJ136" s="190"/>
      <c r="AK136" s="237"/>
    </row>
    <row r="137" spans="1:37" s="67" customFormat="1" x14ac:dyDescent="0.35">
      <c r="A137" s="100"/>
      <c r="C137" s="70"/>
      <c r="D137" s="190"/>
      <c r="E137" s="191"/>
      <c r="F137" s="191"/>
      <c r="N137" s="190"/>
      <c r="Q137" s="70"/>
      <c r="V137" s="70"/>
      <c r="AA137" s="70"/>
      <c r="AD137" s="70"/>
      <c r="AI137" s="192"/>
      <c r="AJ137" s="190"/>
      <c r="AK137" s="237"/>
    </row>
    <row r="138" spans="1:37" s="67" customFormat="1" x14ac:dyDescent="0.35">
      <c r="A138" s="100"/>
      <c r="C138" s="70"/>
      <c r="D138" s="190"/>
      <c r="E138" s="191"/>
      <c r="F138" s="191"/>
      <c r="N138" s="190"/>
      <c r="Q138" s="70"/>
      <c r="V138" s="70"/>
      <c r="AA138" s="70"/>
      <c r="AD138" s="70"/>
      <c r="AI138" s="192"/>
      <c r="AJ138" s="190"/>
      <c r="AK138" s="237"/>
    </row>
    <row r="139" spans="1:37" s="67" customFormat="1" x14ac:dyDescent="0.35">
      <c r="A139" s="100"/>
      <c r="C139" s="70"/>
      <c r="D139" s="190"/>
      <c r="E139" s="191"/>
      <c r="F139" s="191"/>
      <c r="N139" s="190"/>
      <c r="Q139" s="70"/>
      <c r="V139" s="70"/>
      <c r="AA139" s="70"/>
      <c r="AD139" s="70"/>
      <c r="AI139" s="192"/>
      <c r="AJ139" s="190"/>
      <c r="AK139" s="237"/>
    </row>
    <row r="140" spans="1:37" s="67" customFormat="1" x14ac:dyDescent="0.35">
      <c r="A140" s="100"/>
      <c r="C140" s="70"/>
      <c r="D140" s="190"/>
      <c r="E140" s="191"/>
      <c r="F140" s="191"/>
      <c r="N140" s="190"/>
      <c r="Q140" s="70"/>
      <c r="V140" s="70"/>
      <c r="AA140" s="70"/>
      <c r="AD140" s="70"/>
      <c r="AI140" s="192"/>
      <c r="AJ140" s="190"/>
      <c r="AK140" s="237"/>
    </row>
    <row r="141" spans="1:37" s="67" customFormat="1" x14ac:dyDescent="0.35">
      <c r="A141" s="100"/>
      <c r="C141" s="70"/>
      <c r="D141" s="190"/>
      <c r="E141" s="191"/>
      <c r="F141" s="191"/>
      <c r="N141" s="190"/>
      <c r="Q141" s="70"/>
      <c r="V141" s="70"/>
      <c r="AA141" s="70"/>
      <c r="AD141" s="70"/>
      <c r="AI141" s="192"/>
      <c r="AJ141" s="190"/>
      <c r="AK141" s="237"/>
    </row>
    <row r="142" spans="1:37" s="67" customFormat="1" x14ac:dyDescent="0.35">
      <c r="A142" s="100"/>
      <c r="C142" s="70"/>
      <c r="D142" s="190"/>
      <c r="E142" s="191"/>
      <c r="F142" s="191"/>
      <c r="N142" s="190"/>
      <c r="Q142" s="70"/>
      <c r="V142" s="70"/>
      <c r="AA142" s="70"/>
      <c r="AD142" s="70"/>
      <c r="AI142" s="192"/>
      <c r="AJ142" s="190"/>
      <c r="AK142" s="237"/>
    </row>
    <row r="143" spans="1:37" s="67" customFormat="1" x14ac:dyDescent="0.35">
      <c r="A143" s="100"/>
      <c r="C143" s="70"/>
      <c r="D143" s="190"/>
      <c r="E143" s="191"/>
      <c r="F143" s="191"/>
      <c r="N143" s="190"/>
      <c r="Q143" s="70"/>
      <c r="V143" s="70"/>
      <c r="AA143" s="70"/>
      <c r="AD143" s="70"/>
      <c r="AI143" s="192"/>
      <c r="AJ143" s="190"/>
      <c r="AK143" s="237"/>
    </row>
    <row r="144" spans="1:37" s="67" customFormat="1" x14ac:dyDescent="0.35">
      <c r="A144" s="100"/>
      <c r="C144" s="70"/>
      <c r="D144" s="190"/>
      <c r="E144" s="191"/>
      <c r="F144" s="191"/>
      <c r="N144" s="190"/>
      <c r="Q144" s="70"/>
      <c r="V144" s="70"/>
      <c r="AA144" s="70"/>
      <c r="AD144" s="70"/>
      <c r="AI144" s="192"/>
      <c r="AJ144" s="190"/>
      <c r="AK144" s="237"/>
    </row>
    <row r="145" spans="1:37" s="67" customFormat="1" x14ac:dyDescent="0.35">
      <c r="A145" s="100"/>
      <c r="C145" s="70"/>
      <c r="D145" s="190"/>
      <c r="E145" s="191"/>
      <c r="F145" s="191"/>
      <c r="N145" s="190"/>
      <c r="Q145" s="70"/>
      <c r="V145" s="70"/>
      <c r="AA145" s="70"/>
      <c r="AD145" s="70"/>
      <c r="AI145" s="192"/>
      <c r="AJ145" s="190"/>
      <c r="AK145" s="237"/>
    </row>
    <row r="146" spans="1:37" s="67" customFormat="1" x14ac:dyDescent="0.35">
      <c r="A146" s="100"/>
      <c r="C146" s="70"/>
      <c r="D146" s="190"/>
      <c r="E146" s="191"/>
      <c r="F146" s="191"/>
      <c r="N146" s="190"/>
      <c r="Q146" s="70"/>
      <c r="V146" s="70"/>
      <c r="AA146" s="70"/>
      <c r="AD146" s="70"/>
      <c r="AI146" s="192"/>
      <c r="AJ146" s="190"/>
      <c r="AK146" s="237"/>
    </row>
    <row r="147" spans="1:37" s="67" customFormat="1" x14ac:dyDescent="0.35">
      <c r="A147" s="100"/>
      <c r="C147" s="70"/>
      <c r="D147" s="190"/>
      <c r="E147" s="191"/>
      <c r="F147" s="191"/>
      <c r="N147" s="190"/>
      <c r="Q147" s="70"/>
      <c r="V147" s="70"/>
      <c r="AA147" s="70"/>
      <c r="AD147" s="70"/>
      <c r="AI147" s="192"/>
      <c r="AJ147" s="190"/>
      <c r="AK147" s="237"/>
    </row>
    <row r="207" spans="1:37" s="36" customFormat="1" x14ac:dyDescent="0.35">
      <c r="A207" s="195"/>
      <c r="C207" s="35"/>
      <c r="D207" s="79"/>
      <c r="E207" s="102"/>
      <c r="F207" s="102"/>
      <c r="N207" s="79"/>
      <c r="Q207" s="35"/>
      <c r="V207" s="35"/>
      <c r="AA207" s="35"/>
      <c r="AD207" s="42"/>
      <c r="AI207" s="110"/>
      <c r="AJ207" s="79"/>
      <c r="AK207" s="241"/>
    </row>
  </sheetData>
  <mergeCells count="24">
    <mergeCell ref="O10:AD10"/>
    <mergeCell ref="N10:N12"/>
    <mergeCell ref="J11:J12"/>
    <mergeCell ref="AG10:AG12"/>
    <mergeCell ref="O11:S11"/>
    <mergeCell ref="AE10:AF11"/>
    <mergeCell ref="A4:AJ4"/>
    <mergeCell ref="A10:A12"/>
    <mergeCell ref="B10:B12"/>
    <mergeCell ref="L11:L12"/>
    <mergeCell ref="M11:M12"/>
    <mergeCell ref="T11:X11"/>
    <mergeCell ref="Y11:AD11"/>
    <mergeCell ref="J10:K10"/>
    <mergeCell ref="L10:M10"/>
    <mergeCell ref="AH10:AH12"/>
    <mergeCell ref="A73:N73"/>
    <mergeCell ref="C10:C12"/>
    <mergeCell ref="E10:G10"/>
    <mergeCell ref="H10:I10"/>
    <mergeCell ref="H11:H12"/>
    <mergeCell ref="I11:I12"/>
    <mergeCell ref="D10:D12"/>
    <mergeCell ref="K11:K12"/>
  </mergeCells>
  <phoneticPr fontId="11" type="noConversion"/>
  <pageMargins left="0.7" right="0.7" top="0.75" bottom="0.75" header="0.3" footer="0.3"/>
  <pageSetup paperSize="9" orientation="portrait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74"/>
  <sheetViews>
    <sheetView topLeftCell="A54" zoomScale="85" zoomScaleNormal="85" workbookViewId="0">
      <selection activeCell="AH79" sqref="AH79"/>
    </sheetView>
  </sheetViews>
  <sheetFormatPr baseColWidth="10" defaultRowHeight="14.5" x14ac:dyDescent="0.35"/>
  <cols>
    <col min="1" max="1" width="10" customWidth="1"/>
    <col min="2" max="2" width="15.54296875" style="43" customWidth="1"/>
    <col min="3" max="3" width="14.7265625" style="43" customWidth="1"/>
    <col min="4" max="4" width="20.453125" style="89" customWidth="1"/>
    <col min="5" max="5" width="13.7265625" style="234" customWidth="1"/>
    <col min="6" max="6" width="11.7265625" style="234" customWidth="1"/>
    <col min="7" max="7" width="6.54296875" style="235" customWidth="1"/>
    <col min="8" max="8" width="6.81640625" customWidth="1"/>
    <col min="9" max="9" width="7" customWidth="1"/>
    <col min="10" max="10" width="6.54296875" customWidth="1"/>
    <col min="11" max="11" width="7.26953125" style="15" customWidth="1"/>
    <col min="12" max="12" width="6.26953125" customWidth="1"/>
    <col min="13" max="13" width="7.26953125" customWidth="1"/>
    <col min="14" max="14" width="18.453125" style="71" customWidth="1"/>
    <col min="15" max="15" width="8.54296875" style="34" customWidth="1"/>
    <col min="16" max="16" width="9.1796875" customWidth="1"/>
    <col min="17" max="17" width="8.81640625" customWidth="1"/>
    <col min="18" max="18" width="7" customWidth="1"/>
    <col min="19" max="19" width="8.7265625" style="34" customWidth="1"/>
    <col min="20" max="20" width="8.81640625" style="34" customWidth="1"/>
    <col min="21" max="22" width="8.7265625" customWidth="1"/>
    <col min="23" max="23" width="7.54296875" customWidth="1"/>
    <col min="24" max="24" width="9.81640625" style="34" customWidth="1"/>
    <col min="25" max="25" width="9.54296875" style="39" customWidth="1"/>
    <col min="26" max="26" width="9" style="172" customWidth="1"/>
    <col min="27" max="27" width="8.453125" customWidth="1"/>
    <col min="28" max="28" width="5.7265625" style="46" customWidth="1"/>
    <col min="29" max="29" width="8" style="208" customWidth="1"/>
    <col min="30" max="30" width="9.26953125" style="46" customWidth="1"/>
    <col min="31" max="31" width="11.453125" style="343" customWidth="1"/>
    <col min="32" max="32" width="38.1796875" style="46" customWidth="1"/>
    <col min="33" max="33" width="9.1796875" style="46" customWidth="1"/>
    <col min="34" max="34" width="10" style="46" customWidth="1"/>
    <col min="35" max="35" width="26.81640625" style="46" customWidth="1"/>
    <col min="36" max="36" width="15.81640625" style="343" customWidth="1"/>
    <col min="37" max="37" width="16.7265625" style="740" customWidth="1"/>
    <col min="38" max="38" width="9.81640625" style="33" customWidth="1"/>
  </cols>
  <sheetData>
    <row r="1" spans="1:95" ht="15.5" x14ac:dyDescent="0.35">
      <c r="A1" s="983" t="s">
        <v>0</v>
      </c>
      <c r="B1" s="983"/>
      <c r="C1" s="983"/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  <c r="X1" s="983"/>
      <c r="Y1" s="983"/>
      <c r="Z1" s="1029"/>
      <c r="AA1" s="983"/>
      <c r="AB1" s="983"/>
      <c r="AC1" s="983"/>
      <c r="AD1" s="983"/>
      <c r="AE1" s="983"/>
      <c r="AF1" s="983"/>
      <c r="AG1" s="983"/>
      <c r="AH1" s="983"/>
      <c r="AI1" s="983"/>
      <c r="AJ1" s="983"/>
    </row>
    <row r="2" spans="1:95" ht="15.5" x14ac:dyDescent="0.35">
      <c r="A2" s="5" t="s">
        <v>139</v>
      </c>
      <c r="B2" s="44"/>
      <c r="C2" s="44"/>
      <c r="D2" s="88"/>
      <c r="E2" s="229"/>
      <c r="F2" s="229"/>
      <c r="G2" s="230"/>
      <c r="H2" s="5"/>
      <c r="I2" s="4"/>
      <c r="J2" s="4"/>
      <c r="K2" s="4"/>
      <c r="L2" s="4"/>
      <c r="M2" s="4"/>
      <c r="N2" s="4"/>
      <c r="O2" s="37"/>
      <c r="P2" s="4"/>
      <c r="Q2" s="4"/>
      <c r="R2" s="4"/>
      <c r="S2" s="37"/>
      <c r="T2" s="37"/>
      <c r="U2" s="4"/>
      <c r="V2" s="4"/>
      <c r="W2" s="4"/>
      <c r="X2" s="37"/>
      <c r="Y2" s="38"/>
      <c r="Z2" s="173"/>
      <c r="AA2" s="4"/>
      <c r="AB2" s="47"/>
      <c r="AC2" s="207"/>
      <c r="AD2" s="47"/>
      <c r="AE2" s="47"/>
      <c r="AF2" s="111"/>
      <c r="AG2" s="47"/>
      <c r="AH2" s="47"/>
      <c r="AI2" s="111"/>
      <c r="AJ2" s="47"/>
      <c r="AK2" s="242"/>
      <c r="AL2" s="48"/>
    </row>
    <row r="3" spans="1:95" ht="15.5" x14ac:dyDescent="0.35">
      <c r="A3" s="5" t="s">
        <v>123</v>
      </c>
      <c r="B3" s="44"/>
      <c r="C3" s="44"/>
      <c r="D3" s="88"/>
      <c r="E3" s="229"/>
      <c r="F3" s="229"/>
      <c r="G3" s="230"/>
      <c r="H3" s="5"/>
      <c r="I3" s="4"/>
      <c r="J3" s="4"/>
      <c r="K3" s="4"/>
      <c r="L3" s="4"/>
      <c r="M3" s="4"/>
      <c r="N3" s="4"/>
      <c r="O3" s="37"/>
      <c r="P3" s="4"/>
      <c r="Q3" s="4"/>
      <c r="R3" s="4"/>
      <c r="S3" s="37"/>
      <c r="T3" s="37"/>
      <c r="U3" s="4"/>
      <c r="V3" s="4"/>
      <c r="W3" s="4"/>
      <c r="X3" s="37"/>
      <c r="Y3" s="38"/>
      <c r="Z3" s="173"/>
      <c r="AA3" s="4"/>
      <c r="AB3" s="47"/>
      <c r="AC3" s="207"/>
      <c r="AD3" s="47"/>
      <c r="AE3" s="47"/>
      <c r="AF3" s="111"/>
      <c r="AG3" s="47"/>
      <c r="AH3" s="47"/>
      <c r="AI3" s="111"/>
      <c r="AJ3" s="47"/>
      <c r="AK3" s="242"/>
      <c r="AL3" s="48"/>
    </row>
    <row r="4" spans="1:95" ht="15.5" x14ac:dyDescent="0.35">
      <c r="A4" s="1009" t="s">
        <v>121</v>
      </c>
      <c r="B4" s="1009"/>
      <c r="C4" s="1009"/>
      <c r="D4" s="1009"/>
      <c r="E4" s="1009"/>
      <c r="F4" s="1009"/>
      <c r="G4" s="1009"/>
      <c r="H4" s="1009"/>
      <c r="I4" s="1009"/>
      <c r="J4" s="1009"/>
      <c r="K4" s="1009"/>
      <c r="L4" s="1009"/>
      <c r="M4" s="1009"/>
      <c r="N4" s="1009"/>
      <c r="O4" s="1009"/>
      <c r="P4" s="1009"/>
      <c r="Q4" s="1009"/>
      <c r="R4" s="1009"/>
      <c r="S4" s="1009"/>
      <c r="T4" s="1009"/>
      <c r="U4" s="1009"/>
      <c r="V4" s="1009"/>
      <c r="W4" s="1009"/>
      <c r="X4" s="1009"/>
      <c r="Y4" s="1009"/>
      <c r="Z4" s="1010"/>
      <c r="AA4" s="1009"/>
      <c r="AB4" s="1009"/>
      <c r="AC4" s="1009"/>
      <c r="AD4" s="1009"/>
      <c r="AE4" s="1009"/>
      <c r="AF4" s="1009"/>
      <c r="AG4" s="1009"/>
      <c r="AH4" s="1009"/>
      <c r="AI4" s="1009"/>
      <c r="AJ4" s="1009"/>
      <c r="AK4" s="242"/>
      <c r="AL4" s="48"/>
    </row>
    <row r="5" spans="1:95" ht="15.5" x14ac:dyDescent="0.35">
      <c r="A5" s="4"/>
      <c r="B5" s="4"/>
      <c r="C5" s="4"/>
      <c r="D5" s="4"/>
      <c r="E5" s="231"/>
      <c r="F5" s="231"/>
      <c r="G5" s="231"/>
      <c r="H5" s="4"/>
      <c r="I5" s="4"/>
      <c r="J5" s="4"/>
      <c r="K5" s="4"/>
      <c r="L5" s="4"/>
      <c r="M5" s="4"/>
      <c r="N5" s="14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73"/>
      <c r="AA5" s="4"/>
      <c r="AB5" s="4"/>
      <c r="AC5" s="44"/>
      <c r="AD5" s="4"/>
      <c r="AE5" s="4"/>
      <c r="AF5" s="5"/>
      <c r="AG5" s="74"/>
      <c r="AH5" s="74"/>
      <c r="AI5" s="5"/>
      <c r="AJ5" s="4"/>
      <c r="AK5" s="242"/>
      <c r="AL5" s="48"/>
    </row>
    <row r="6" spans="1:95" ht="15.5" x14ac:dyDescent="0.35">
      <c r="A6" s="4"/>
      <c r="B6" s="4"/>
      <c r="C6" s="4"/>
      <c r="D6" s="4"/>
      <c r="E6" s="232"/>
      <c r="F6" s="232" t="s">
        <v>126</v>
      </c>
      <c r="G6" s="23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73"/>
      <c r="AA6" s="4"/>
      <c r="AB6" s="4"/>
      <c r="AC6" s="44"/>
      <c r="AD6" s="4"/>
      <c r="AE6" s="4"/>
      <c r="AF6" s="5"/>
      <c r="AG6" s="74"/>
      <c r="AH6" s="74"/>
      <c r="AI6" s="5"/>
      <c r="AJ6" s="4"/>
      <c r="AK6" s="242"/>
      <c r="AL6" s="48"/>
    </row>
    <row r="7" spans="1:95" ht="15.5" x14ac:dyDescent="0.35">
      <c r="A7" s="4"/>
      <c r="B7" s="4"/>
      <c r="C7" s="4"/>
      <c r="D7" s="4"/>
      <c r="E7" s="232"/>
      <c r="F7" s="232" t="s">
        <v>143</v>
      </c>
      <c r="G7" s="23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173"/>
      <c r="AA7" s="4"/>
      <c r="AB7" s="4"/>
      <c r="AC7" s="44"/>
      <c r="AD7" s="4"/>
      <c r="AE7" s="4"/>
      <c r="AF7" s="5"/>
      <c r="AG7" s="74"/>
      <c r="AH7" s="74"/>
      <c r="AI7" s="5"/>
      <c r="AJ7" s="4"/>
      <c r="AK7" s="242"/>
      <c r="AL7" s="48"/>
    </row>
    <row r="8" spans="1:95" ht="16" thickBot="1" x14ac:dyDescent="0.4">
      <c r="A8" s="4"/>
      <c r="B8" s="44"/>
      <c r="C8" s="44"/>
      <c r="D8" s="88"/>
      <c r="E8" s="229"/>
      <c r="F8" s="229"/>
      <c r="G8" s="231"/>
      <c r="H8" s="4"/>
      <c r="I8" s="4"/>
      <c r="J8" s="4"/>
      <c r="K8" s="4"/>
      <c r="L8" s="4"/>
      <c r="M8" s="4"/>
      <c r="N8" s="4"/>
      <c r="O8" s="37"/>
      <c r="P8" s="4"/>
      <c r="Q8" s="4"/>
      <c r="R8" s="4"/>
      <c r="S8" s="37"/>
      <c r="T8" s="37"/>
      <c r="U8" s="4"/>
      <c r="V8" s="4"/>
      <c r="W8" s="4"/>
      <c r="X8" s="37"/>
      <c r="Y8" s="38"/>
      <c r="Z8" s="173"/>
      <c r="AA8" s="4"/>
      <c r="AB8" s="47"/>
      <c r="AC8" s="207"/>
      <c r="AD8" s="47"/>
      <c r="AE8" s="47"/>
      <c r="AF8" s="111"/>
      <c r="AG8" s="47"/>
      <c r="AH8" s="47"/>
      <c r="AI8" s="111"/>
      <c r="AJ8" s="47"/>
      <c r="AK8" s="242"/>
      <c r="AL8" s="48"/>
      <c r="AN8" s="69"/>
    </row>
    <row r="9" spans="1:95" s="40" customFormat="1" ht="20.25" customHeight="1" thickBot="1" x14ac:dyDescent="0.4">
      <c r="A9" s="1021" t="s">
        <v>1</v>
      </c>
      <c r="B9" s="1021" t="s">
        <v>2</v>
      </c>
      <c r="C9" s="1021" t="s">
        <v>3</v>
      </c>
      <c r="D9" s="1021" t="s">
        <v>128</v>
      </c>
      <c r="E9" s="1026" t="s">
        <v>118</v>
      </c>
      <c r="F9" s="1027"/>
      <c r="G9" s="1028"/>
      <c r="H9" s="1021" t="s">
        <v>4</v>
      </c>
      <c r="I9" s="1021"/>
      <c r="J9" s="1021" t="s">
        <v>5</v>
      </c>
      <c r="K9" s="1021"/>
      <c r="L9" s="1021" t="s">
        <v>6</v>
      </c>
      <c r="M9" s="1021"/>
      <c r="N9" s="1024" t="s">
        <v>127</v>
      </c>
      <c r="O9" s="1021" t="s">
        <v>7</v>
      </c>
      <c r="P9" s="1021"/>
      <c r="Q9" s="1021"/>
      <c r="R9" s="1021"/>
      <c r="S9" s="1021"/>
      <c r="T9" s="1021"/>
      <c r="U9" s="1021"/>
      <c r="V9" s="1021"/>
      <c r="W9" s="1021"/>
      <c r="X9" s="1021"/>
      <c r="Y9" s="1021"/>
      <c r="Z9" s="1035"/>
      <c r="AA9" s="1021"/>
      <c r="AB9" s="1021"/>
      <c r="AC9" s="1021"/>
      <c r="AD9" s="1021"/>
      <c r="AE9" s="1002" t="s">
        <v>137</v>
      </c>
      <c r="AF9" s="1003"/>
      <c r="AG9" s="1021" t="s">
        <v>15</v>
      </c>
      <c r="AH9" s="1021" t="s">
        <v>96</v>
      </c>
      <c r="AI9" s="991" t="s">
        <v>131</v>
      </c>
      <c r="AJ9" s="1033" t="s">
        <v>91</v>
      </c>
      <c r="AK9" s="1038" t="s">
        <v>132</v>
      </c>
      <c r="AL9" s="1014" t="s">
        <v>133</v>
      </c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</row>
    <row r="10" spans="1:95" ht="19.5" customHeight="1" thickBot="1" x14ac:dyDescent="0.4">
      <c r="A10" s="1022"/>
      <c r="B10" s="1022"/>
      <c r="C10" s="1022"/>
      <c r="D10" s="1023"/>
      <c r="E10" s="1030" t="s">
        <v>119</v>
      </c>
      <c r="F10" s="1030" t="s">
        <v>120</v>
      </c>
      <c r="G10" s="1031" t="s">
        <v>117</v>
      </c>
      <c r="H10" s="1021" t="s">
        <v>11</v>
      </c>
      <c r="I10" s="1021" t="s">
        <v>12</v>
      </c>
      <c r="J10" s="1021" t="s">
        <v>11</v>
      </c>
      <c r="K10" s="1021" t="s">
        <v>12</v>
      </c>
      <c r="L10" s="1021" t="s">
        <v>11</v>
      </c>
      <c r="M10" s="1021" t="s">
        <v>12</v>
      </c>
      <c r="N10" s="1025"/>
      <c r="O10" s="1021" t="s">
        <v>13</v>
      </c>
      <c r="P10" s="1021"/>
      <c r="Q10" s="1021"/>
      <c r="R10" s="1021"/>
      <c r="S10" s="1036"/>
      <c r="T10" s="1021" t="s">
        <v>14</v>
      </c>
      <c r="U10" s="1021"/>
      <c r="V10" s="1021"/>
      <c r="W10" s="1021"/>
      <c r="X10" s="1021"/>
      <c r="Y10" s="1041" t="s">
        <v>23</v>
      </c>
      <c r="Z10" s="1035"/>
      <c r="AA10" s="1021"/>
      <c r="AB10" s="1021"/>
      <c r="AC10" s="1021"/>
      <c r="AD10" s="1021"/>
      <c r="AE10" s="1016"/>
      <c r="AF10" s="1017"/>
      <c r="AG10" s="1022"/>
      <c r="AH10" s="1022"/>
      <c r="AI10" s="992"/>
      <c r="AJ10" s="1034"/>
      <c r="AK10" s="1039"/>
      <c r="AL10" s="1040"/>
    </row>
    <row r="11" spans="1:95" ht="21.75" customHeight="1" thickBot="1" x14ac:dyDescent="0.4">
      <c r="A11" s="1022"/>
      <c r="B11" s="1022"/>
      <c r="C11" s="1022"/>
      <c r="D11" s="1023"/>
      <c r="E11" s="1030"/>
      <c r="F11" s="1030"/>
      <c r="G11" s="1032"/>
      <c r="H11" s="1022"/>
      <c r="I11" s="1022"/>
      <c r="J11" s="1022"/>
      <c r="K11" s="1022"/>
      <c r="L11" s="1022"/>
      <c r="M11" s="1022"/>
      <c r="N11" s="1025"/>
      <c r="O11" s="139" t="s">
        <v>18</v>
      </c>
      <c r="P11" s="139" t="s">
        <v>19</v>
      </c>
      <c r="Q11" s="139" t="s">
        <v>20</v>
      </c>
      <c r="R11" s="139" t="s">
        <v>21</v>
      </c>
      <c r="S11" s="139" t="s">
        <v>22</v>
      </c>
      <c r="T11" s="139" t="s">
        <v>18</v>
      </c>
      <c r="U11" s="139" t="s">
        <v>19</v>
      </c>
      <c r="V11" s="139" t="s">
        <v>20</v>
      </c>
      <c r="W11" s="139" t="s">
        <v>21</v>
      </c>
      <c r="X11" s="139" t="s">
        <v>22</v>
      </c>
      <c r="Y11" s="150" t="s">
        <v>18</v>
      </c>
      <c r="Z11" s="224" t="s">
        <v>19</v>
      </c>
      <c r="AA11" s="327" t="s">
        <v>20</v>
      </c>
      <c r="AB11" s="140" t="s">
        <v>21</v>
      </c>
      <c r="AC11" s="140" t="s">
        <v>22</v>
      </c>
      <c r="AD11" s="140" t="s">
        <v>23</v>
      </c>
      <c r="AE11" s="554" t="s">
        <v>175</v>
      </c>
      <c r="AF11" s="555" t="s">
        <v>176</v>
      </c>
      <c r="AG11" s="1022"/>
      <c r="AH11" s="1037"/>
      <c r="AI11" s="992"/>
      <c r="AJ11" s="1034"/>
      <c r="AK11" s="1039"/>
      <c r="AL11" s="1040"/>
    </row>
    <row r="12" spans="1:95" s="219" customFormat="1" ht="17.25" customHeight="1" x14ac:dyDescent="0.3">
      <c r="A12" s="690">
        <v>69061319</v>
      </c>
      <c r="B12" s="691" t="s">
        <v>167</v>
      </c>
      <c r="C12" s="691" t="s">
        <v>262</v>
      </c>
      <c r="D12" s="692" t="s">
        <v>293</v>
      </c>
      <c r="E12" s="725" t="s">
        <v>494</v>
      </c>
      <c r="F12" s="146" t="s">
        <v>495</v>
      </c>
      <c r="G12" s="213" t="s">
        <v>367</v>
      </c>
      <c r="H12" s="209">
        <v>1</v>
      </c>
      <c r="I12" s="209">
        <v>930</v>
      </c>
      <c r="J12" s="209">
        <v>1</v>
      </c>
      <c r="K12" s="209">
        <v>1030</v>
      </c>
      <c r="L12" s="209">
        <v>1</v>
      </c>
      <c r="M12" s="209">
        <v>1440</v>
      </c>
      <c r="N12" s="829" t="s">
        <v>19</v>
      </c>
      <c r="O12" s="566"/>
      <c r="P12" s="210"/>
      <c r="Q12" s="210"/>
      <c r="R12" s="210"/>
      <c r="S12" s="211"/>
      <c r="T12" s="566"/>
      <c r="U12" s="210">
        <v>1</v>
      </c>
      <c r="V12" s="210"/>
      <c r="W12" s="210"/>
      <c r="X12" s="211"/>
      <c r="Y12" s="566"/>
      <c r="Z12" s="210">
        <v>1</v>
      </c>
      <c r="AA12" s="210"/>
      <c r="AB12" s="210"/>
      <c r="AC12" s="712"/>
      <c r="AD12" s="716">
        <v>1</v>
      </c>
      <c r="AE12" s="570" t="s">
        <v>164</v>
      </c>
      <c r="AF12" s="556" t="s">
        <v>164</v>
      </c>
      <c r="AG12" s="830" t="s">
        <v>115</v>
      </c>
      <c r="AH12" s="831" t="s">
        <v>94</v>
      </c>
      <c r="AI12" s="693" t="s">
        <v>294</v>
      </c>
      <c r="AJ12" s="832" t="s">
        <v>156</v>
      </c>
      <c r="AK12" s="741">
        <v>60240</v>
      </c>
      <c r="AL12" s="211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0"/>
      <c r="BD12" s="320"/>
      <c r="BE12" s="320"/>
      <c r="BF12" s="320"/>
      <c r="BG12" s="320"/>
      <c r="BH12" s="320"/>
      <c r="BI12" s="320"/>
      <c r="BJ12" s="320"/>
      <c r="BK12" s="320"/>
      <c r="BL12" s="320"/>
      <c r="BM12" s="320"/>
      <c r="BN12" s="320"/>
      <c r="BO12" s="320"/>
      <c r="BP12" s="320"/>
      <c r="BQ12" s="320"/>
      <c r="BR12" s="320"/>
      <c r="BS12" s="320"/>
      <c r="BT12" s="320"/>
      <c r="BU12" s="320"/>
      <c r="BV12" s="320"/>
      <c r="BW12" s="320"/>
      <c r="BX12" s="320"/>
      <c r="BY12" s="320"/>
      <c r="BZ12" s="320"/>
      <c r="CA12" s="320"/>
      <c r="CB12" s="320"/>
      <c r="CC12" s="320"/>
      <c r="CD12" s="320"/>
      <c r="CE12" s="320"/>
      <c r="CF12" s="320"/>
      <c r="CG12" s="320"/>
      <c r="CH12" s="320"/>
      <c r="CI12" s="320"/>
      <c r="CJ12" s="320"/>
      <c r="CK12" s="320"/>
      <c r="CL12" s="320"/>
      <c r="CM12" s="320"/>
      <c r="CN12" s="320"/>
      <c r="CO12" s="320"/>
      <c r="CP12" s="320"/>
      <c r="CQ12" s="320"/>
    </row>
    <row r="13" spans="1:95" s="219" customFormat="1" ht="16.5" customHeight="1" x14ac:dyDescent="0.3">
      <c r="A13" s="206">
        <v>70064119</v>
      </c>
      <c r="B13" s="212" t="s">
        <v>282</v>
      </c>
      <c r="C13" s="212" t="s">
        <v>295</v>
      </c>
      <c r="D13" s="212" t="s">
        <v>296</v>
      </c>
      <c r="E13" s="739" t="s">
        <v>496</v>
      </c>
      <c r="F13" s="739" t="s">
        <v>497</v>
      </c>
      <c r="G13" s="147" t="s">
        <v>117</v>
      </c>
      <c r="H13" s="326">
        <v>1</v>
      </c>
      <c r="I13" s="213">
        <v>830</v>
      </c>
      <c r="J13" s="213">
        <v>1</v>
      </c>
      <c r="K13" s="213">
        <v>930</v>
      </c>
      <c r="L13" s="213">
        <v>1</v>
      </c>
      <c r="M13" s="213">
        <v>1530</v>
      </c>
      <c r="N13" s="833" t="s">
        <v>20</v>
      </c>
      <c r="O13" s="567"/>
      <c r="P13" s="214"/>
      <c r="Q13" s="214"/>
      <c r="R13" s="214"/>
      <c r="S13" s="216"/>
      <c r="T13" s="567"/>
      <c r="U13" s="214"/>
      <c r="V13" s="214">
        <v>20</v>
      </c>
      <c r="W13" s="214"/>
      <c r="X13" s="216"/>
      <c r="Y13" s="567"/>
      <c r="Z13" s="214"/>
      <c r="AA13" s="214">
        <v>20</v>
      </c>
      <c r="AB13" s="214"/>
      <c r="AC13" s="602"/>
      <c r="AD13" s="717">
        <v>20</v>
      </c>
      <c r="AE13" s="551" t="s">
        <v>202</v>
      </c>
      <c r="AF13" s="557" t="s">
        <v>228</v>
      </c>
      <c r="AG13" s="612" t="s">
        <v>115</v>
      </c>
      <c r="AH13" s="834" t="s">
        <v>78</v>
      </c>
      <c r="AI13" s="215" t="s">
        <v>294</v>
      </c>
      <c r="AJ13" s="835" t="s">
        <v>216</v>
      </c>
      <c r="AK13" s="742">
        <v>6000</v>
      </c>
      <c r="AL13" s="216"/>
      <c r="AM13" s="320"/>
      <c r="AN13" s="320"/>
      <c r="AO13" s="320"/>
      <c r="AP13" s="320"/>
      <c r="AQ13" s="320"/>
      <c r="AR13" s="320"/>
      <c r="AS13" s="320"/>
      <c r="AT13" s="320"/>
      <c r="AU13" s="320"/>
      <c r="AV13" s="320"/>
      <c r="AW13" s="320"/>
      <c r="AX13" s="320"/>
      <c r="AY13" s="320"/>
      <c r="AZ13" s="320"/>
      <c r="BA13" s="320"/>
      <c r="BB13" s="320"/>
      <c r="BC13" s="320"/>
      <c r="BD13" s="320"/>
      <c r="BE13" s="320"/>
      <c r="BF13" s="320"/>
      <c r="BG13" s="320"/>
      <c r="BH13" s="320"/>
      <c r="BI13" s="320"/>
      <c r="BJ13" s="320"/>
      <c r="BK13" s="320"/>
      <c r="BL13" s="320"/>
      <c r="BM13" s="320"/>
      <c r="BN13" s="320"/>
      <c r="BO13" s="320"/>
      <c r="BP13" s="320"/>
      <c r="BQ13" s="320"/>
      <c r="BR13" s="320"/>
      <c r="BS13" s="320"/>
      <c r="BT13" s="320"/>
      <c r="BU13" s="320"/>
      <c r="BV13" s="320"/>
      <c r="BW13" s="320"/>
      <c r="BX13" s="320"/>
      <c r="BY13" s="320"/>
      <c r="BZ13" s="320"/>
      <c r="CA13" s="320"/>
      <c r="CB13" s="320"/>
      <c r="CC13" s="320"/>
      <c r="CD13" s="320"/>
      <c r="CE13" s="320"/>
      <c r="CF13" s="320"/>
      <c r="CG13" s="320"/>
      <c r="CH13" s="320"/>
      <c r="CI13" s="320"/>
      <c r="CJ13" s="320"/>
      <c r="CK13" s="320"/>
      <c r="CL13" s="320"/>
      <c r="CM13" s="320"/>
      <c r="CN13" s="320"/>
      <c r="CO13" s="320"/>
      <c r="CP13" s="320"/>
      <c r="CQ13" s="320"/>
    </row>
    <row r="14" spans="1:95" s="219" customFormat="1" ht="16.5" customHeight="1" x14ac:dyDescent="0.3">
      <c r="A14" s="552">
        <v>71064719</v>
      </c>
      <c r="B14" s="553" t="s">
        <v>243</v>
      </c>
      <c r="C14" s="553" t="s">
        <v>269</v>
      </c>
      <c r="D14" s="217" t="s">
        <v>297</v>
      </c>
      <c r="E14" s="338" t="s">
        <v>501</v>
      </c>
      <c r="F14" s="146" t="s">
        <v>500</v>
      </c>
      <c r="G14" s="147" t="s">
        <v>117</v>
      </c>
      <c r="H14" s="213">
        <v>1</v>
      </c>
      <c r="I14" s="213">
        <v>1130</v>
      </c>
      <c r="J14" s="213">
        <v>1</v>
      </c>
      <c r="K14" s="213">
        <v>1150</v>
      </c>
      <c r="L14" s="213">
        <v>1</v>
      </c>
      <c r="M14" s="213">
        <v>1700</v>
      </c>
      <c r="N14" s="833" t="s">
        <v>20</v>
      </c>
      <c r="O14" s="567"/>
      <c r="P14" s="214"/>
      <c r="Q14" s="214"/>
      <c r="R14" s="214"/>
      <c r="S14" s="216"/>
      <c r="T14" s="567"/>
      <c r="U14" s="214"/>
      <c r="V14" s="214">
        <v>1.5</v>
      </c>
      <c r="W14" s="214"/>
      <c r="X14" s="216"/>
      <c r="Y14" s="567"/>
      <c r="Z14" s="214"/>
      <c r="AA14" s="214">
        <v>1.5</v>
      </c>
      <c r="AB14" s="214"/>
      <c r="AC14" s="602"/>
      <c r="AD14" s="717">
        <v>1.5</v>
      </c>
      <c r="AE14" s="551" t="s">
        <v>159</v>
      </c>
      <c r="AF14" s="557" t="s">
        <v>159</v>
      </c>
      <c r="AG14" s="612" t="s">
        <v>115</v>
      </c>
      <c r="AH14" s="834" t="s">
        <v>78</v>
      </c>
      <c r="AI14" s="215" t="s">
        <v>294</v>
      </c>
      <c r="AJ14" s="835" t="s">
        <v>151</v>
      </c>
      <c r="AK14" s="742">
        <v>450</v>
      </c>
      <c r="AL14" s="216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0"/>
      <c r="CK14" s="320"/>
      <c r="CL14" s="320"/>
      <c r="CM14" s="320"/>
      <c r="CN14" s="320"/>
      <c r="CO14" s="320"/>
      <c r="CP14" s="320"/>
      <c r="CQ14" s="320"/>
    </row>
    <row r="15" spans="1:95" s="219" customFormat="1" ht="15.75" customHeight="1" x14ac:dyDescent="0.3">
      <c r="A15" s="611">
        <v>72062019</v>
      </c>
      <c r="B15" s="550" t="s">
        <v>243</v>
      </c>
      <c r="C15" s="550" t="s">
        <v>266</v>
      </c>
      <c r="D15" s="558" t="s">
        <v>273</v>
      </c>
      <c r="E15" s="338" t="s">
        <v>503</v>
      </c>
      <c r="F15" s="146" t="s">
        <v>502</v>
      </c>
      <c r="G15" s="147" t="s">
        <v>117</v>
      </c>
      <c r="H15" s="213">
        <v>1</v>
      </c>
      <c r="I15" s="213">
        <v>1215</v>
      </c>
      <c r="J15" s="213">
        <v>1</v>
      </c>
      <c r="K15" s="213">
        <v>1240</v>
      </c>
      <c r="L15" s="213">
        <v>1</v>
      </c>
      <c r="M15" s="213">
        <v>1925</v>
      </c>
      <c r="N15" s="836" t="s">
        <v>234</v>
      </c>
      <c r="O15" s="567"/>
      <c r="P15" s="214">
        <v>5</v>
      </c>
      <c r="Q15" s="214">
        <v>10</v>
      </c>
      <c r="R15" s="214"/>
      <c r="S15" s="216"/>
      <c r="T15" s="567"/>
      <c r="U15" s="214"/>
      <c r="V15" s="214"/>
      <c r="W15" s="214"/>
      <c r="X15" s="216">
        <v>15</v>
      </c>
      <c r="Y15" s="567"/>
      <c r="Z15" s="214">
        <v>5</v>
      </c>
      <c r="AA15" s="214">
        <v>10</v>
      </c>
      <c r="AB15" s="214"/>
      <c r="AC15" s="602">
        <v>15</v>
      </c>
      <c r="AD15" s="717">
        <v>30</v>
      </c>
      <c r="AE15" s="551" t="s">
        <v>202</v>
      </c>
      <c r="AF15" s="551" t="s">
        <v>238</v>
      </c>
      <c r="AG15" s="612" t="s">
        <v>115</v>
      </c>
      <c r="AH15" s="559" t="s">
        <v>79</v>
      </c>
      <c r="AI15" s="215" t="s">
        <v>294</v>
      </c>
      <c r="AJ15" s="837" t="s">
        <v>156</v>
      </c>
      <c r="AK15" s="742">
        <v>22300</v>
      </c>
      <c r="AL15" s="216"/>
      <c r="AM15" s="320"/>
      <c r="AN15" s="320"/>
      <c r="AO15" s="320"/>
      <c r="AP15" s="320"/>
      <c r="AQ15" s="320"/>
      <c r="AR15" s="320"/>
      <c r="AS15" s="320"/>
      <c r="AT15" s="320"/>
      <c r="AU15" s="320"/>
      <c r="AV15" s="320"/>
      <c r="AW15" s="320"/>
      <c r="AX15" s="320"/>
      <c r="AY15" s="320"/>
      <c r="AZ15" s="320"/>
      <c r="BA15" s="320"/>
      <c r="BB15" s="320"/>
      <c r="BC15" s="320"/>
      <c r="BD15" s="320"/>
      <c r="BE15" s="320"/>
      <c r="BF15" s="320"/>
      <c r="BG15" s="320"/>
      <c r="BH15" s="320"/>
      <c r="BI15" s="320"/>
      <c r="BJ15" s="320"/>
      <c r="BK15" s="320"/>
      <c r="BL15" s="320"/>
      <c r="BM15" s="320"/>
      <c r="BN15" s="320"/>
      <c r="BO15" s="320"/>
      <c r="BP15" s="320"/>
      <c r="BQ15" s="320"/>
      <c r="BR15" s="320"/>
      <c r="BS15" s="320"/>
      <c r="BT15" s="320"/>
      <c r="BU15" s="320"/>
      <c r="BV15" s="320"/>
      <c r="BW15" s="320"/>
      <c r="BX15" s="320"/>
      <c r="BY15" s="320"/>
      <c r="BZ15" s="320"/>
      <c r="CA15" s="320"/>
      <c r="CB15" s="320"/>
      <c r="CC15" s="320"/>
      <c r="CD15" s="320"/>
      <c r="CE15" s="320"/>
      <c r="CF15" s="320"/>
      <c r="CG15" s="320"/>
      <c r="CH15" s="320"/>
      <c r="CI15" s="320"/>
      <c r="CJ15" s="320"/>
      <c r="CK15" s="320"/>
      <c r="CL15" s="320"/>
      <c r="CM15" s="320"/>
      <c r="CN15" s="320"/>
      <c r="CO15" s="320"/>
      <c r="CP15" s="320"/>
      <c r="CQ15" s="320"/>
    </row>
    <row r="16" spans="1:95" s="219" customFormat="1" ht="15.75" customHeight="1" x14ac:dyDescent="0.3">
      <c r="A16" s="206">
        <v>73064919</v>
      </c>
      <c r="B16" s="148" t="s">
        <v>225</v>
      </c>
      <c r="C16" s="148" t="s">
        <v>226</v>
      </c>
      <c r="D16" s="558" t="s">
        <v>227</v>
      </c>
      <c r="E16" s="725" t="s">
        <v>465</v>
      </c>
      <c r="F16" s="146" t="s">
        <v>464</v>
      </c>
      <c r="G16" s="147" t="s">
        <v>117</v>
      </c>
      <c r="H16" s="213">
        <v>1</v>
      </c>
      <c r="I16" s="213">
        <v>1700</v>
      </c>
      <c r="J16" s="213">
        <v>1</v>
      </c>
      <c r="K16" s="213">
        <v>1730</v>
      </c>
      <c r="L16" s="213">
        <v>1</v>
      </c>
      <c r="M16" s="213">
        <v>1930</v>
      </c>
      <c r="N16" s="838" t="s">
        <v>241</v>
      </c>
      <c r="O16" s="567">
        <v>1</v>
      </c>
      <c r="P16" s="214"/>
      <c r="Q16" s="214">
        <v>2</v>
      </c>
      <c r="R16" s="214"/>
      <c r="S16" s="216"/>
      <c r="T16" s="567"/>
      <c r="U16" s="214"/>
      <c r="V16" s="214"/>
      <c r="W16" s="214"/>
      <c r="X16" s="216"/>
      <c r="Y16" s="567">
        <v>1</v>
      </c>
      <c r="Z16" s="214"/>
      <c r="AA16" s="214">
        <v>2</v>
      </c>
      <c r="AB16" s="214"/>
      <c r="AC16" s="602"/>
      <c r="AD16" s="717">
        <v>3</v>
      </c>
      <c r="AE16" s="551" t="s">
        <v>202</v>
      </c>
      <c r="AF16" s="557" t="s">
        <v>228</v>
      </c>
      <c r="AG16" s="612" t="s">
        <v>115</v>
      </c>
      <c r="AH16" s="559" t="s">
        <v>79</v>
      </c>
      <c r="AI16" s="215" t="s">
        <v>294</v>
      </c>
      <c r="AJ16" s="837" t="s">
        <v>299</v>
      </c>
      <c r="AK16" s="742">
        <v>120600</v>
      </c>
      <c r="AL16" s="216" t="s">
        <v>168</v>
      </c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  <c r="BA16" s="320"/>
      <c r="BB16" s="320"/>
      <c r="BC16" s="320"/>
      <c r="BD16" s="320"/>
      <c r="BE16" s="320"/>
      <c r="BF16" s="320"/>
      <c r="BG16" s="320"/>
      <c r="BH16" s="320"/>
      <c r="BI16" s="320"/>
      <c r="BJ16" s="320"/>
      <c r="BK16" s="320"/>
      <c r="BL16" s="320"/>
      <c r="BM16" s="320"/>
      <c r="BN16" s="320"/>
      <c r="BO16" s="320"/>
      <c r="BP16" s="320"/>
      <c r="BQ16" s="320"/>
      <c r="BR16" s="320"/>
      <c r="BS16" s="320"/>
      <c r="BT16" s="320"/>
      <c r="BU16" s="320"/>
      <c r="BV16" s="320"/>
      <c r="BW16" s="320"/>
      <c r="BX16" s="320"/>
      <c r="BY16" s="320"/>
      <c r="BZ16" s="320"/>
      <c r="CA16" s="320"/>
      <c r="CB16" s="320"/>
      <c r="CC16" s="320"/>
      <c r="CD16" s="320"/>
      <c r="CE16" s="320"/>
      <c r="CF16" s="320"/>
      <c r="CG16" s="320"/>
      <c r="CH16" s="320"/>
      <c r="CI16" s="320"/>
      <c r="CJ16" s="320"/>
      <c r="CK16" s="320"/>
      <c r="CL16" s="320"/>
      <c r="CM16" s="320"/>
      <c r="CN16" s="320"/>
      <c r="CO16" s="320"/>
      <c r="CP16" s="320"/>
      <c r="CQ16" s="320"/>
    </row>
    <row r="17" spans="1:95" s="219" customFormat="1" ht="15.75" customHeight="1" x14ac:dyDescent="0.3">
      <c r="A17" s="560">
        <v>74061119</v>
      </c>
      <c r="B17" s="561" t="s">
        <v>219</v>
      </c>
      <c r="C17" s="561" t="s">
        <v>219</v>
      </c>
      <c r="D17" s="558" t="s">
        <v>298</v>
      </c>
      <c r="E17" s="725" t="s">
        <v>466</v>
      </c>
      <c r="F17" s="146" t="s">
        <v>467</v>
      </c>
      <c r="G17" s="147" t="s">
        <v>117</v>
      </c>
      <c r="H17" s="213">
        <v>1</v>
      </c>
      <c r="I17" s="213">
        <v>1230</v>
      </c>
      <c r="J17" s="213">
        <v>1</v>
      </c>
      <c r="K17" s="213">
        <v>1300</v>
      </c>
      <c r="L17" s="213">
        <v>1</v>
      </c>
      <c r="M17" s="213">
        <v>2000</v>
      </c>
      <c r="N17" s="838" t="s">
        <v>241</v>
      </c>
      <c r="O17" s="567"/>
      <c r="P17" s="214">
        <v>2</v>
      </c>
      <c r="Q17" s="214">
        <v>6</v>
      </c>
      <c r="R17" s="214"/>
      <c r="S17" s="216"/>
      <c r="T17" s="567"/>
      <c r="U17" s="214"/>
      <c r="V17" s="214"/>
      <c r="W17" s="214"/>
      <c r="X17" s="216"/>
      <c r="Y17" s="567"/>
      <c r="Z17" s="214">
        <v>2</v>
      </c>
      <c r="AA17" s="214">
        <v>6</v>
      </c>
      <c r="AB17" s="214"/>
      <c r="AC17" s="602"/>
      <c r="AD17" s="717">
        <v>8</v>
      </c>
      <c r="AE17" s="551" t="s">
        <v>202</v>
      </c>
      <c r="AF17" s="557" t="s">
        <v>228</v>
      </c>
      <c r="AG17" s="612" t="s">
        <v>115</v>
      </c>
      <c r="AH17" s="559" t="s">
        <v>94</v>
      </c>
      <c r="AI17" s="215" t="s">
        <v>294</v>
      </c>
      <c r="AJ17" s="837" t="s">
        <v>165</v>
      </c>
      <c r="AK17" s="742">
        <v>12200</v>
      </c>
      <c r="AL17" s="216" t="s">
        <v>168</v>
      </c>
      <c r="AM17" s="320"/>
      <c r="AN17" s="320"/>
      <c r="AO17" s="320"/>
      <c r="AP17" s="320"/>
      <c r="AQ17" s="320"/>
      <c r="AR17" s="320"/>
      <c r="AS17" s="320"/>
      <c r="AT17" s="320"/>
      <c r="AU17" s="320"/>
      <c r="AV17" s="320"/>
      <c r="AW17" s="320"/>
      <c r="AX17" s="320"/>
      <c r="AY17" s="320"/>
      <c r="AZ17" s="320"/>
      <c r="BA17" s="320"/>
      <c r="BB17" s="320"/>
      <c r="BC17" s="320"/>
      <c r="BD17" s="320"/>
      <c r="BE17" s="320"/>
      <c r="BF17" s="320"/>
      <c r="BG17" s="320"/>
      <c r="BH17" s="320"/>
      <c r="BI17" s="320"/>
      <c r="BJ17" s="320"/>
      <c r="BK17" s="320"/>
      <c r="BL17" s="320"/>
      <c r="BM17" s="320"/>
      <c r="BN17" s="320"/>
      <c r="BO17" s="320"/>
      <c r="BP17" s="320"/>
      <c r="BQ17" s="320"/>
      <c r="BR17" s="320"/>
      <c r="BS17" s="320"/>
      <c r="BT17" s="320"/>
      <c r="BU17" s="320"/>
      <c r="BV17" s="320"/>
      <c r="BW17" s="320"/>
      <c r="BX17" s="320"/>
      <c r="BY17" s="320"/>
      <c r="BZ17" s="320"/>
      <c r="CA17" s="320"/>
      <c r="CB17" s="320"/>
      <c r="CC17" s="320"/>
      <c r="CD17" s="320"/>
      <c r="CE17" s="320"/>
      <c r="CF17" s="320"/>
      <c r="CG17" s="320"/>
      <c r="CH17" s="320"/>
      <c r="CI17" s="320"/>
      <c r="CJ17" s="320"/>
      <c r="CK17" s="320"/>
      <c r="CL17" s="320"/>
      <c r="CM17" s="320"/>
      <c r="CN17" s="320"/>
      <c r="CO17" s="320"/>
      <c r="CP17" s="320"/>
      <c r="CQ17" s="320"/>
    </row>
    <row r="18" spans="1:95" s="219" customFormat="1" ht="15.75" customHeight="1" x14ac:dyDescent="0.3">
      <c r="A18" s="562">
        <v>75064819</v>
      </c>
      <c r="B18" s="563" t="s">
        <v>219</v>
      </c>
      <c r="C18" s="563" t="s">
        <v>220</v>
      </c>
      <c r="D18" s="564" t="s">
        <v>257</v>
      </c>
      <c r="E18" s="725" t="s">
        <v>468</v>
      </c>
      <c r="F18" s="725" t="s">
        <v>469</v>
      </c>
      <c r="G18" s="147" t="s">
        <v>117</v>
      </c>
      <c r="H18" s="213">
        <v>1</v>
      </c>
      <c r="I18" s="213">
        <v>735</v>
      </c>
      <c r="J18" s="213">
        <v>1</v>
      </c>
      <c r="K18" s="213">
        <v>810</v>
      </c>
      <c r="L18" s="213">
        <v>1</v>
      </c>
      <c r="M18" s="213">
        <v>2220</v>
      </c>
      <c r="N18" s="838" t="s">
        <v>241</v>
      </c>
      <c r="O18" s="567">
        <v>1</v>
      </c>
      <c r="P18" s="214"/>
      <c r="Q18" s="214">
        <v>2</v>
      </c>
      <c r="R18" s="214"/>
      <c r="S18" s="216"/>
      <c r="T18" s="567">
        <v>1</v>
      </c>
      <c r="U18" s="214"/>
      <c r="V18" s="214"/>
      <c r="W18" s="214"/>
      <c r="X18" s="216"/>
      <c r="Y18" s="567">
        <v>2</v>
      </c>
      <c r="Z18" s="214"/>
      <c r="AA18" s="214">
        <v>2</v>
      </c>
      <c r="AB18" s="214"/>
      <c r="AC18" s="602"/>
      <c r="AD18" s="717">
        <v>4</v>
      </c>
      <c r="AE18" s="551" t="s">
        <v>202</v>
      </c>
      <c r="AF18" s="557" t="s">
        <v>228</v>
      </c>
      <c r="AG18" s="612" t="s">
        <v>115</v>
      </c>
      <c r="AH18" s="559" t="s">
        <v>79</v>
      </c>
      <c r="AI18" s="215" t="s">
        <v>294</v>
      </c>
      <c r="AJ18" s="837" t="s">
        <v>156</v>
      </c>
      <c r="AK18" s="742">
        <v>240600</v>
      </c>
      <c r="AL18" s="216" t="s">
        <v>168</v>
      </c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320"/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  <c r="BJ18" s="320"/>
      <c r="BK18" s="320"/>
      <c r="BL18" s="320"/>
      <c r="BM18" s="320"/>
      <c r="BN18" s="320"/>
      <c r="BO18" s="320"/>
      <c r="BP18" s="320"/>
      <c r="BQ18" s="320"/>
      <c r="BR18" s="320"/>
      <c r="BS18" s="320"/>
      <c r="BT18" s="320"/>
      <c r="BU18" s="320"/>
      <c r="BV18" s="320"/>
      <c r="BW18" s="320"/>
      <c r="BX18" s="320"/>
      <c r="BY18" s="320"/>
      <c r="BZ18" s="320"/>
      <c r="CA18" s="320"/>
      <c r="CB18" s="320"/>
      <c r="CC18" s="320"/>
      <c r="CD18" s="320"/>
      <c r="CE18" s="320"/>
      <c r="CF18" s="320"/>
      <c r="CG18" s="320"/>
      <c r="CH18" s="320"/>
      <c r="CI18" s="320"/>
      <c r="CJ18" s="320"/>
      <c r="CK18" s="320"/>
      <c r="CL18" s="320"/>
      <c r="CM18" s="320"/>
      <c r="CN18" s="320"/>
      <c r="CO18" s="320"/>
      <c r="CP18" s="320"/>
      <c r="CQ18" s="320"/>
    </row>
    <row r="19" spans="1:95" s="219" customFormat="1" ht="15.75" customHeight="1" x14ac:dyDescent="0.3">
      <c r="A19" s="206">
        <v>76064919</v>
      </c>
      <c r="B19" s="148" t="s">
        <v>225</v>
      </c>
      <c r="C19" s="148" t="s">
        <v>226</v>
      </c>
      <c r="D19" s="558" t="s">
        <v>279</v>
      </c>
      <c r="E19" s="725" t="s">
        <v>470</v>
      </c>
      <c r="F19" s="725" t="s">
        <v>471</v>
      </c>
      <c r="G19" s="213" t="s">
        <v>117</v>
      </c>
      <c r="H19" s="213">
        <v>2</v>
      </c>
      <c r="I19" s="213">
        <v>2400</v>
      </c>
      <c r="J19" s="213">
        <v>2</v>
      </c>
      <c r="K19" s="213">
        <v>100</v>
      </c>
      <c r="L19" s="213">
        <v>2</v>
      </c>
      <c r="M19" s="213">
        <v>640</v>
      </c>
      <c r="N19" s="833" t="s">
        <v>20</v>
      </c>
      <c r="O19" s="567"/>
      <c r="P19" s="214"/>
      <c r="Q19" s="214"/>
      <c r="R19" s="214"/>
      <c r="S19" s="216"/>
      <c r="T19" s="567"/>
      <c r="U19" s="214"/>
      <c r="V19" s="214">
        <v>3</v>
      </c>
      <c r="W19" s="214"/>
      <c r="X19" s="216"/>
      <c r="Y19" s="567"/>
      <c r="Z19" s="214"/>
      <c r="AA19" s="214">
        <v>3</v>
      </c>
      <c r="AB19" s="214"/>
      <c r="AC19" s="602"/>
      <c r="AD19" s="717">
        <v>3</v>
      </c>
      <c r="AE19" s="551" t="s">
        <v>159</v>
      </c>
      <c r="AF19" s="557" t="s">
        <v>159</v>
      </c>
      <c r="AG19" s="612" t="s">
        <v>115</v>
      </c>
      <c r="AH19" s="559" t="s">
        <v>80</v>
      </c>
      <c r="AI19" s="215" t="s">
        <v>294</v>
      </c>
      <c r="AJ19" s="835" t="s">
        <v>151</v>
      </c>
      <c r="AK19" s="742">
        <v>900</v>
      </c>
      <c r="AL19" s="216"/>
      <c r="AM19" s="320"/>
      <c r="AN19" s="320"/>
      <c r="AO19" s="320"/>
      <c r="AP19" s="320"/>
      <c r="AQ19" s="320"/>
      <c r="AR19" s="320"/>
      <c r="AS19" s="320"/>
      <c r="AT19" s="320"/>
      <c r="AU19" s="320"/>
      <c r="AV19" s="320"/>
      <c r="AW19" s="320"/>
      <c r="AX19" s="320"/>
      <c r="AY19" s="320"/>
      <c r="AZ19" s="320"/>
      <c r="BA19" s="320"/>
      <c r="BB19" s="320"/>
      <c r="BC19" s="320"/>
      <c r="BD19" s="320"/>
      <c r="BE19" s="320"/>
      <c r="BF19" s="320"/>
      <c r="BG19" s="320"/>
      <c r="BH19" s="320"/>
      <c r="BI19" s="320"/>
      <c r="BJ19" s="320"/>
      <c r="BK19" s="320"/>
      <c r="BL19" s="320"/>
      <c r="BM19" s="320"/>
      <c r="BN19" s="320"/>
      <c r="BO19" s="320"/>
      <c r="BP19" s="320"/>
      <c r="BQ19" s="320"/>
      <c r="BR19" s="320"/>
      <c r="BS19" s="320"/>
      <c r="BT19" s="320"/>
      <c r="BU19" s="320"/>
      <c r="BV19" s="320"/>
      <c r="BW19" s="320"/>
      <c r="BX19" s="320"/>
      <c r="BY19" s="320"/>
      <c r="BZ19" s="320"/>
      <c r="CA19" s="320"/>
      <c r="CB19" s="320"/>
      <c r="CC19" s="320"/>
      <c r="CD19" s="320"/>
      <c r="CE19" s="320"/>
      <c r="CF19" s="320"/>
      <c r="CG19" s="320"/>
      <c r="CH19" s="320"/>
      <c r="CI19" s="320"/>
      <c r="CJ19" s="320"/>
      <c r="CK19" s="320"/>
      <c r="CL19" s="320"/>
      <c r="CM19" s="320"/>
      <c r="CN19" s="320"/>
      <c r="CO19" s="320"/>
      <c r="CP19" s="320"/>
      <c r="CQ19" s="320"/>
    </row>
    <row r="20" spans="1:95" s="219" customFormat="1" ht="15.75" customHeight="1" x14ac:dyDescent="0.3">
      <c r="A20" s="206">
        <v>77060819</v>
      </c>
      <c r="B20" s="212" t="s">
        <v>282</v>
      </c>
      <c r="C20" s="212" t="s">
        <v>282</v>
      </c>
      <c r="D20" s="558" t="s">
        <v>376</v>
      </c>
      <c r="E20" s="338" t="s">
        <v>499</v>
      </c>
      <c r="F20" s="146" t="s">
        <v>498</v>
      </c>
      <c r="G20" s="147" t="s">
        <v>117</v>
      </c>
      <c r="H20" s="213">
        <v>1</v>
      </c>
      <c r="I20" s="213">
        <v>1130</v>
      </c>
      <c r="J20" s="213">
        <v>1</v>
      </c>
      <c r="K20" s="213">
        <v>1150</v>
      </c>
      <c r="L20" s="213">
        <v>2</v>
      </c>
      <c r="M20" s="213">
        <v>2415</v>
      </c>
      <c r="N20" s="833" t="s">
        <v>20</v>
      </c>
      <c r="O20" s="567"/>
      <c r="P20" s="214"/>
      <c r="Q20" s="214"/>
      <c r="R20" s="214"/>
      <c r="S20" s="216"/>
      <c r="T20" s="567"/>
      <c r="U20" s="214"/>
      <c r="V20" s="214">
        <v>15</v>
      </c>
      <c r="W20" s="214"/>
      <c r="X20" s="216"/>
      <c r="Y20" s="567"/>
      <c r="Z20" s="214"/>
      <c r="AA20" s="214">
        <v>15</v>
      </c>
      <c r="AB20" s="214"/>
      <c r="AC20" s="602"/>
      <c r="AD20" s="717">
        <v>15</v>
      </c>
      <c r="AE20" s="551" t="s">
        <v>202</v>
      </c>
      <c r="AF20" s="557" t="s">
        <v>228</v>
      </c>
      <c r="AG20" s="612" t="s">
        <v>115</v>
      </c>
      <c r="AH20" s="559" t="s">
        <v>79</v>
      </c>
      <c r="AI20" s="215" t="s">
        <v>294</v>
      </c>
      <c r="AJ20" s="835" t="s">
        <v>151</v>
      </c>
      <c r="AK20" s="742">
        <v>4500</v>
      </c>
      <c r="AL20" s="216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0"/>
      <c r="BB20" s="320"/>
      <c r="BC20" s="320"/>
      <c r="BD20" s="320"/>
      <c r="BE20" s="320"/>
      <c r="BF20" s="320"/>
      <c r="BG20" s="320"/>
      <c r="BH20" s="320"/>
      <c r="BI20" s="320"/>
      <c r="BJ20" s="320"/>
      <c r="BK20" s="320"/>
      <c r="BL20" s="320"/>
      <c r="BM20" s="320"/>
      <c r="BN20" s="320"/>
      <c r="BO20" s="320"/>
      <c r="BP20" s="320"/>
      <c r="BQ20" s="320"/>
      <c r="BR20" s="320"/>
      <c r="BS20" s="320"/>
      <c r="BT20" s="320"/>
      <c r="BU20" s="320"/>
      <c r="BV20" s="320"/>
      <c r="BW20" s="320"/>
      <c r="BX20" s="320"/>
      <c r="BY20" s="320"/>
      <c r="BZ20" s="320"/>
      <c r="CA20" s="320"/>
      <c r="CB20" s="320"/>
      <c r="CC20" s="320"/>
      <c r="CD20" s="320"/>
      <c r="CE20" s="320"/>
      <c r="CF20" s="320"/>
      <c r="CG20" s="320"/>
      <c r="CH20" s="320"/>
      <c r="CI20" s="320"/>
      <c r="CJ20" s="320"/>
      <c r="CK20" s="320"/>
      <c r="CL20" s="320"/>
      <c r="CM20" s="320"/>
      <c r="CN20" s="320"/>
      <c r="CO20" s="320"/>
      <c r="CP20" s="320"/>
      <c r="CQ20" s="320"/>
    </row>
    <row r="21" spans="1:95" s="219" customFormat="1" ht="15.75" customHeight="1" x14ac:dyDescent="0.3">
      <c r="A21" s="206">
        <v>78064119</v>
      </c>
      <c r="B21" s="212" t="s">
        <v>282</v>
      </c>
      <c r="C21" s="212" t="s">
        <v>295</v>
      </c>
      <c r="D21" s="558" t="s">
        <v>284</v>
      </c>
      <c r="E21" s="338" t="s">
        <v>505</v>
      </c>
      <c r="F21" s="146" t="s">
        <v>504</v>
      </c>
      <c r="G21" s="147" t="s">
        <v>117</v>
      </c>
      <c r="H21" s="213">
        <v>1</v>
      </c>
      <c r="I21" s="213">
        <v>1300</v>
      </c>
      <c r="J21" s="213">
        <v>1</v>
      </c>
      <c r="K21" s="213">
        <v>1400</v>
      </c>
      <c r="L21" s="213">
        <v>2</v>
      </c>
      <c r="M21" s="213">
        <v>2420</v>
      </c>
      <c r="N21" s="838" t="s">
        <v>51</v>
      </c>
      <c r="O21" s="567">
        <v>4</v>
      </c>
      <c r="P21" s="214">
        <v>3</v>
      </c>
      <c r="Q21" s="214"/>
      <c r="R21" s="214"/>
      <c r="S21" s="216"/>
      <c r="T21" s="567"/>
      <c r="U21" s="214"/>
      <c r="V21" s="214"/>
      <c r="W21" s="214"/>
      <c r="X21" s="216"/>
      <c r="Y21" s="567">
        <v>4</v>
      </c>
      <c r="Z21" s="214">
        <v>3</v>
      </c>
      <c r="AA21" s="214"/>
      <c r="AB21" s="214"/>
      <c r="AC21" s="602"/>
      <c r="AD21" s="717">
        <v>7</v>
      </c>
      <c r="AE21" s="551" t="s">
        <v>202</v>
      </c>
      <c r="AF21" s="551" t="s">
        <v>238</v>
      </c>
      <c r="AG21" s="612" t="s">
        <v>115</v>
      </c>
      <c r="AH21" s="559" t="s">
        <v>79</v>
      </c>
      <c r="AI21" s="215" t="s">
        <v>294</v>
      </c>
      <c r="AJ21" s="835" t="s">
        <v>151</v>
      </c>
      <c r="AK21" s="742">
        <v>27600</v>
      </c>
      <c r="AL21" s="216" t="s">
        <v>168</v>
      </c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320"/>
      <c r="AY21" s="320"/>
      <c r="AZ21" s="320"/>
      <c r="BA21" s="320"/>
      <c r="BB21" s="320"/>
      <c r="BC21" s="320"/>
      <c r="BD21" s="320"/>
      <c r="BE21" s="320"/>
      <c r="BF21" s="320"/>
      <c r="BG21" s="320"/>
      <c r="BH21" s="320"/>
      <c r="BI21" s="320"/>
      <c r="BJ21" s="320"/>
      <c r="BK21" s="320"/>
      <c r="BL21" s="320"/>
      <c r="BM21" s="320"/>
      <c r="BN21" s="320"/>
      <c r="BO21" s="320"/>
      <c r="BP21" s="320"/>
      <c r="BQ21" s="320"/>
      <c r="BR21" s="320"/>
      <c r="BS21" s="320"/>
      <c r="BT21" s="320"/>
      <c r="BU21" s="320"/>
      <c r="BV21" s="320"/>
      <c r="BW21" s="320"/>
      <c r="BX21" s="320"/>
      <c r="BY21" s="320"/>
      <c r="BZ21" s="320"/>
      <c r="CA21" s="320"/>
      <c r="CB21" s="320"/>
      <c r="CC21" s="320"/>
      <c r="CD21" s="320"/>
      <c r="CE21" s="320"/>
      <c r="CF21" s="320"/>
      <c r="CG21" s="320"/>
      <c r="CH21" s="320"/>
      <c r="CI21" s="320"/>
      <c r="CJ21" s="320"/>
      <c r="CK21" s="320"/>
      <c r="CL21" s="320"/>
      <c r="CM21" s="320"/>
      <c r="CN21" s="320"/>
      <c r="CO21" s="320"/>
      <c r="CP21" s="320"/>
      <c r="CQ21" s="320"/>
    </row>
    <row r="22" spans="1:95" s="219" customFormat="1" ht="15.75" customHeight="1" x14ac:dyDescent="0.3">
      <c r="A22" s="611">
        <v>79062019</v>
      </c>
      <c r="B22" s="550" t="s">
        <v>243</v>
      </c>
      <c r="C22" s="550" t="s">
        <v>266</v>
      </c>
      <c r="D22" s="558" t="s">
        <v>244</v>
      </c>
      <c r="E22" s="338" t="s">
        <v>507</v>
      </c>
      <c r="F22" s="146" t="s">
        <v>506</v>
      </c>
      <c r="G22" s="147" t="s">
        <v>117</v>
      </c>
      <c r="H22" s="213">
        <v>2</v>
      </c>
      <c r="I22" s="213">
        <v>330</v>
      </c>
      <c r="J22" s="213">
        <v>2</v>
      </c>
      <c r="K22" s="213">
        <v>345</v>
      </c>
      <c r="L22" s="213">
        <v>2</v>
      </c>
      <c r="M22" s="213">
        <v>830</v>
      </c>
      <c r="N22" s="833" t="s">
        <v>20</v>
      </c>
      <c r="O22" s="567"/>
      <c r="P22" s="214"/>
      <c r="Q22" s="214">
        <v>3</v>
      </c>
      <c r="R22" s="214"/>
      <c r="S22" s="216"/>
      <c r="T22" s="567"/>
      <c r="U22" s="214"/>
      <c r="V22" s="214"/>
      <c r="W22" s="214"/>
      <c r="X22" s="216"/>
      <c r="Y22" s="567"/>
      <c r="Z22" s="214"/>
      <c r="AA22" s="214">
        <v>3</v>
      </c>
      <c r="AB22" s="214"/>
      <c r="AC22" s="602"/>
      <c r="AD22" s="717">
        <v>3</v>
      </c>
      <c r="AE22" s="551" t="s">
        <v>202</v>
      </c>
      <c r="AF22" s="557" t="s">
        <v>228</v>
      </c>
      <c r="AG22" s="612" t="s">
        <v>115</v>
      </c>
      <c r="AH22" s="839" t="s">
        <v>29</v>
      </c>
      <c r="AI22" s="215" t="s">
        <v>294</v>
      </c>
      <c r="AJ22" s="835" t="s">
        <v>151</v>
      </c>
      <c r="AK22" s="742">
        <v>900</v>
      </c>
      <c r="AL22" s="216" t="s">
        <v>168</v>
      </c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</row>
    <row r="23" spans="1:95" s="219" customFormat="1" ht="15.75" customHeight="1" x14ac:dyDescent="0.3">
      <c r="A23" s="611">
        <v>80061319</v>
      </c>
      <c r="B23" s="563" t="s">
        <v>167</v>
      </c>
      <c r="C23" s="563" t="s">
        <v>262</v>
      </c>
      <c r="D23" s="558" t="s">
        <v>166</v>
      </c>
      <c r="E23" s="146" t="s">
        <v>446</v>
      </c>
      <c r="F23" s="146" t="s">
        <v>445</v>
      </c>
      <c r="G23" s="213" t="s">
        <v>367</v>
      </c>
      <c r="H23" s="213">
        <v>2</v>
      </c>
      <c r="I23" s="213">
        <v>1030</v>
      </c>
      <c r="J23" s="213">
        <v>2</v>
      </c>
      <c r="K23" s="213">
        <v>1135</v>
      </c>
      <c r="L23" s="213">
        <v>2</v>
      </c>
      <c r="M23" s="213">
        <v>1840</v>
      </c>
      <c r="N23" s="838" t="s">
        <v>276</v>
      </c>
      <c r="O23" s="567">
        <v>3</v>
      </c>
      <c r="P23" s="214"/>
      <c r="Q23" s="214">
        <v>8</v>
      </c>
      <c r="R23" s="214"/>
      <c r="S23" s="216"/>
      <c r="T23" s="567"/>
      <c r="U23" s="214"/>
      <c r="V23" s="214"/>
      <c r="W23" s="214"/>
      <c r="X23" s="216"/>
      <c r="Y23" s="567">
        <v>3</v>
      </c>
      <c r="Z23" s="214"/>
      <c r="AA23" s="214">
        <v>8</v>
      </c>
      <c r="AB23" s="214"/>
      <c r="AC23" s="602"/>
      <c r="AD23" s="717">
        <v>11</v>
      </c>
      <c r="AE23" s="551" t="s">
        <v>159</v>
      </c>
      <c r="AF23" s="557" t="s">
        <v>159</v>
      </c>
      <c r="AG23" s="612" t="s">
        <v>115</v>
      </c>
      <c r="AH23" s="839" t="s">
        <v>29</v>
      </c>
      <c r="AI23" s="215" t="s">
        <v>294</v>
      </c>
      <c r="AJ23" s="835" t="s">
        <v>151</v>
      </c>
      <c r="AK23" s="742">
        <v>62688</v>
      </c>
      <c r="AL23" s="216" t="s">
        <v>168</v>
      </c>
      <c r="AM23" s="320"/>
      <c r="AN23" s="320"/>
      <c r="AO23" s="320"/>
      <c r="AP23" s="320"/>
      <c r="AQ23" s="320"/>
      <c r="AR23" s="320"/>
      <c r="AS23" s="320"/>
      <c r="AT23" s="320"/>
      <c r="AU23" s="320"/>
      <c r="AV23" s="320"/>
      <c r="AW23" s="320"/>
      <c r="AX23" s="320"/>
      <c r="AY23" s="320"/>
      <c r="AZ23" s="320"/>
      <c r="BA23" s="320"/>
      <c r="BB23" s="320"/>
      <c r="BC23" s="320"/>
      <c r="BD23" s="320"/>
      <c r="BE23" s="320"/>
      <c r="BF23" s="320"/>
      <c r="BG23" s="320"/>
      <c r="BH23" s="320"/>
      <c r="BI23" s="320"/>
      <c r="BJ23" s="320"/>
      <c r="BK23" s="320"/>
      <c r="BL23" s="320"/>
      <c r="BM23" s="320"/>
      <c r="BN23" s="320"/>
      <c r="BO23" s="320"/>
      <c r="BP23" s="320"/>
      <c r="BQ23" s="320"/>
      <c r="BR23" s="320"/>
      <c r="BS23" s="320"/>
      <c r="BT23" s="320"/>
      <c r="BU23" s="320"/>
      <c r="BV23" s="320"/>
      <c r="BW23" s="320"/>
      <c r="BX23" s="320"/>
      <c r="BY23" s="320"/>
      <c r="BZ23" s="320"/>
      <c r="CA23" s="320"/>
      <c r="CB23" s="320"/>
      <c r="CC23" s="320"/>
      <c r="CD23" s="320"/>
      <c r="CE23" s="320"/>
      <c r="CF23" s="320"/>
      <c r="CG23" s="320"/>
      <c r="CH23" s="320"/>
      <c r="CI23" s="320"/>
      <c r="CJ23" s="320"/>
      <c r="CK23" s="320"/>
      <c r="CL23" s="320"/>
      <c r="CM23" s="320"/>
      <c r="CN23" s="320"/>
      <c r="CO23" s="320"/>
      <c r="CP23" s="320"/>
      <c r="CQ23" s="320"/>
    </row>
    <row r="24" spans="1:95" s="219" customFormat="1" ht="15.75" customHeight="1" x14ac:dyDescent="0.3">
      <c r="A24" s="562">
        <v>81060119</v>
      </c>
      <c r="B24" s="565" t="s">
        <v>300</v>
      </c>
      <c r="C24" s="565" t="s">
        <v>300</v>
      </c>
      <c r="D24" s="558" t="s">
        <v>578</v>
      </c>
      <c r="E24" s="725" t="s">
        <v>472</v>
      </c>
      <c r="F24" s="725" t="s">
        <v>473</v>
      </c>
      <c r="G24" s="147" t="s">
        <v>117</v>
      </c>
      <c r="H24" s="213">
        <v>1</v>
      </c>
      <c r="I24" s="213">
        <v>1400</v>
      </c>
      <c r="J24" s="213">
        <v>2</v>
      </c>
      <c r="K24" s="213">
        <v>1405</v>
      </c>
      <c r="L24" s="213">
        <v>2</v>
      </c>
      <c r="M24" s="213">
        <v>1900</v>
      </c>
      <c r="N24" s="838" t="s">
        <v>201</v>
      </c>
      <c r="O24" s="567"/>
      <c r="P24" s="214"/>
      <c r="Q24" s="214"/>
      <c r="R24" s="214"/>
      <c r="S24" s="216"/>
      <c r="T24" s="567">
        <v>30</v>
      </c>
      <c r="U24" s="214"/>
      <c r="V24" s="214">
        <v>25</v>
      </c>
      <c r="W24" s="214"/>
      <c r="X24" s="216">
        <v>5</v>
      </c>
      <c r="Y24" s="567">
        <v>30</v>
      </c>
      <c r="Z24" s="214"/>
      <c r="AA24" s="214">
        <v>25</v>
      </c>
      <c r="AB24" s="214"/>
      <c r="AC24" s="602">
        <v>5</v>
      </c>
      <c r="AD24" s="717">
        <v>60</v>
      </c>
      <c r="AE24" s="514" t="s">
        <v>202</v>
      </c>
      <c r="AF24" s="514" t="s">
        <v>238</v>
      </c>
      <c r="AG24" s="612" t="s">
        <v>115</v>
      </c>
      <c r="AH24" s="559" t="s">
        <v>79</v>
      </c>
      <c r="AI24" s="215" t="s">
        <v>294</v>
      </c>
      <c r="AJ24" s="835" t="s">
        <v>151</v>
      </c>
      <c r="AK24" s="742">
        <v>5027500</v>
      </c>
      <c r="AL24" s="216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320"/>
      <c r="AY24" s="320"/>
      <c r="AZ24" s="320"/>
      <c r="BA24" s="320"/>
      <c r="BB24" s="320"/>
      <c r="BC24" s="320"/>
      <c r="BD24" s="320"/>
      <c r="BE24" s="320"/>
      <c r="BF24" s="320"/>
      <c r="BG24" s="320"/>
      <c r="BH24" s="320"/>
      <c r="BI24" s="320"/>
      <c r="BJ24" s="320"/>
      <c r="BK24" s="320"/>
      <c r="BL24" s="320"/>
      <c r="BM24" s="320"/>
      <c r="BN24" s="320"/>
      <c r="BO24" s="320"/>
      <c r="BP24" s="320"/>
      <c r="BQ24" s="320"/>
      <c r="BR24" s="320"/>
      <c r="BS24" s="320"/>
      <c r="BT24" s="320"/>
      <c r="BU24" s="320"/>
      <c r="BV24" s="320"/>
      <c r="BW24" s="320"/>
      <c r="BX24" s="320"/>
      <c r="BY24" s="320"/>
      <c r="BZ24" s="320"/>
      <c r="CA24" s="320"/>
      <c r="CB24" s="320"/>
      <c r="CC24" s="320"/>
      <c r="CD24" s="320"/>
      <c r="CE24" s="320"/>
      <c r="CF24" s="320"/>
      <c r="CG24" s="320"/>
      <c r="CH24" s="320"/>
      <c r="CI24" s="320"/>
      <c r="CJ24" s="320"/>
      <c r="CK24" s="320"/>
      <c r="CL24" s="320"/>
      <c r="CM24" s="320"/>
      <c r="CN24" s="320"/>
      <c r="CO24" s="320"/>
      <c r="CP24" s="320"/>
      <c r="CQ24" s="320"/>
    </row>
    <row r="25" spans="1:95" s="219" customFormat="1" ht="15.75" customHeight="1" x14ac:dyDescent="0.3">
      <c r="A25" s="206">
        <v>82064919</v>
      </c>
      <c r="B25" s="148" t="s">
        <v>225</v>
      </c>
      <c r="C25" s="148" t="s">
        <v>226</v>
      </c>
      <c r="D25" s="558" t="s">
        <v>264</v>
      </c>
      <c r="E25" s="725" t="s">
        <v>474</v>
      </c>
      <c r="F25" s="725" t="s">
        <v>475</v>
      </c>
      <c r="G25" s="147" t="s">
        <v>117</v>
      </c>
      <c r="H25" s="213">
        <v>2</v>
      </c>
      <c r="I25" s="213">
        <v>2415</v>
      </c>
      <c r="J25" s="213">
        <v>2</v>
      </c>
      <c r="K25" s="213">
        <v>110</v>
      </c>
      <c r="L25" s="213">
        <v>2</v>
      </c>
      <c r="M25" s="213">
        <v>1930</v>
      </c>
      <c r="N25" s="833" t="s">
        <v>20</v>
      </c>
      <c r="O25" s="567"/>
      <c r="P25" s="214"/>
      <c r="Q25" s="214"/>
      <c r="R25" s="214"/>
      <c r="S25" s="216"/>
      <c r="T25" s="567"/>
      <c r="U25" s="214"/>
      <c r="V25" s="214">
        <v>60</v>
      </c>
      <c r="W25" s="214"/>
      <c r="X25" s="216">
        <v>20</v>
      </c>
      <c r="Y25" s="567"/>
      <c r="Z25" s="214"/>
      <c r="AA25" s="214">
        <v>60</v>
      </c>
      <c r="AB25" s="214"/>
      <c r="AC25" s="602">
        <v>20</v>
      </c>
      <c r="AD25" s="717">
        <v>80</v>
      </c>
      <c r="AE25" s="551" t="s">
        <v>202</v>
      </c>
      <c r="AF25" s="551" t="s">
        <v>238</v>
      </c>
      <c r="AG25" s="612" t="s">
        <v>115</v>
      </c>
      <c r="AH25" s="559" t="s">
        <v>80</v>
      </c>
      <c r="AI25" s="215" t="s">
        <v>294</v>
      </c>
      <c r="AJ25" s="837" t="s">
        <v>156</v>
      </c>
      <c r="AK25" s="742">
        <v>2018000</v>
      </c>
      <c r="AL25" s="216"/>
      <c r="AM25" s="320"/>
      <c r="AN25" s="320"/>
      <c r="AO25" s="320"/>
      <c r="AP25" s="320"/>
      <c r="AQ25" s="320"/>
      <c r="AR25" s="320"/>
      <c r="AS25" s="320"/>
      <c r="AT25" s="320"/>
      <c r="AU25" s="320"/>
      <c r="AV25" s="320"/>
      <c r="AW25" s="320"/>
      <c r="AX25" s="320"/>
      <c r="AY25" s="320"/>
      <c r="AZ25" s="320"/>
      <c r="BA25" s="320"/>
      <c r="BB25" s="320"/>
      <c r="BC25" s="320"/>
      <c r="BD25" s="320"/>
      <c r="BE25" s="320"/>
      <c r="BF25" s="320"/>
      <c r="BG25" s="320"/>
      <c r="BH25" s="320"/>
      <c r="BI25" s="320"/>
      <c r="BJ25" s="320"/>
      <c r="BK25" s="320"/>
      <c r="BL25" s="320"/>
      <c r="BM25" s="320"/>
      <c r="BN25" s="320"/>
      <c r="BO25" s="320"/>
      <c r="BP25" s="320"/>
      <c r="BQ25" s="320"/>
      <c r="BR25" s="320"/>
      <c r="BS25" s="320"/>
      <c r="BT25" s="320"/>
      <c r="BU25" s="320"/>
      <c r="BV25" s="320"/>
      <c r="BW25" s="320"/>
      <c r="BX25" s="320"/>
      <c r="BY25" s="320"/>
      <c r="BZ25" s="320"/>
      <c r="CA25" s="320"/>
      <c r="CB25" s="320"/>
      <c r="CC25" s="320"/>
      <c r="CD25" s="320"/>
      <c r="CE25" s="320"/>
      <c r="CF25" s="320"/>
      <c r="CG25" s="320"/>
      <c r="CH25" s="320"/>
      <c r="CI25" s="320"/>
      <c r="CJ25" s="320"/>
      <c r="CK25" s="320"/>
      <c r="CL25" s="320"/>
      <c r="CM25" s="320"/>
      <c r="CN25" s="320"/>
      <c r="CO25" s="320"/>
      <c r="CP25" s="320"/>
      <c r="CQ25" s="320"/>
    </row>
    <row r="26" spans="1:95" s="219" customFormat="1" ht="15.75" customHeight="1" x14ac:dyDescent="0.3">
      <c r="A26" s="611">
        <v>83062019</v>
      </c>
      <c r="B26" s="563" t="s">
        <v>243</v>
      </c>
      <c r="C26" s="550" t="s">
        <v>243</v>
      </c>
      <c r="D26" s="558" t="s">
        <v>301</v>
      </c>
      <c r="E26" s="338" t="s">
        <v>509</v>
      </c>
      <c r="F26" s="146" t="s">
        <v>508</v>
      </c>
      <c r="G26" s="147" t="s">
        <v>117</v>
      </c>
      <c r="H26" s="213">
        <v>2</v>
      </c>
      <c r="I26" s="213">
        <v>1600</v>
      </c>
      <c r="J26" s="213">
        <v>2</v>
      </c>
      <c r="K26" s="213">
        <v>1615</v>
      </c>
      <c r="L26" s="213">
        <v>2</v>
      </c>
      <c r="M26" s="213">
        <v>2100</v>
      </c>
      <c r="N26" s="838" t="s">
        <v>241</v>
      </c>
      <c r="O26" s="567">
        <v>1</v>
      </c>
      <c r="P26" s="214"/>
      <c r="Q26" s="214">
        <v>2</v>
      </c>
      <c r="R26" s="214"/>
      <c r="S26" s="216"/>
      <c r="W26" s="214"/>
      <c r="X26" s="216"/>
      <c r="Y26" s="567">
        <v>1</v>
      </c>
      <c r="Z26" s="214"/>
      <c r="AA26" s="214">
        <v>2</v>
      </c>
      <c r="AB26" s="214"/>
      <c r="AC26" s="602"/>
      <c r="AD26" s="717">
        <v>3</v>
      </c>
      <c r="AE26" s="551" t="s">
        <v>202</v>
      </c>
      <c r="AF26" s="557" t="s">
        <v>228</v>
      </c>
      <c r="AG26" s="612" t="s">
        <v>115</v>
      </c>
      <c r="AH26" s="559" t="s">
        <v>79</v>
      </c>
      <c r="AI26" s="215" t="s">
        <v>294</v>
      </c>
      <c r="AJ26" s="835" t="s">
        <v>151</v>
      </c>
      <c r="AK26" s="742">
        <v>19120</v>
      </c>
      <c r="AL26" s="216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BU26" s="320"/>
      <c r="BV26" s="320"/>
      <c r="BW26" s="320"/>
      <c r="BX26" s="320"/>
      <c r="BY26" s="320"/>
      <c r="BZ26" s="320"/>
      <c r="CA26" s="320"/>
      <c r="CB26" s="320"/>
      <c r="CC26" s="320"/>
      <c r="CD26" s="320"/>
      <c r="CE26" s="320"/>
      <c r="CF26" s="320"/>
      <c r="CG26" s="320"/>
      <c r="CH26" s="320"/>
      <c r="CI26" s="320"/>
      <c r="CJ26" s="320"/>
      <c r="CK26" s="320"/>
      <c r="CL26" s="320"/>
      <c r="CM26" s="320"/>
      <c r="CN26" s="320"/>
      <c r="CO26" s="320"/>
      <c r="CP26" s="320"/>
      <c r="CQ26" s="320"/>
    </row>
    <row r="27" spans="1:95" s="219" customFormat="1" ht="15.75" customHeight="1" x14ac:dyDescent="0.3">
      <c r="A27" s="560">
        <v>84064619</v>
      </c>
      <c r="B27" s="565" t="s">
        <v>282</v>
      </c>
      <c r="C27" s="149" t="s">
        <v>283</v>
      </c>
      <c r="D27" s="558" t="s">
        <v>302</v>
      </c>
      <c r="E27" s="338" t="s">
        <v>511</v>
      </c>
      <c r="F27" s="146" t="s">
        <v>510</v>
      </c>
      <c r="G27" s="147" t="s">
        <v>117</v>
      </c>
      <c r="H27" s="213">
        <v>2</v>
      </c>
      <c r="I27" s="213">
        <v>1745</v>
      </c>
      <c r="J27" s="213">
        <v>2</v>
      </c>
      <c r="K27" s="213">
        <v>1805</v>
      </c>
      <c r="L27" s="213">
        <v>2</v>
      </c>
      <c r="M27" s="213">
        <v>2130</v>
      </c>
      <c r="N27" s="833" t="s">
        <v>20</v>
      </c>
      <c r="O27" s="567"/>
      <c r="P27" s="214"/>
      <c r="Q27" s="214">
        <v>5</v>
      </c>
      <c r="R27" s="214"/>
      <c r="S27" s="216"/>
      <c r="T27" s="567"/>
      <c r="U27" s="214"/>
      <c r="V27" s="219">
        <v>4</v>
      </c>
      <c r="W27" s="214"/>
      <c r="X27" s="216"/>
      <c r="Y27" s="567"/>
      <c r="Z27" s="214"/>
      <c r="AA27" s="214">
        <v>9</v>
      </c>
      <c r="AB27" s="214"/>
      <c r="AC27" s="602"/>
      <c r="AD27" s="717">
        <v>9</v>
      </c>
      <c r="AE27" s="551" t="s">
        <v>202</v>
      </c>
      <c r="AF27" s="557" t="s">
        <v>228</v>
      </c>
      <c r="AG27" s="612" t="s">
        <v>115</v>
      </c>
      <c r="AH27" s="834" t="s">
        <v>78</v>
      </c>
      <c r="AI27" s="215" t="s">
        <v>294</v>
      </c>
      <c r="AJ27" s="835" t="s">
        <v>216</v>
      </c>
      <c r="AK27" s="742">
        <v>2700</v>
      </c>
      <c r="AL27" s="216"/>
      <c r="AM27" s="320"/>
      <c r="AN27" s="320"/>
      <c r="AO27" s="320"/>
      <c r="AP27" s="320"/>
      <c r="AQ27" s="320"/>
      <c r="AR27" s="320"/>
      <c r="AS27" s="320"/>
      <c r="AT27" s="320"/>
      <c r="AU27" s="320"/>
      <c r="AV27" s="320"/>
      <c r="AW27" s="320"/>
      <c r="AX27" s="320"/>
      <c r="AY27" s="320"/>
      <c r="AZ27" s="320"/>
      <c r="BA27" s="320"/>
      <c r="BB27" s="320"/>
      <c r="BC27" s="320"/>
      <c r="BD27" s="320"/>
      <c r="BE27" s="320"/>
      <c r="BF27" s="320"/>
      <c r="BG27" s="320"/>
      <c r="BH27" s="320"/>
      <c r="BI27" s="320"/>
      <c r="BJ27" s="320"/>
      <c r="BK27" s="320"/>
      <c r="BL27" s="320"/>
      <c r="BM27" s="320"/>
      <c r="BN27" s="320"/>
      <c r="BO27" s="320"/>
      <c r="BP27" s="320"/>
      <c r="BQ27" s="320"/>
      <c r="BR27" s="320"/>
      <c r="BS27" s="320"/>
      <c r="BT27" s="320"/>
      <c r="BU27" s="320"/>
      <c r="BV27" s="320"/>
      <c r="BW27" s="320"/>
      <c r="BX27" s="320"/>
      <c r="BY27" s="320"/>
      <c r="BZ27" s="320"/>
      <c r="CA27" s="320"/>
      <c r="CB27" s="320"/>
      <c r="CC27" s="320"/>
      <c r="CD27" s="320"/>
      <c r="CE27" s="320"/>
      <c r="CF27" s="320"/>
      <c r="CG27" s="320"/>
      <c r="CH27" s="320"/>
      <c r="CI27" s="320"/>
      <c r="CJ27" s="320"/>
      <c r="CK27" s="320"/>
      <c r="CL27" s="320"/>
      <c r="CM27" s="320"/>
      <c r="CN27" s="320"/>
      <c r="CO27" s="320"/>
      <c r="CP27" s="320"/>
      <c r="CQ27" s="320"/>
    </row>
    <row r="28" spans="1:95" s="219" customFormat="1" ht="15.75" customHeight="1" x14ac:dyDescent="0.3">
      <c r="A28" s="560">
        <v>85061119</v>
      </c>
      <c r="B28" s="561" t="s">
        <v>219</v>
      </c>
      <c r="C28" s="561" t="s">
        <v>219</v>
      </c>
      <c r="D28" s="558" t="s">
        <v>227</v>
      </c>
      <c r="E28" s="725" t="s">
        <v>476</v>
      </c>
      <c r="F28" s="146" t="s">
        <v>477</v>
      </c>
      <c r="G28" s="147" t="s">
        <v>117</v>
      </c>
      <c r="H28" s="213">
        <v>2</v>
      </c>
      <c r="I28" s="213">
        <v>900</v>
      </c>
      <c r="J28" s="213">
        <v>2</v>
      </c>
      <c r="K28" s="213">
        <v>1040</v>
      </c>
      <c r="L28" s="213">
        <v>2</v>
      </c>
      <c r="M28" s="213">
        <v>2200</v>
      </c>
      <c r="N28" s="838" t="s">
        <v>241</v>
      </c>
      <c r="O28" s="567">
        <v>2</v>
      </c>
      <c r="P28" s="214"/>
      <c r="Q28" s="214">
        <v>3</v>
      </c>
      <c r="R28" s="214"/>
      <c r="S28" s="216"/>
      <c r="T28" s="567"/>
      <c r="U28" s="214"/>
      <c r="V28" s="214"/>
      <c r="W28" s="214"/>
      <c r="X28" s="216"/>
      <c r="Y28" s="567">
        <v>2</v>
      </c>
      <c r="Z28" s="214"/>
      <c r="AA28" s="214">
        <v>3</v>
      </c>
      <c r="AB28" s="214"/>
      <c r="AC28" s="602"/>
      <c r="AD28" s="717">
        <v>5</v>
      </c>
      <c r="AE28" s="583" t="s">
        <v>202</v>
      </c>
      <c r="AF28" s="584" t="s">
        <v>228</v>
      </c>
      <c r="AG28" s="612" t="s">
        <v>115</v>
      </c>
      <c r="AH28" s="559" t="s">
        <v>79</v>
      </c>
      <c r="AI28" s="215" t="s">
        <v>294</v>
      </c>
      <c r="AJ28" s="835" t="s">
        <v>216</v>
      </c>
      <c r="AK28" s="742">
        <v>240900</v>
      </c>
      <c r="AL28" s="216" t="s">
        <v>168</v>
      </c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  <c r="BL28" s="320"/>
      <c r="BM28" s="320"/>
      <c r="BN28" s="320"/>
      <c r="BO28" s="320"/>
      <c r="BP28" s="320"/>
      <c r="BQ28" s="320"/>
      <c r="BR28" s="320"/>
      <c r="BS28" s="320"/>
      <c r="BT28" s="320"/>
      <c r="BU28" s="320"/>
      <c r="BV28" s="320"/>
      <c r="BW28" s="320"/>
      <c r="BX28" s="320"/>
      <c r="BY28" s="320"/>
      <c r="BZ28" s="320"/>
      <c r="CA28" s="320"/>
      <c r="CB28" s="320"/>
      <c r="CC28" s="320"/>
      <c r="CD28" s="320"/>
      <c r="CE28" s="320"/>
      <c r="CF28" s="320"/>
      <c r="CG28" s="320"/>
      <c r="CH28" s="320"/>
      <c r="CI28" s="320"/>
      <c r="CJ28" s="320"/>
      <c r="CK28" s="320"/>
      <c r="CL28" s="320"/>
      <c r="CM28" s="320"/>
      <c r="CN28" s="320"/>
      <c r="CO28" s="320"/>
      <c r="CP28" s="320"/>
      <c r="CQ28" s="320"/>
    </row>
    <row r="29" spans="1:95" s="219" customFormat="1" ht="15.75" customHeight="1" x14ac:dyDescent="0.3">
      <c r="A29" s="206">
        <v>86064919</v>
      </c>
      <c r="B29" s="148" t="s">
        <v>225</v>
      </c>
      <c r="C29" s="148" t="s">
        <v>226</v>
      </c>
      <c r="D29" s="558" t="s">
        <v>227</v>
      </c>
      <c r="E29" s="725" t="s">
        <v>478</v>
      </c>
      <c r="F29" s="146" t="s">
        <v>479</v>
      </c>
      <c r="G29" s="147" t="s">
        <v>117</v>
      </c>
      <c r="H29" s="213">
        <v>2</v>
      </c>
      <c r="I29" s="213">
        <v>1430</v>
      </c>
      <c r="J29" s="213">
        <v>2</v>
      </c>
      <c r="K29" s="213">
        <v>1450</v>
      </c>
      <c r="L29" s="213">
        <v>3</v>
      </c>
      <c r="M29" s="213">
        <v>300</v>
      </c>
      <c r="N29" s="838" t="s">
        <v>233</v>
      </c>
      <c r="O29" s="567">
        <v>40</v>
      </c>
      <c r="P29" s="214"/>
      <c r="Q29" s="214">
        <v>80</v>
      </c>
      <c r="R29" s="214"/>
      <c r="S29" s="216"/>
      <c r="T29" s="567"/>
      <c r="U29" s="214"/>
      <c r="V29" s="214"/>
      <c r="W29" s="214"/>
      <c r="X29" s="216"/>
      <c r="Y29" s="567">
        <v>40</v>
      </c>
      <c r="Z29" s="214"/>
      <c r="AA29" s="214">
        <v>80</v>
      </c>
      <c r="AB29" s="214"/>
      <c r="AC29" s="602"/>
      <c r="AD29" s="717">
        <v>120</v>
      </c>
      <c r="AE29" s="586" t="s">
        <v>164</v>
      </c>
      <c r="AF29" s="585" t="s">
        <v>164</v>
      </c>
      <c r="AG29" s="612" t="s">
        <v>115</v>
      </c>
      <c r="AH29" s="559" t="s">
        <v>79</v>
      </c>
      <c r="AI29" s="215" t="s">
        <v>294</v>
      </c>
      <c r="AJ29" s="835" t="s">
        <v>216</v>
      </c>
      <c r="AK29" s="742">
        <v>824000</v>
      </c>
      <c r="AL29" s="216" t="s">
        <v>168</v>
      </c>
      <c r="AM29" s="320"/>
      <c r="AN29" s="320"/>
      <c r="AO29" s="320"/>
      <c r="AP29" s="320"/>
      <c r="AQ29" s="320"/>
      <c r="AR29" s="320"/>
      <c r="AS29" s="320"/>
      <c r="AT29" s="320"/>
      <c r="AU29" s="320"/>
      <c r="AV29" s="320"/>
      <c r="AW29" s="320"/>
      <c r="AX29" s="320"/>
      <c r="AY29" s="320"/>
      <c r="AZ29" s="320"/>
      <c r="BA29" s="320"/>
      <c r="BB29" s="320"/>
      <c r="BC29" s="320"/>
      <c r="BD29" s="320"/>
      <c r="BE29" s="320"/>
      <c r="BF29" s="320"/>
      <c r="BG29" s="320"/>
      <c r="BH29" s="320"/>
      <c r="BI29" s="320"/>
      <c r="BJ29" s="320"/>
      <c r="BK29" s="320"/>
      <c r="BL29" s="320"/>
      <c r="BM29" s="320"/>
      <c r="BN29" s="320"/>
      <c r="BO29" s="320"/>
      <c r="BP29" s="320"/>
      <c r="BQ29" s="320"/>
      <c r="BR29" s="320"/>
      <c r="BS29" s="320"/>
      <c r="BT29" s="320"/>
      <c r="BU29" s="320"/>
      <c r="BV29" s="320"/>
      <c r="BW29" s="320"/>
      <c r="BX29" s="320"/>
      <c r="BY29" s="320"/>
      <c r="BZ29" s="320"/>
      <c r="CA29" s="320"/>
      <c r="CB29" s="320"/>
      <c r="CC29" s="320"/>
      <c r="CD29" s="320"/>
      <c r="CE29" s="320"/>
      <c r="CF29" s="320"/>
      <c r="CG29" s="320"/>
      <c r="CH29" s="320"/>
      <c r="CI29" s="320"/>
      <c r="CJ29" s="320"/>
      <c r="CK29" s="320"/>
      <c r="CL29" s="320"/>
      <c r="CM29" s="320"/>
      <c r="CN29" s="320"/>
      <c r="CO29" s="320"/>
      <c r="CP29" s="320"/>
      <c r="CQ29" s="320"/>
    </row>
    <row r="30" spans="1:95" s="219" customFormat="1" ht="17.25" customHeight="1" x14ac:dyDescent="0.3">
      <c r="A30" s="206">
        <v>87064919</v>
      </c>
      <c r="B30" s="148" t="s">
        <v>225</v>
      </c>
      <c r="C30" s="148" t="s">
        <v>226</v>
      </c>
      <c r="D30" s="558" t="s">
        <v>227</v>
      </c>
      <c r="E30" s="725" t="s">
        <v>480</v>
      </c>
      <c r="F30" s="146" t="s">
        <v>481</v>
      </c>
      <c r="G30" s="147" t="s">
        <v>117</v>
      </c>
      <c r="H30" s="147">
        <v>2</v>
      </c>
      <c r="I30" s="147">
        <v>1045</v>
      </c>
      <c r="J30" s="147">
        <v>2</v>
      </c>
      <c r="K30" s="147">
        <v>1300</v>
      </c>
      <c r="L30" s="147">
        <v>3</v>
      </c>
      <c r="M30" s="147">
        <v>500</v>
      </c>
      <c r="N30" s="838" t="s">
        <v>241</v>
      </c>
      <c r="O30" s="568">
        <v>5</v>
      </c>
      <c r="P30" s="218"/>
      <c r="Q30" s="218">
        <v>10</v>
      </c>
      <c r="R30" s="218"/>
      <c r="S30" s="569"/>
      <c r="T30" s="568"/>
      <c r="U30" s="218"/>
      <c r="V30" s="218"/>
      <c r="W30" s="218"/>
      <c r="X30" s="569"/>
      <c r="Y30" s="568">
        <v>5</v>
      </c>
      <c r="Z30" s="218"/>
      <c r="AA30" s="218">
        <v>10</v>
      </c>
      <c r="AB30" s="218"/>
      <c r="AC30" s="713"/>
      <c r="AD30" s="718">
        <v>15</v>
      </c>
      <c r="AE30" s="551" t="s">
        <v>202</v>
      </c>
      <c r="AF30" s="557" t="s">
        <v>228</v>
      </c>
      <c r="AG30" s="612" t="s">
        <v>115</v>
      </c>
      <c r="AH30" s="559" t="s">
        <v>79</v>
      </c>
      <c r="AI30" s="215" t="s">
        <v>294</v>
      </c>
      <c r="AJ30" s="835" t="s">
        <v>216</v>
      </c>
      <c r="AK30" s="742">
        <v>603000</v>
      </c>
      <c r="AL30" s="216" t="s">
        <v>168</v>
      </c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/>
      <c r="CF30" s="320"/>
      <c r="CG30" s="320"/>
      <c r="CH30" s="320"/>
      <c r="CI30" s="320"/>
      <c r="CJ30" s="320"/>
      <c r="CK30" s="320"/>
      <c r="CL30" s="320"/>
      <c r="CM30" s="320"/>
      <c r="CN30" s="320"/>
      <c r="CO30" s="320"/>
      <c r="CP30" s="320"/>
      <c r="CQ30" s="320"/>
    </row>
    <row r="31" spans="1:95" s="219" customFormat="1" ht="17.25" customHeight="1" x14ac:dyDescent="0.3">
      <c r="A31" s="611">
        <v>88062019</v>
      </c>
      <c r="B31" s="550" t="s">
        <v>243</v>
      </c>
      <c r="C31" s="550" t="s">
        <v>266</v>
      </c>
      <c r="D31" s="558" t="s">
        <v>303</v>
      </c>
      <c r="E31" s="338" t="s">
        <v>513</v>
      </c>
      <c r="F31" s="146" t="s">
        <v>512</v>
      </c>
      <c r="G31" s="147" t="s">
        <v>117</v>
      </c>
      <c r="H31" s="213">
        <v>6</v>
      </c>
      <c r="I31" s="213">
        <v>2405</v>
      </c>
      <c r="J31" s="213">
        <v>6</v>
      </c>
      <c r="K31" s="213">
        <v>2450</v>
      </c>
      <c r="L31" s="213">
        <v>6</v>
      </c>
      <c r="M31" s="213">
        <v>520</v>
      </c>
      <c r="N31" s="833" t="s">
        <v>20</v>
      </c>
      <c r="O31" s="567"/>
      <c r="P31" s="214"/>
      <c r="Q31" s="214">
        <v>12</v>
      </c>
      <c r="R31" s="214"/>
      <c r="S31" s="216"/>
      <c r="T31" s="567"/>
      <c r="U31" s="214"/>
      <c r="V31" s="214"/>
      <c r="W31" s="214"/>
      <c r="X31" s="216"/>
      <c r="Y31" s="567"/>
      <c r="Z31" s="214"/>
      <c r="AA31" s="214">
        <v>12</v>
      </c>
      <c r="AB31" s="214"/>
      <c r="AC31" s="602"/>
      <c r="AD31" s="717">
        <v>12</v>
      </c>
      <c r="AE31" s="551" t="s">
        <v>202</v>
      </c>
      <c r="AF31" s="557" t="s">
        <v>228</v>
      </c>
      <c r="AG31" s="612" t="s">
        <v>115</v>
      </c>
      <c r="AH31" s="839" t="s">
        <v>29</v>
      </c>
      <c r="AI31" s="215" t="s">
        <v>150</v>
      </c>
      <c r="AJ31" s="835" t="s">
        <v>151</v>
      </c>
      <c r="AK31" s="742">
        <v>3600</v>
      </c>
      <c r="AL31" s="216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/>
      <c r="BF31" s="320"/>
      <c r="BG31" s="320"/>
      <c r="BH31" s="320"/>
      <c r="BI31" s="320"/>
      <c r="BJ31" s="320"/>
      <c r="BK31" s="320"/>
      <c r="BL31" s="320"/>
      <c r="BM31" s="320"/>
      <c r="BN31" s="320"/>
      <c r="BO31" s="320"/>
      <c r="BP31" s="320"/>
      <c r="BQ31" s="320"/>
      <c r="BR31" s="320"/>
      <c r="BS31" s="320"/>
      <c r="BT31" s="320"/>
      <c r="BU31" s="320"/>
      <c r="BV31" s="320"/>
      <c r="BW31" s="320"/>
      <c r="BX31" s="320"/>
      <c r="BY31" s="320"/>
      <c r="BZ31" s="320"/>
      <c r="CA31" s="320"/>
      <c r="CB31" s="320"/>
      <c r="CC31" s="320"/>
      <c r="CD31" s="320"/>
      <c r="CE31" s="320"/>
      <c r="CF31" s="320"/>
      <c r="CG31" s="320"/>
      <c r="CH31" s="320"/>
      <c r="CI31" s="320"/>
      <c r="CJ31" s="320"/>
      <c r="CK31" s="320"/>
      <c r="CL31" s="320"/>
      <c r="CM31" s="320"/>
      <c r="CN31" s="320"/>
      <c r="CO31" s="320"/>
      <c r="CP31" s="320"/>
      <c r="CQ31" s="320"/>
    </row>
    <row r="32" spans="1:95" s="219" customFormat="1" ht="17.25" customHeight="1" x14ac:dyDescent="0.3">
      <c r="A32" s="206">
        <v>89060819</v>
      </c>
      <c r="B32" s="212" t="s">
        <v>282</v>
      </c>
      <c r="C32" s="212" t="s">
        <v>282</v>
      </c>
      <c r="D32" s="558" t="s">
        <v>364</v>
      </c>
      <c r="E32" s="338" t="s">
        <v>518</v>
      </c>
      <c r="F32" s="146" t="s">
        <v>514</v>
      </c>
      <c r="G32" s="147" t="s">
        <v>117</v>
      </c>
      <c r="H32" s="213">
        <v>6</v>
      </c>
      <c r="I32" s="213">
        <v>23</v>
      </c>
      <c r="J32" s="213">
        <v>6</v>
      </c>
      <c r="K32" s="213">
        <v>2320</v>
      </c>
      <c r="L32" s="213">
        <v>7</v>
      </c>
      <c r="M32" s="213">
        <v>530</v>
      </c>
      <c r="N32" s="836" t="s">
        <v>234</v>
      </c>
      <c r="O32" s="567"/>
      <c r="P32" s="214">
        <v>1</v>
      </c>
      <c r="Q32" s="214"/>
      <c r="R32" s="214"/>
      <c r="S32" s="216"/>
      <c r="T32" s="567"/>
      <c r="U32" s="214"/>
      <c r="V32" s="214">
        <v>2</v>
      </c>
      <c r="W32" s="214"/>
      <c r="X32" s="216"/>
      <c r="Y32" s="567"/>
      <c r="Z32" s="214">
        <v>1</v>
      </c>
      <c r="AA32" s="214">
        <v>2</v>
      </c>
      <c r="AB32" s="214"/>
      <c r="AC32" s="602"/>
      <c r="AD32" s="717">
        <v>3</v>
      </c>
      <c r="AE32" s="551" t="s">
        <v>202</v>
      </c>
      <c r="AF32" s="557" t="s">
        <v>228</v>
      </c>
      <c r="AG32" s="612" t="s">
        <v>115</v>
      </c>
      <c r="AH32" s="559" t="s">
        <v>79</v>
      </c>
      <c r="AI32" s="215" t="s">
        <v>294</v>
      </c>
      <c r="AJ32" s="835" t="s">
        <v>151</v>
      </c>
      <c r="AK32" s="742">
        <v>18600</v>
      </c>
      <c r="AL32" s="216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20"/>
      <c r="CH32" s="320"/>
      <c r="CI32" s="320"/>
      <c r="CJ32" s="320"/>
      <c r="CK32" s="320"/>
      <c r="CL32" s="320"/>
      <c r="CM32" s="320"/>
      <c r="CN32" s="320"/>
      <c r="CO32" s="320"/>
      <c r="CP32" s="320"/>
      <c r="CQ32" s="320"/>
    </row>
    <row r="33" spans="1:95" s="219" customFormat="1" ht="17.25" customHeight="1" x14ac:dyDescent="0.3">
      <c r="A33" s="206">
        <v>90064119</v>
      </c>
      <c r="B33" s="212" t="s">
        <v>282</v>
      </c>
      <c r="C33" s="212" t="s">
        <v>295</v>
      </c>
      <c r="D33" s="558" t="s">
        <v>365</v>
      </c>
      <c r="E33" s="338" t="s">
        <v>517</v>
      </c>
      <c r="F33" s="146" t="s">
        <v>556</v>
      </c>
      <c r="G33" s="147" t="s">
        <v>117</v>
      </c>
      <c r="H33" s="213">
        <v>7</v>
      </c>
      <c r="I33" s="213">
        <v>630</v>
      </c>
      <c r="J33" s="213">
        <v>7</v>
      </c>
      <c r="K33" s="213">
        <v>645</v>
      </c>
      <c r="L33" s="213">
        <v>7</v>
      </c>
      <c r="M33" s="213">
        <v>815</v>
      </c>
      <c r="N33" s="838" t="s">
        <v>51</v>
      </c>
      <c r="O33" s="567">
        <v>1.5</v>
      </c>
      <c r="P33" s="214"/>
      <c r="Q33" s="214"/>
      <c r="R33" s="214"/>
      <c r="S33" s="216"/>
      <c r="T33" s="567"/>
      <c r="U33" s="214"/>
      <c r="V33" s="214"/>
      <c r="W33" s="214"/>
      <c r="X33" s="216"/>
      <c r="Y33" s="567">
        <v>1.5</v>
      </c>
      <c r="Z33" s="214"/>
      <c r="AA33" s="214"/>
      <c r="AB33" s="214"/>
      <c r="AC33" s="602"/>
      <c r="AD33" s="717">
        <v>1.5</v>
      </c>
      <c r="AE33" s="551" t="s">
        <v>202</v>
      </c>
      <c r="AF33" s="551" t="s">
        <v>238</v>
      </c>
      <c r="AG33" s="612" t="s">
        <v>115</v>
      </c>
      <c r="AH33" s="559" t="s">
        <v>79</v>
      </c>
      <c r="AI33" s="215" t="s">
        <v>294</v>
      </c>
      <c r="AJ33" s="835" t="s">
        <v>151</v>
      </c>
      <c r="AK33" s="742">
        <v>3600</v>
      </c>
      <c r="AL33" s="216" t="s">
        <v>168</v>
      </c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320"/>
      <c r="BE33" s="320"/>
      <c r="BF33" s="320"/>
      <c r="BG33" s="320"/>
      <c r="BH33" s="320"/>
      <c r="BI33" s="320"/>
      <c r="BJ33" s="320"/>
      <c r="BK33" s="320"/>
      <c r="BL33" s="320"/>
      <c r="BM33" s="320"/>
      <c r="BN33" s="320"/>
      <c r="BO33" s="320"/>
      <c r="BP33" s="320"/>
      <c r="BQ33" s="320"/>
      <c r="BR33" s="320"/>
      <c r="BS33" s="320"/>
      <c r="BT33" s="320"/>
      <c r="BU33" s="320"/>
      <c r="BV33" s="320"/>
      <c r="BW33" s="320"/>
      <c r="BX33" s="320"/>
      <c r="BY33" s="320"/>
      <c r="BZ33" s="320"/>
      <c r="CA33" s="320"/>
      <c r="CB33" s="320"/>
      <c r="CC33" s="320"/>
      <c r="CD33" s="320"/>
      <c r="CE33" s="320"/>
      <c r="CF33" s="320"/>
      <c r="CG33" s="320"/>
      <c r="CH33" s="320"/>
      <c r="CI33" s="320"/>
      <c r="CJ33" s="320"/>
      <c r="CK33" s="320"/>
      <c r="CL33" s="320"/>
      <c r="CM33" s="320"/>
      <c r="CN33" s="320"/>
      <c r="CO33" s="320"/>
      <c r="CP33" s="320"/>
      <c r="CQ33" s="320"/>
    </row>
    <row r="34" spans="1:95" s="219" customFormat="1" ht="17.25" customHeight="1" x14ac:dyDescent="0.3">
      <c r="A34" s="206">
        <v>91064119</v>
      </c>
      <c r="B34" s="212" t="s">
        <v>282</v>
      </c>
      <c r="C34" s="212" t="s">
        <v>295</v>
      </c>
      <c r="D34" s="558" t="s">
        <v>284</v>
      </c>
      <c r="E34" s="146" t="s">
        <v>520</v>
      </c>
      <c r="F34" s="147" t="s">
        <v>519</v>
      </c>
      <c r="G34" s="147" t="s">
        <v>117</v>
      </c>
      <c r="H34" s="213">
        <v>7</v>
      </c>
      <c r="I34" s="213">
        <v>1140</v>
      </c>
      <c r="J34" s="213">
        <v>7</v>
      </c>
      <c r="K34" s="213">
        <v>1200</v>
      </c>
      <c r="L34" s="213">
        <v>7</v>
      </c>
      <c r="M34" s="147">
        <v>1300</v>
      </c>
      <c r="N34" s="605" t="s">
        <v>45</v>
      </c>
      <c r="O34" s="567">
        <v>1</v>
      </c>
      <c r="P34" s="214"/>
      <c r="Q34" s="214"/>
      <c r="R34" s="602"/>
      <c r="S34" s="569"/>
      <c r="T34" s="567"/>
      <c r="U34" s="214"/>
      <c r="V34" s="214"/>
      <c r="W34" s="602"/>
      <c r="X34" s="569"/>
      <c r="Y34" s="567">
        <v>1</v>
      </c>
      <c r="Z34" s="214"/>
      <c r="AA34" s="214"/>
      <c r="AB34" s="214"/>
      <c r="AC34" s="713"/>
      <c r="AD34" s="719">
        <v>1</v>
      </c>
      <c r="AE34" s="551" t="s">
        <v>202</v>
      </c>
      <c r="AF34" s="551" t="s">
        <v>238</v>
      </c>
      <c r="AG34" s="612" t="s">
        <v>115</v>
      </c>
      <c r="AH34" s="559" t="s">
        <v>79</v>
      </c>
      <c r="AI34" s="215" t="s">
        <v>294</v>
      </c>
      <c r="AJ34" s="835" t="s">
        <v>216</v>
      </c>
      <c r="AK34" s="743">
        <v>5300</v>
      </c>
      <c r="AL34" s="603" t="s">
        <v>168</v>
      </c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320"/>
      <c r="BE34" s="320"/>
      <c r="BF34" s="320"/>
      <c r="BG34" s="320"/>
      <c r="BH34" s="320"/>
      <c r="BI34" s="320"/>
      <c r="BJ34" s="320"/>
      <c r="BK34" s="320"/>
      <c r="BL34" s="320"/>
      <c r="BM34" s="320"/>
      <c r="BN34" s="320"/>
      <c r="BO34" s="320"/>
      <c r="BP34" s="320"/>
      <c r="BQ34" s="320"/>
      <c r="BR34" s="320"/>
      <c r="BS34" s="320"/>
      <c r="BT34" s="320"/>
      <c r="BU34" s="320"/>
      <c r="BV34" s="320"/>
      <c r="BW34" s="320"/>
      <c r="BX34" s="320"/>
      <c r="BY34" s="320"/>
      <c r="BZ34" s="320"/>
      <c r="CA34" s="320"/>
      <c r="CB34" s="320"/>
      <c r="CC34" s="320"/>
      <c r="CD34" s="320"/>
      <c r="CE34" s="320"/>
      <c r="CF34" s="320"/>
      <c r="CG34" s="320"/>
      <c r="CH34" s="320"/>
      <c r="CI34" s="320"/>
      <c r="CJ34" s="320"/>
      <c r="CK34" s="320"/>
      <c r="CL34" s="320"/>
      <c r="CM34" s="320"/>
      <c r="CN34" s="320"/>
      <c r="CO34" s="320"/>
      <c r="CP34" s="320"/>
      <c r="CQ34" s="320"/>
    </row>
    <row r="35" spans="1:95" s="219" customFormat="1" ht="17.25" customHeight="1" x14ac:dyDescent="0.3">
      <c r="A35" s="560">
        <v>92064619</v>
      </c>
      <c r="B35" s="565" t="s">
        <v>282</v>
      </c>
      <c r="C35" s="149" t="s">
        <v>283</v>
      </c>
      <c r="D35" s="558" t="s">
        <v>284</v>
      </c>
      <c r="E35" s="338" t="s">
        <v>515</v>
      </c>
      <c r="F35" s="147" t="s">
        <v>557</v>
      </c>
      <c r="G35" s="147" t="s">
        <v>117</v>
      </c>
      <c r="H35" s="213">
        <v>6</v>
      </c>
      <c r="I35" s="213">
        <v>1200</v>
      </c>
      <c r="J35" s="213">
        <v>6</v>
      </c>
      <c r="K35" s="213">
        <v>1230</v>
      </c>
      <c r="L35" s="213">
        <v>7</v>
      </c>
      <c r="M35" s="213">
        <v>1530</v>
      </c>
      <c r="N35" s="838" t="s">
        <v>233</v>
      </c>
      <c r="O35" s="567"/>
      <c r="P35" s="214">
        <v>5</v>
      </c>
      <c r="Q35" s="214">
        <v>15</v>
      </c>
      <c r="R35" s="602"/>
      <c r="S35" s="216"/>
      <c r="T35" s="567"/>
      <c r="U35" s="214"/>
      <c r="V35" s="214">
        <v>5</v>
      </c>
      <c r="W35" s="602"/>
      <c r="X35" s="216"/>
      <c r="Y35" s="567"/>
      <c r="Z35" s="214">
        <v>5</v>
      </c>
      <c r="AA35" s="214">
        <v>20</v>
      </c>
      <c r="AB35" s="214"/>
      <c r="AC35" s="602"/>
      <c r="AD35" s="720">
        <v>25</v>
      </c>
      <c r="AE35" s="551" t="s">
        <v>202</v>
      </c>
      <c r="AF35" s="557" t="s">
        <v>228</v>
      </c>
      <c r="AG35" s="612" t="s">
        <v>115</v>
      </c>
      <c r="AH35" s="834" t="s">
        <v>78</v>
      </c>
      <c r="AI35" s="215" t="s">
        <v>294</v>
      </c>
      <c r="AJ35" s="837" t="s">
        <v>156</v>
      </c>
      <c r="AK35" s="744">
        <v>8080</v>
      </c>
      <c r="AL35" s="603" t="s">
        <v>168</v>
      </c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20"/>
      <c r="BB35" s="320"/>
      <c r="BC35" s="320"/>
      <c r="BD35" s="320"/>
      <c r="BE35" s="320"/>
      <c r="BF35" s="320"/>
      <c r="BG35" s="320"/>
      <c r="BH35" s="320"/>
      <c r="BI35" s="320"/>
      <c r="BJ35" s="320"/>
      <c r="BK35" s="320"/>
      <c r="BL35" s="320"/>
      <c r="BM35" s="320"/>
      <c r="BN35" s="320"/>
      <c r="BO35" s="320"/>
      <c r="BP35" s="320"/>
      <c r="BQ35" s="320"/>
      <c r="BR35" s="320"/>
      <c r="BS35" s="320"/>
      <c r="BT35" s="320"/>
      <c r="BU35" s="320"/>
      <c r="BV35" s="320"/>
      <c r="BW35" s="320"/>
      <c r="BX35" s="320"/>
      <c r="BY35" s="320"/>
      <c r="BZ35" s="320"/>
      <c r="CA35" s="320"/>
      <c r="CB35" s="320"/>
      <c r="CC35" s="320"/>
      <c r="CD35" s="320"/>
      <c r="CE35" s="320"/>
      <c r="CF35" s="320"/>
      <c r="CG35" s="320"/>
      <c r="CH35" s="320"/>
      <c r="CI35" s="320"/>
      <c r="CJ35" s="320"/>
      <c r="CK35" s="320"/>
      <c r="CL35" s="320"/>
      <c r="CM35" s="320"/>
      <c r="CN35" s="320"/>
      <c r="CO35" s="320"/>
      <c r="CP35" s="320"/>
      <c r="CQ35" s="320"/>
    </row>
    <row r="36" spans="1:95" s="219" customFormat="1" ht="17.25" customHeight="1" x14ac:dyDescent="0.3">
      <c r="A36" s="562">
        <v>93060119</v>
      </c>
      <c r="B36" s="565" t="s">
        <v>300</v>
      </c>
      <c r="C36" s="565" t="s">
        <v>300</v>
      </c>
      <c r="D36" s="558" t="s">
        <v>370</v>
      </c>
      <c r="E36" s="725" t="s">
        <v>482</v>
      </c>
      <c r="F36" s="146" t="s">
        <v>483</v>
      </c>
      <c r="G36" s="147" t="s">
        <v>117</v>
      </c>
      <c r="H36" s="213">
        <v>7</v>
      </c>
      <c r="I36" s="213">
        <v>1120</v>
      </c>
      <c r="J36" s="213">
        <v>7</v>
      </c>
      <c r="K36" s="213">
        <v>1125</v>
      </c>
      <c r="L36" s="213">
        <v>7</v>
      </c>
      <c r="M36" s="213">
        <v>1630</v>
      </c>
      <c r="N36" s="836" t="s">
        <v>234</v>
      </c>
      <c r="O36" s="567"/>
      <c r="P36" s="214">
        <v>5</v>
      </c>
      <c r="Q36" s="214"/>
      <c r="R36" s="602"/>
      <c r="S36" s="216"/>
      <c r="T36" s="567"/>
      <c r="U36" s="214"/>
      <c r="V36" s="214">
        <v>4</v>
      </c>
      <c r="W36" s="602"/>
      <c r="X36" s="216">
        <v>1</v>
      </c>
      <c r="Y36" s="567"/>
      <c r="Z36" s="214">
        <v>5</v>
      </c>
      <c r="AA36" s="214">
        <v>4</v>
      </c>
      <c r="AB36" s="214"/>
      <c r="AC36" s="602">
        <v>1</v>
      </c>
      <c r="AD36" s="720">
        <v>10</v>
      </c>
      <c r="AE36" s="514" t="s">
        <v>202</v>
      </c>
      <c r="AF36" s="514" t="s">
        <v>239</v>
      </c>
      <c r="AG36" s="612" t="s">
        <v>115</v>
      </c>
      <c r="AH36" s="559" t="s">
        <v>79</v>
      </c>
      <c r="AI36" s="215" t="s">
        <v>162</v>
      </c>
      <c r="AJ36" s="835" t="s">
        <v>151</v>
      </c>
      <c r="AK36" s="742">
        <v>147200</v>
      </c>
      <c r="AL36" s="216" t="s">
        <v>168</v>
      </c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  <c r="BX36" s="320"/>
      <c r="BY36" s="320"/>
      <c r="BZ36" s="320"/>
      <c r="CA36" s="320"/>
      <c r="CB36" s="320"/>
      <c r="CC36" s="320"/>
      <c r="CD36" s="320"/>
      <c r="CE36" s="320"/>
      <c r="CF36" s="320"/>
      <c r="CG36" s="320"/>
      <c r="CH36" s="320"/>
      <c r="CI36" s="320"/>
      <c r="CJ36" s="320"/>
      <c r="CK36" s="320"/>
      <c r="CL36" s="320"/>
      <c r="CM36" s="320"/>
      <c r="CN36" s="320"/>
      <c r="CO36" s="320"/>
      <c r="CP36" s="320"/>
      <c r="CQ36" s="320"/>
    </row>
    <row r="37" spans="1:95" s="219" customFormat="1" ht="17.25" customHeight="1" x14ac:dyDescent="0.3">
      <c r="A37" s="206">
        <v>94060219</v>
      </c>
      <c r="B37" s="606" t="s">
        <v>231</v>
      </c>
      <c r="C37" s="606" t="s">
        <v>231</v>
      </c>
      <c r="D37" s="558" t="s">
        <v>453</v>
      </c>
      <c r="E37" s="146" t="s">
        <v>443</v>
      </c>
      <c r="F37" s="146" t="s">
        <v>444</v>
      </c>
      <c r="G37" s="213" t="s">
        <v>367</v>
      </c>
      <c r="H37" s="213">
        <v>7</v>
      </c>
      <c r="I37" s="213">
        <v>1345</v>
      </c>
      <c r="J37" s="213">
        <v>7</v>
      </c>
      <c r="K37" s="213">
        <v>1500</v>
      </c>
      <c r="L37" s="213">
        <v>7</v>
      </c>
      <c r="M37" s="213">
        <v>1930</v>
      </c>
      <c r="N37" s="836" t="s">
        <v>234</v>
      </c>
      <c r="O37" s="567"/>
      <c r="P37" s="214"/>
      <c r="Q37" s="214"/>
      <c r="R37" s="602"/>
      <c r="S37" s="216"/>
      <c r="T37" s="567"/>
      <c r="U37" s="214">
        <v>1</v>
      </c>
      <c r="V37" s="214">
        <v>7</v>
      </c>
      <c r="W37" s="602"/>
      <c r="X37" s="216"/>
      <c r="Y37" s="567"/>
      <c r="Z37" s="214">
        <v>1</v>
      </c>
      <c r="AA37" s="214">
        <v>7</v>
      </c>
      <c r="AB37" s="214"/>
      <c r="AC37" s="602"/>
      <c r="AD37" s="720">
        <v>8</v>
      </c>
      <c r="AE37" s="551" t="s">
        <v>202</v>
      </c>
      <c r="AF37" s="551" t="s">
        <v>238</v>
      </c>
      <c r="AG37" s="612" t="s">
        <v>115</v>
      </c>
      <c r="AH37" s="839" t="s">
        <v>29</v>
      </c>
      <c r="AI37" s="215" t="s">
        <v>162</v>
      </c>
      <c r="AJ37" s="835" t="s">
        <v>151</v>
      </c>
      <c r="AK37" s="742">
        <v>39600</v>
      </c>
      <c r="AL37" s="603"/>
      <c r="AM37" s="320"/>
      <c r="AN37" s="320"/>
      <c r="AO37" s="320"/>
      <c r="AP37" s="320"/>
      <c r="AQ37" s="320"/>
      <c r="AR37" s="320"/>
      <c r="AS37" s="320"/>
      <c r="AT37" s="320"/>
      <c r="AU37" s="320"/>
      <c r="AV37" s="320"/>
      <c r="AW37" s="320"/>
      <c r="AX37" s="320"/>
      <c r="AY37" s="320"/>
      <c r="AZ37" s="320"/>
      <c r="BA37" s="320"/>
      <c r="BB37" s="320"/>
      <c r="BC37" s="320"/>
      <c r="BD37" s="320"/>
      <c r="BE37" s="320"/>
      <c r="BF37" s="320"/>
      <c r="BG37" s="320"/>
      <c r="BH37" s="320"/>
      <c r="BI37" s="320"/>
      <c r="BJ37" s="320"/>
      <c r="BK37" s="320"/>
      <c r="BL37" s="320"/>
      <c r="BM37" s="320"/>
      <c r="BN37" s="320"/>
      <c r="BO37" s="320"/>
      <c r="BP37" s="320"/>
      <c r="BQ37" s="320"/>
      <c r="BR37" s="320"/>
      <c r="BS37" s="320"/>
      <c r="BT37" s="320"/>
      <c r="BU37" s="320"/>
      <c r="BV37" s="320"/>
      <c r="BW37" s="320"/>
      <c r="BX37" s="320"/>
      <c r="BY37" s="320"/>
      <c r="BZ37" s="320"/>
      <c r="CA37" s="320"/>
      <c r="CB37" s="320"/>
      <c r="CC37" s="320"/>
      <c r="CD37" s="320"/>
      <c r="CE37" s="320"/>
      <c r="CF37" s="320"/>
      <c r="CG37" s="320"/>
      <c r="CH37" s="320"/>
      <c r="CI37" s="320"/>
      <c r="CJ37" s="320"/>
      <c r="CK37" s="320"/>
      <c r="CL37" s="320"/>
      <c r="CM37" s="320"/>
      <c r="CN37" s="320"/>
      <c r="CO37" s="320"/>
      <c r="CP37" s="320"/>
      <c r="CQ37" s="320"/>
    </row>
    <row r="38" spans="1:95" s="219" customFormat="1" ht="17.25" customHeight="1" x14ac:dyDescent="0.3">
      <c r="A38" s="608">
        <v>95061519</v>
      </c>
      <c r="B38" s="609" t="s">
        <v>169</v>
      </c>
      <c r="C38" s="609" t="s">
        <v>172</v>
      </c>
      <c r="D38" s="558" t="s">
        <v>437</v>
      </c>
      <c r="E38" s="146" t="s">
        <v>435</v>
      </c>
      <c r="F38" s="146" t="s">
        <v>436</v>
      </c>
      <c r="G38" s="213" t="s">
        <v>117</v>
      </c>
      <c r="H38" s="213">
        <v>7</v>
      </c>
      <c r="I38" s="213">
        <v>1820</v>
      </c>
      <c r="J38" s="213">
        <v>7</v>
      </c>
      <c r="K38" s="213">
        <v>1840</v>
      </c>
      <c r="L38" s="213">
        <v>7</v>
      </c>
      <c r="M38" s="213">
        <v>2020</v>
      </c>
      <c r="N38" s="836" t="s">
        <v>234</v>
      </c>
      <c r="O38" s="567"/>
      <c r="P38" s="214"/>
      <c r="Q38" s="214"/>
      <c r="R38" s="602"/>
      <c r="S38" s="216"/>
      <c r="T38" s="567"/>
      <c r="U38" s="214">
        <v>2</v>
      </c>
      <c r="V38" s="214">
        <v>1</v>
      </c>
      <c r="W38" s="602"/>
      <c r="X38" s="216"/>
      <c r="Y38" s="567"/>
      <c r="Z38" s="214">
        <v>2</v>
      </c>
      <c r="AA38" s="214">
        <v>1</v>
      </c>
      <c r="AB38" s="214"/>
      <c r="AC38" s="602"/>
      <c r="AD38" s="720">
        <v>3</v>
      </c>
      <c r="AE38" s="551" t="s">
        <v>202</v>
      </c>
      <c r="AF38" s="551" t="s">
        <v>238</v>
      </c>
      <c r="AG38" s="612" t="s">
        <v>115</v>
      </c>
      <c r="AH38" s="839" t="s">
        <v>29</v>
      </c>
      <c r="AI38" s="215" t="s">
        <v>162</v>
      </c>
      <c r="AJ38" s="837" t="s">
        <v>165</v>
      </c>
      <c r="AK38" s="742">
        <v>820</v>
      </c>
      <c r="AL38" s="603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  <c r="BM38" s="320"/>
      <c r="BN38" s="320"/>
      <c r="BO38" s="320"/>
      <c r="BP38" s="320"/>
      <c r="BQ38" s="320"/>
      <c r="BR38" s="320"/>
      <c r="BS38" s="320"/>
      <c r="BT38" s="320"/>
      <c r="BU38" s="320"/>
      <c r="BV38" s="320"/>
      <c r="BW38" s="320"/>
      <c r="BX38" s="320"/>
      <c r="BY38" s="320"/>
      <c r="BZ38" s="320"/>
      <c r="CA38" s="320"/>
      <c r="CB38" s="320"/>
      <c r="CC38" s="320"/>
      <c r="CD38" s="320"/>
      <c r="CE38" s="320"/>
      <c r="CF38" s="320"/>
      <c r="CG38" s="320"/>
      <c r="CH38" s="320"/>
      <c r="CI38" s="320"/>
      <c r="CJ38" s="320"/>
      <c r="CK38" s="320"/>
      <c r="CL38" s="320"/>
      <c r="CM38" s="320"/>
      <c r="CN38" s="320"/>
      <c r="CO38" s="320"/>
      <c r="CP38" s="320"/>
      <c r="CQ38" s="320"/>
    </row>
    <row r="39" spans="1:95" s="219" customFormat="1" ht="17.25" customHeight="1" x14ac:dyDescent="0.3">
      <c r="A39" s="562">
        <v>96064219</v>
      </c>
      <c r="B39" s="563" t="s">
        <v>221</v>
      </c>
      <c r="C39" s="563" t="s">
        <v>267</v>
      </c>
      <c r="D39" s="558" t="s">
        <v>240</v>
      </c>
      <c r="E39" s="338" t="s">
        <v>458</v>
      </c>
      <c r="F39" s="147" t="s">
        <v>457</v>
      </c>
      <c r="G39" s="213" t="s">
        <v>117</v>
      </c>
      <c r="H39" s="213">
        <v>7</v>
      </c>
      <c r="I39" s="213">
        <v>1645</v>
      </c>
      <c r="J39" s="213">
        <v>7</v>
      </c>
      <c r="K39" s="213">
        <v>1845</v>
      </c>
      <c r="L39" s="213">
        <v>7</v>
      </c>
      <c r="M39" s="213">
        <v>2200</v>
      </c>
      <c r="N39" s="607" t="s">
        <v>57</v>
      </c>
      <c r="O39" s="567">
        <v>1.5</v>
      </c>
      <c r="P39" s="214"/>
      <c r="Q39" s="214"/>
      <c r="R39" s="602"/>
      <c r="S39" s="216"/>
      <c r="T39" s="567"/>
      <c r="U39" s="214"/>
      <c r="V39" s="214"/>
      <c r="W39" s="602"/>
      <c r="X39" s="216"/>
      <c r="Y39" s="567">
        <v>1.5</v>
      </c>
      <c r="Z39" s="214"/>
      <c r="AA39" s="214"/>
      <c r="AB39" s="214"/>
      <c r="AC39" s="602"/>
      <c r="AD39" s="720">
        <v>1.5</v>
      </c>
      <c r="AE39" s="551" t="s">
        <v>202</v>
      </c>
      <c r="AF39" s="557" t="s">
        <v>228</v>
      </c>
      <c r="AG39" s="612" t="s">
        <v>115</v>
      </c>
      <c r="AH39" s="559" t="s">
        <v>79</v>
      </c>
      <c r="AI39" s="215" t="s">
        <v>162</v>
      </c>
      <c r="AJ39" s="835" t="s">
        <v>151</v>
      </c>
      <c r="AK39" s="742">
        <v>63880</v>
      </c>
      <c r="AL39" s="216" t="s">
        <v>168</v>
      </c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  <c r="BX39" s="320"/>
      <c r="BY39" s="320"/>
      <c r="BZ39" s="320"/>
      <c r="CA39" s="320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0"/>
      <c r="CM39" s="320"/>
      <c r="CN39" s="320"/>
      <c r="CO39" s="320"/>
      <c r="CP39" s="320"/>
      <c r="CQ39" s="320"/>
    </row>
    <row r="40" spans="1:95" s="219" customFormat="1" ht="17.25" customHeight="1" x14ac:dyDescent="0.3">
      <c r="A40" s="206">
        <v>97064119</v>
      </c>
      <c r="B40" s="212" t="s">
        <v>282</v>
      </c>
      <c r="C40" s="212" t="s">
        <v>295</v>
      </c>
      <c r="D40" s="558" t="s">
        <v>284</v>
      </c>
      <c r="E40" s="338" t="s">
        <v>522</v>
      </c>
      <c r="F40" s="147" t="s">
        <v>521</v>
      </c>
      <c r="G40" s="147" t="s">
        <v>117</v>
      </c>
      <c r="H40" s="213">
        <v>7</v>
      </c>
      <c r="I40" s="213">
        <v>1830</v>
      </c>
      <c r="J40" s="213">
        <v>7</v>
      </c>
      <c r="K40" s="213">
        <v>1900</v>
      </c>
      <c r="L40" s="213">
        <v>8</v>
      </c>
      <c r="M40" s="213">
        <v>300</v>
      </c>
      <c r="N40" s="838" t="s">
        <v>241</v>
      </c>
      <c r="O40" s="567">
        <v>2</v>
      </c>
      <c r="P40" s="214"/>
      <c r="Q40" s="214">
        <v>2</v>
      </c>
      <c r="R40" s="602"/>
      <c r="S40" s="216"/>
      <c r="T40" s="567"/>
      <c r="U40" s="214"/>
      <c r="V40" s="214"/>
      <c r="W40" s="602"/>
      <c r="X40" s="216"/>
      <c r="Y40" s="567">
        <v>2</v>
      </c>
      <c r="Z40" s="214"/>
      <c r="AA40" s="214">
        <v>2</v>
      </c>
      <c r="AB40" s="214"/>
      <c r="AC40" s="602"/>
      <c r="AD40" s="720">
        <v>4</v>
      </c>
      <c r="AE40" s="551" t="s">
        <v>159</v>
      </c>
      <c r="AF40" s="557" t="s">
        <v>159</v>
      </c>
      <c r="AG40" s="612" t="s">
        <v>115</v>
      </c>
      <c r="AH40" s="559" t="s">
        <v>79</v>
      </c>
      <c r="AI40" s="215" t="s">
        <v>162</v>
      </c>
      <c r="AJ40" s="835" t="s">
        <v>216</v>
      </c>
      <c r="AK40" s="742">
        <v>20700</v>
      </c>
      <c r="AL40" s="216" t="s">
        <v>168</v>
      </c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20"/>
      <c r="CJ40" s="320"/>
      <c r="CK40" s="320"/>
      <c r="CL40" s="320"/>
      <c r="CM40" s="320"/>
      <c r="CN40" s="320"/>
      <c r="CO40" s="320"/>
      <c r="CP40" s="320"/>
      <c r="CQ40" s="320"/>
    </row>
    <row r="41" spans="1:95" s="219" customFormat="1" ht="17.25" customHeight="1" x14ac:dyDescent="0.3">
      <c r="A41" s="611">
        <v>98062019</v>
      </c>
      <c r="B41" s="550" t="s">
        <v>243</v>
      </c>
      <c r="C41" s="550" t="s">
        <v>266</v>
      </c>
      <c r="D41" s="558" t="s">
        <v>303</v>
      </c>
      <c r="E41" s="338" t="s">
        <v>516</v>
      </c>
      <c r="F41" s="147" t="s">
        <v>558</v>
      </c>
      <c r="G41" s="147" t="s">
        <v>117</v>
      </c>
      <c r="H41" s="213">
        <v>7</v>
      </c>
      <c r="I41" s="213">
        <v>1130</v>
      </c>
      <c r="J41" s="213">
        <v>7</v>
      </c>
      <c r="K41" s="213">
        <v>1150</v>
      </c>
      <c r="L41" s="213">
        <v>8</v>
      </c>
      <c r="M41" s="213">
        <v>415</v>
      </c>
      <c r="N41" s="833" t="s">
        <v>20</v>
      </c>
      <c r="O41" s="567"/>
      <c r="P41" s="214"/>
      <c r="Q41" s="214">
        <v>40</v>
      </c>
      <c r="R41" s="602"/>
      <c r="S41" s="216"/>
      <c r="T41" s="567"/>
      <c r="U41" s="214"/>
      <c r="V41" s="214">
        <v>4</v>
      </c>
      <c r="W41" s="602"/>
      <c r="X41" s="216">
        <v>1</v>
      </c>
      <c r="Y41" s="567"/>
      <c r="Z41" s="214"/>
      <c r="AA41" s="214">
        <v>44</v>
      </c>
      <c r="AB41" s="214"/>
      <c r="AC41" s="602">
        <v>1</v>
      </c>
      <c r="AD41" s="720">
        <v>45</v>
      </c>
      <c r="AE41" s="551" t="s">
        <v>202</v>
      </c>
      <c r="AF41" s="557" t="s">
        <v>228</v>
      </c>
      <c r="AG41" s="612" t="s">
        <v>115</v>
      </c>
      <c r="AH41" s="834" t="s">
        <v>78</v>
      </c>
      <c r="AI41" s="215" t="s">
        <v>162</v>
      </c>
      <c r="AJ41" s="835" t="s">
        <v>151</v>
      </c>
      <c r="AK41" s="742">
        <v>13300</v>
      </c>
      <c r="AL41" s="603"/>
      <c r="AM41" s="320"/>
      <c r="AN41" s="320"/>
      <c r="AO41" s="320"/>
      <c r="AP41" s="320"/>
      <c r="AQ41" s="320"/>
      <c r="AR41" s="320"/>
      <c r="AS41" s="320"/>
      <c r="AT41" s="320"/>
      <c r="AU41" s="320"/>
      <c r="AV41" s="320"/>
      <c r="AW41" s="320"/>
      <c r="AX41" s="320"/>
      <c r="AY41" s="320"/>
      <c r="AZ41" s="320"/>
      <c r="BA41" s="320"/>
      <c r="BB41" s="320"/>
      <c r="BC41" s="320"/>
      <c r="BD41" s="320"/>
      <c r="BE41" s="320"/>
      <c r="BF41" s="320"/>
      <c r="BG41" s="320"/>
      <c r="BH41" s="320"/>
      <c r="BI41" s="320"/>
      <c r="BJ41" s="320"/>
      <c r="BK41" s="320"/>
      <c r="BL41" s="320"/>
      <c r="BM41" s="320"/>
      <c r="BN41" s="320"/>
      <c r="BO41" s="320"/>
      <c r="BP41" s="320"/>
      <c r="BQ41" s="320"/>
      <c r="BR41" s="320"/>
      <c r="BS41" s="320"/>
      <c r="BT41" s="320"/>
      <c r="BU41" s="320"/>
      <c r="BV41" s="320"/>
      <c r="BW41" s="320"/>
      <c r="BX41" s="320"/>
      <c r="BY41" s="320"/>
      <c r="BZ41" s="320"/>
      <c r="CA41" s="320"/>
      <c r="CB41" s="320"/>
      <c r="CC41" s="320"/>
      <c r="CD41" s="320"/>
      <c r="CE41" s="320"/>
      <c r="CF41" s="320"/>
      <c r="CG41" s="320"/>
      <c r="CH41" s="320"/>
      <c r="CI41" s="320"/>
      <c r="CJ41" s="320"/>
      <c r="CK41" s="320"/>
      <c r="CL41" s="320"/>
      <c r="CM41" s="320"/>
      <c r="CN41" s="320"/>
      <c r="CO41" s="320"/>
      <c r="CP41" s="320"/>
      <c r="CQ41" s="320"/>
    </row>
    <row r="42" spans="1:95" s="219" customFormat="1" ht="17.25" customHeight="1" x14ac:dyDescent="0.3">
      <c r="A42" s="206">
        <v>99064919</v>
      </c>
      <c r="B42" s="148" t="s">
        <v>225</v>
      </c>
      <c r="C42" s="148" t="s">
        <v>226</v>
      </c>
      <c r="D42" s="558" t="s">
        <v>227</v>
      </c>
      <c r="E42" s="725" t="s">
        <v>484</v>
      </c>
      <c r="F42" s="146" t="s">
        <v>485</v>
      </c>
      <c r="G42" s="147" t="s">
        <v>117</v>
      </c>
      <c r="H42" s="213">
        <v>6</v>
      </c>
      <c r="I42" s="213">
        <v>1000</v>
      </c>
      <c r="J42" s="213">
        <v>6</v>
      </c>
      <c r="K42" s="213">
        <v>1045</v>
      </c>
      <c r="L42" s="213">
        <v>8</v>
      </c>
      <c r="M42" s="213">
        <v>315</v>
      </c>
      <c r="N42" s="838" t="s">
        <v>371</v>
      </c>
      <c r="O42" s="567">
        <v>70</v>
      </c>
      <c r="P42" s="214"/>
      <c r="Q42" s="214">
        <v>150</v>
      </c>
      <c r="R42" s="602"/>
      <c r="S42" s="216"/>
      <c r="T42" s="567"/>
      <c r="U42" s="214"/>
      <c r="V42" s="214">
        <v>133</v>
      </c>
      <c r="W42" s="602"/>
      <c r="X42" s="216">
        <v>15</v>
      </c>
      <c r="Y42" s="567">
        <v>70</v>
      </c>
      <c r="Z42" s="214"/>
      <c r="AA42" s="214">
        <v>283</v>
      </c>
      <c r="AB42" s="214"/>
      <c r="AC42" s="602">
        <v>15</v>
      </c>
      <c r="AD42" s="720">
        <v>368</v>
      </c>
      <c r="AE42" s="583" t="s">
        <v>202</v>
      </c>
      <c r="AF42" s="584" t="s">
        <v>228</v>
      </c>
      <c r="AG42" s="612" t="s">
        <v>115</v>
      </c>
      <c r="AH42" s="559" t="s">
        <v>79</v>
      </c>
      <c r="AI42" s="215" t="s">
        <v>294</v>
      </c>
      <c r="AJ42" s="837" t="s">
        <v>165</v>
      </c>
      <c r="AK42" s="742">
        <v>7284900</v>
      </c>
      <c r="AL42" s="216" t="s">
        <v>168</v>
      </c>
      <c r="AM42" s="320"/>
      <c r="AN42" s="320"/>
      <c r="AO42" s="320"/>
      <c r="AP42" s="320"/>
      <c r="AQ42" s="320"/>
      <c r="AR42" s="320"/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320"/>
      <c r="BI42" s="320"/>
      <c r="BJ42" s="320"/>
      <c r="BK42" s="320"/>
      <c r="BL42" s="320"/>
      <c r="BM42" s="320"/>
      <c r="BN42" s="320"/>
      <c r="BO42" s="320"/>
      <c r="BP42" s="320"/>
      <c r="BQ42" s="320"/>
      <c r="BR42" s="320"/>
      <c r="BS42" s="320"/>
      <c r="BT42" s="320"/>
      <c r="BU42" s="320"/>
      <c r="BV42" s="320"/>
      <c r="BW42" s="320"/>
      <c r="BX42" s="320"/>
      <c r="BY42" s="320"/>
      <c r="BZ42" s="320"/>
      <c r="CA42" s="320"/>
      <c r="CB42" s="320"/>
      <c r="CC42" s="320"/>
      <c r="CD42" s="320"/>
      <c r="CE42" s="320"/>
      <c r="CF42" s="320"/>
      <c r="CG42" s="320"/>
      <c r="CH42" s="320"/>
      <c r="CI42" s="320"/>
      <c r="CJ42" s="320"/>
      <c r="CK42" s="320"/>
      <c r="CL42" s="320"/>
      <c r="CM42" s="320"/>
      <c r="CN42" s="320"/>
      <c r="CO42" s="320"/>
      <c r="CP42" s="320"/>
      <c r="CQ42" s="320"/>
    </row>
    <row r="43" spans="1:95" s="219" customFormat="1" ht="17.25" customHeight="1" x14ac:dyDescent="0.3">
      <c r="A43" s="206">
        <v>100064920</v>
      </c>
      <c r="B43" s="148" t="s">
        <v>225</v>
      </c>
      <c r="C43" s="148" t="s">
        <v>226</v>
      </c>
      <c r="D43" s="558" t="s">
        <v>372</v>
      </c>
      <c r="E43" s="725" t="s">
        <v>486</v>
      </c>
      <c r="F43" s="146" t="s">
        <v>487</v>
      </c>
      <c r="G43" s="147" t="s">
        <v>117</v>
      </c>
      <c r="H43" s="213">
        <v>7</v>
      </c>
      <c r="I43" s="213">
        <v>900</v>
      </c>
      <c r="J43" s="213">
        <v>7</v>
      </c>
      <c r="K43" s="213">
        <v>1000</v>
      </c>
      <c r="L43" s="213">
        <v>8</v>
      </c>
      <c r="M43" s="213">
        <v>430</v>
      </c>
      <c r="N43" s="838" t="s">
        <v>241</v>
      </c>
      <c r="O43" s="567"/>
      <c r="P43" s="214">
        <v>20</v>
      </c>
      <c r="Q43" s="214">
        <v>43</v>
      </c>
      <c r="R43" s="602"/>
      <c r="S43" s="216"/>
      <c r="T43" s="567"/>
      <c r="U43" s="214"/>
      <c r="V43" s="214"/>
      <c r="W43" s="602"/>
      <c r="X43" s="216">
        <v>4</v>
      </c>
      <c r="Y43" s="567"/>
      <c r="Z43" s="214">
        <v>20</v>
      </c>
      <c r="AA43" s="214">
        <v>43</v>
      </c>
      <c r="AB43" s="214"/>
      <c r="AC43" s="602">
        <v>4</v>
      </c>
      <c r="AD43" s="720">
        <v>67</v>
      </c>
      <c r="AE43" s="583" t="s">
        <v>202</v>
      </c>
      <c r="AF43" s="584" t="s">
        <v>228</v>
      </c>
      <c r="AG43" s="612" t="s">
        <v>115</v>
      </c>
      <c r="AH43" s="559" t="s">
        <v>79</v>
      </c>
      <c r="AI43" s="215" t="s">
        <v>294</v>
      </c>
      <c r="AJ43" s="837" t="s">
        <v>165</v>
      </c>
      <c r="AK43" s="742">
        <v>576900</v>
      </c>
      <c r="AL43" s="216" t="s">
        <v>168</v>
      </c>
      <c r="AM43" s="320"/>
      <c r="AN43" s="320"/>
      <c r="AO43" s="320"/>
      <c r="AP43" s="320"/>
      <c r="AQ43" s="320"/>
      <c r="AR43" s="320"/>
      <c r="AS43" s="320"/>
      <c r="AT43" s="320"/>
      <c r="AU43" s="320"/>
      <c r="AV43" s="320"/>
      <c r="AW43" s="320"/>
      <c r="AX43" s="320"/>
      <c r="AY43" s="320"/>
      <c r="AZ43" s="320"/>
      <c r="BA43" s="320"/>
      <c r="BB43" s="320"/>
      <c r="BC43" s="320"/>
      <c r="BD43" s="320"/>
      <c r="BE43" s="320"/>
      <c r="BF43" s="320"/>
      <c r="BG43" s="320"/>
      <c r="BH43" s="320"/>
      <c r="BI43" s="320"/>
      <c r="BJ43" s="320"/>
      <c r="BK43" s="320"/>
      <c r="BL43" s="320"/>
      <c r="BM43" s="320"/>
      <c r="BN43" s="320"/>
      <c r="BO43" s="320"/>
      <c r="BP43" s="320"/>
      <c r="BQ43" s="320"/>
      <c r="BR43" s="320"/>
      <c r="BS43" s="320"/>
      <c r="BT43" s="320"/>
      <c r="BU43" s="320"/>
      <c r="BV43" s="320"/>
      <c r="BW43" s="320"/>
      <c r="BX43" s="320"/>
      <c r="BY43" s="320"/>
      <c r="BZ43" s="320"/>
      <c r="CA43" s="320"/>
      <c r="CB43" s="320"/>
      <c r="CC43" s="320"/>
      <c r="CD43" s="320"/>
      <c r="CE43" s="320"/>
      <c r="CF43" s="320"/>
      <c r="CG43" s="320"/>
      <c r="CH43" s="320"/>
      <c r="CI43" s="320"/>
      <c r="CJ43" s="320"/>
      <c r="CK43" s="320"/>
      <c r="CL43" s="320"/>
      <c r="CM43" s="320"/>
      <c r="CN43" s="320"/>
      <c r="CO43" s="320"/>
      <c r="CP43" s="320"/>
      <c r="CQ43" s="320"/>
    </row>
    <row r="44" spans="1:95" s="219" customFormat="1" ht="17.25" customHeight="1" x14ac:dyDescent="0.3">
      <c r="A44" s="611">
        <v>101062419</v>
      </c>
      <c r="B44" s="563" t="s">
        <v>213</v>
      </c>
      <c r="C44" s="550" t="s">
        <v>213</v>
      </c>
      <c r="D44" s="558" t="s">
        <v>240</v>
      </c>
      <c r="E44" s="612" t="s">
        <v>570</v>
      </c>
      <c r="F44" s="612" t="s">
        <v>432</v>
      </c>
      <c r="G44" s="213" t="s">
        <v>367</v>
      </c>
      <c r="H44" s="213">
        <v>6</v>
      </c>
      <c r="I44" s="213">
        <v>600</v>
      </c>
      <c r="J44" s="213">
        <v>6</v>
      </c>
      <c r="K44" s="213">
        <v>630</v>
      </c>
      <c r="L44" s="213">
        <v>8</v>
      </c>
      <c r="M44" s="213">
        <v>1300</v>
      </c>
      <c r="N44" s="833" t="s">
        <v>20</v>
      </c>
      <c r="O44" s="567"/>
      <c r="P44" s="214"/>
      <c r="Q44" s="214">
        <v>20</v>
      </c>
      <c r="R44" s="602"/>
      <c r="S44" s="216"/>
      <c r="T44" s="567"/>
      <c r="U44" s="214"/>
      <c r="V44" s="214">
        <v>70</v>
      </c>
      <c r="W44" s="602"/>
      <c r="X44" s="216"/>
      <c r="Y44" s="567"/>
      <c r="Z44" s="214"/>
      <c r="AA44" s="214">
        <v>90</v>
      </c>
      <c r="AB44" s="214"/>
      <c r="AC44" s="602"/>
      <c r="AD44" s="720">
        <v>90</v>
      </c>
      <c r="AE44" s="583" t="s">
        <v>202</v>
      </c>
      <c r="AF44" s="584" t="s">
        <v>228</v>
      </c>
      <c r="AG44" s="612" t="s">
        <v>115</v>
      </c>
      <c r="AH44" s="559" t="s">
        <v>94</v>
      </c>
      <c r="AI44" s="215" t="s">
        <v>294</v>
      </c>
      <c r="AJ44" s="837" t="s">
        <v>156</v>
      </c>
      <c r="AK44" s="744">
        <v>27000</v>
      </c>
      <c r="AL44" s="603" t="s">
        <v>168</v>
      </c>
      <c r="AM44" s="320"/>
      <c r="AN44" s="320"/>
      <c r="AO44" s="320"/>
      <c r="AP44" s="320"/>
      <c r="AQ44" s="320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320"/>
      <c r="BI44" s="320"/>
      <c r="BJ44" s="320"/>
      <c r="BK44" s="320"/>
      <c r="BL44" s="320"/>
      <c r="BM44" s="320"/>
      <c r="BN44" s="320"/>
      <c r="BO44" s="320"/>
      <c r="BP44" s="320"/>
      <c r="BQ44" s="320"/>
      <c r="BR44" s="320"/>
      <c r="BS44" s="320"/>
      <c r="BT44" s="320"/>
      <c r="BU44" s="320"/>
      <c r="BV44" s="320"/>
      <c r="BW44" s="320"/>
      <c r="BX44" s="320"/>
      <c r="BY44" s="320"/>
      <c r="BZ44" s="320"/>
      <c r="CA44" s="320"/>
      <c r="CB44" s="320"/>
      <c r="CC44" s="320"/>
      <c r="CD44" s="320"/>
      <c r="CE44" s="320"/>
      <c r="CF44" s="320"/>
      <c r="CG44" s="320"/>
      <c r="CH44" s="320"/>
      <c r="CI44" s="320"/>
      <c r="CJ44" s="320"/>
      <c r="CK44" s="320"/>
      <c r="CL44" s="320"/>
      <c r="CM44" s="320"/>
      <c r="CN44" s="320"/>
      <c r="CO44" s="320"/>
      <c r="CP44" s="320"/>
      <c r="CQ44" s="320"/>
    </row>
    <row r="45" spans="1:95" s="219" customFormat="1" ht="17.25" customHeight="1" x14ac:dyDescent="0.3">
      <c r="A45" s="560">
        <v>102061519</v>
      </c>
      <c r="B45" s="561" t="s">
        <v>169</v>
      </c>
      <c r="C45" s="561" t="s">
        <v>170</v>
      </c>
      <c r="D45" s="558" t="s">
        <v>248</v>
      </c>
      <c r="E45" s="146" t="s">
        <v>433</v>
      </c>
      <c r="F45" s="146" t="s">
        <v>434</v>
      </c>
      <c r="G45" s="213" t="s">
        <v>117</v>
      </c>
      <c r="H45" s="213">
        <v>8</v>
      </c>
      <c r="I45" s="213">
        <v>1540</v>
      </c>
      <c r="J45" s="213">
        <v>8</v>
      </c>
      <c r="K45" s="213">
        <v>1600</v>
      </c>
      <c r="L45" s="213">
        <v>8</v>
      </c>
      <c r="M45" s="213">
        <v>2200</v>
      </c>
      <c r="N45" s="836" t="s">
        <v>234</v>
      </c>
      <c r="O45" s="567"/>
      <c r="P45" s="214"/>
      <c r="Q45" s="214"/>
      <c r="R45" s="602"/>
      <c r="S45" s="216"/>
      <c r="T45" s="567"/>
      <c r="U45" s="214">
        <v>2</v>
      </c>
      <c r="V45" s="214">
        <v>2</v>
      </c>
      <c r="W45" s="602"/>
      <c r="X45" s="216">
        <v>1</v>
      </c>
      <c r="Y45" s="567"/>
      <c r="Z45" s="214">
        <v>2</v>
      </c>
      <c r="AA45" s="214">
        <v>2</v>
      </c>
      <c r="AB45" s="214"/>
      <c r="AC45" s="602">
        <v>1</v>
      </c>
      <c r="AD45" s="720">
        <v>5</v>
      </c>
      <c r="AE45" s="551" t="s">
        <v>202</v>
      </c>
      <c r="AF45" s="551" t="s">
        <v>259</v>
      </c>
      <c r="AG45" s="612" t="s">
        <v>115</v>
      </c>
      <c r="AH45" s="559" t="s">
        <v>80</v>
      </c>
      <c r="AI45" s="215" t="s">
        <v>179</v>
      </c>
      <c r="AJ45" s="837" t="s">
        <v>156</v>
      </c>
      <c r="AK45" s="744">
        <v>120820</v>
      </c>
      <c r="AL45" s="603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</row>
    <row r="46" spans="1:95" s="219" customFormat="1" ht="17.25" customHeight="1" x14ac:dyDescent="0.3">
      <c r="A46" s="560">
        <v>103064519</v>
      </c>
      <c r="B46" s="561" t="s">
        <v>373</v>
      </c>
      <c r="C46" s="561" t="s">
        <v>374</v>
      </c>
      <c r="D46" s="558" t="s">
        <v>375</v>
      </c>
      <c r="E46" s="338" t="s">
        <v>524</v>
      </c>
      <c r="F46" s="147" t="s">
        <v>523</v>
      </c>
      <c r="G46" s="147" t="s">
        <v>117</v>
      </c>
      <c r="H46" s="213">
        <v>8</v>
      </c>
      <c r="I46" s="213">
        <v>1300</v>
      </c>
      <c r="J46" s="213">
        <v>8</v>
      </c>
      <c r="K46" s="213">
        <v>1330</v>
      </c>
      <c r="L46" s="213">
        <v>8</v>
      </c>
      <c r="M46" s="213">
        <v>2215</v>
      </c>
      <c r="N46" s="836" t="s">
        <v>19</v>
      </c>
      <c r="O46" s="567"/>
      <c r="P46" s="214">
        <v>40</v>
      </c>
      <c r="Q46" s="214"/>
      <c r="R46" s="602"/>
      <c r="S46" s="216"/>
      <c r="T46" s="567"/>
      <c r="U46" s="214"/>
      <c r="V46" s="214"/>
      <c r="W46" s="602"/>
      <c r="X46" s="216">
        <v>7</v>
      </c>
      <c r="Y46" s="567"/>
      <c r="Z46" s="214">
        <v>40</v>
      </c>
      <c r="AA46" s="214"/>
      <c r="AB46" s="214"/>
      <c r="AC46" s="602">
        <v>7</v>
      </c>
      <c r="AD46" s="720">
        <v>47</v>
      </c>
      <c r="AE46" s="583" t="s">
        <v>202</v>
      </c>
      <c r="AF46" s="584" t="s">
        <v>228</v>
      </c>
      <c r="AG46" s="612" t="s">
        <v>115</v>
      </c>
      <c r="AH46" s="839" t="s">
        <v>29</v>
      </c>
      <c r="AI46" s="215" t="s">
        <v>179</v>
      </c>
      <c r="AJ46" s="835" t="s">
        <v>151</v>
      </c>
      <c r="AK46" s="744">
        <v>843900</v>
      </c>
      <c r="AL46" s="603" t="s">
        <v>168</v>
      </c>
      <c r="AM46" s="320"/>
      <c r="AN46" s="320"/>
      <c r="AO46" s="320"/>
      <c r="AP46" s="320"/>
      <c r="AQ46" s="320"/>
      <c r="AR46" s="320"/>
      <c r="AS46" s="320"/>
      <c r="AT46" s="320"/>
      <c r="AU46" s="320"/>
      <c r="AV46" s="320"/>
      <c r="AW46" s="320"/>
      <c r="AX46" s="320"/>
      <c r="AY46" s="320"/>
      <c r="AZ46" s="320"/>
      <c r="BA46" s="320"/>
      <c r="BB46" s="320"/>
      <c r="BC46" s="320"/>
      <c r="BD46" s="320"/>
      <c r="BE46" s="320"/>
      <c r="BF46" s="320"/>
      <c r="BG46" s="320"/>
      <c r="BH46" s="320"/>
      <c r="BI46" s="320"/>
      <c r="BJ46" s="320"/>
      <c r="BK46" s="320"/>
      <c r="BL46" s="320"/>
      <c r="BM46" s="320"/>
      <c r="BN46" s="320"/>
      <c r="BO46" s="320"/>
      <c r="BP46" s="320"/>
      <c r="BQ46" s="320"/>
      <c r="BR46" s="320"/>
      <c r="BS46" s="320"/>
      <c r="BT46" s="320"/>
      <c r="BU46" s="320"/>
      <c r="BV46" s="320"/>
      <c r="BW46" s="320"/>
      <c r="BX46" s="320"/>
      <c r="BY46" s="320"/>
      <c r="BZ46" s="320"/>
      <c r="CA46" s="320"/>
      <c r="CB46" s="320"/>
      <c r="CC46" s="320"/>
      <c r="CD46" s="320"/>
      <c r="CE46" s="320"/>
      <c r="CF46" s="320"/>
      <c r="CG46" s="320"/>
      <c r="CH46" s="320"/>
      <c r="CI46" s="320"/>
      <c r="CJ46" s="320"/>
      <c r="CK46" s="320"/>
      <c r="CL46" s="320"/>
      <c r="CM46" s="320"/>
      <c r="CN46" s="320"/>
      <c r="CO46" s="320"/>
      <c r="CP46" s="320"/>
      <c r="CQ46" s="320"/>
    </row>
    <row r="47" spans="1:95" s="219" customFormat="1" ht="17.25" customHeight="1" x14ac:dyDescent="0.3">
      <c r="A47" s="206">
        <v>104060819</v>
      </c>
      <c r="B47" s="212" t="s">
        <v>282</v>
      </c>
      <c r="C47" s="212" t="s">
        <v>282</v>
      </c>
      <c r="D47" s="558" t="s">
        <v>377</v>
      </c>
      <c r="E47" s="338" t="s">
        <v>526</v>
      </c>
      <c r="F47" s="147" t="s">
        <v>525</v>
      </c>
      <c r="G47" s="147" t="s">
        <v>117</v>
      </c>
      <c r="H47" s="213">
        <v>9</v>
      </c>
      <c r="I47" s="213">
        <v>1230</v>
      </c>
      <c r="J47" s="213">
        <v>9</v>
      </c>
      <c r="K47" s="213">
        <v>1300</v>
      </c>
      <c r="L47" s="213">
        <v>9</v>
      </c>
      <c r="M47" s="213">
        <v>1545</v>
      </c>
      <c r="N47" s="833" t="s">
        <v>20</v>
      </c>
      <c r="O47" s="567"/>
      <c r="P47" s="214"/>
      <c r="Q47" s="214"/>
      <c r="R47" s="602"/>
      <c r="S47" s="216"/>
      <c r="T47" s="567"/>
      <c r="U47" s="214"/>
      <c r="V47" s="214">
        <v>1.5</v>
      </c>
      <c r="W47" s="602"/>
      <c r="X47" s="216"/>
      <c r="Y47" s="567"/>
      <c r="Z47" s="214"/>
      <c r="AA47" s="214">
        <v>1.5</v>
      </c>
      <c r="AB47" s="214"/>
      <c r="AC47" s="602"/>
      <c r="AD47" s="720">
        <v>1.5</v>
      </c>
      <c r="AE47" s="551" t="s">
        <v>202</v>
      </c>
      <c r="AF47" s="551" t="s">
        <v>238</v>
      </c>
      <c r="AG47" s="612" t="s">
        <v>115</v>
      </c>
      <c r="AH47" s="839" t="s">
        <v>29</v>
      </c>
      <c r="AI47" s="215" t="s">
        <v>179</v>
      </c>
      <c r="AJ47" s="835" t="s">
        <v>151</v>
      </c>
      <c r="AK47" s="744">
        <v>450</v>
      </c>
      <c r="AL47" s="603"/>
      <c r="AM47" s="320"/>
      <c r="AN47" s="320"/>
      <c r="AO47" s="320"/>
      <c r="AP47" s="320"/>
      <c r="AQ47" s="320"/>
      <c r="AR47" s="320"/>
      <c r="AS47" s="320"/>
      <c r="AT47" s="320"/>
      <c r="AU47" s="320"/>
      <c r="AV47" s="320"/>
      <c r="AW47" s="320"/>
      <c r="AX47" s="320"/>
      <c r="AY47" s="320"/>
      <c r="AZ47" s="320"/>
      <c r="BA47" s="320"/>
      <c r="BB47" s="320"/>
      <c r="BC47" s="320"/>
      <c r="BD47" s="320"/>
      <c r="BE47" s="320"/>
      <c r="BF47" s="320"/>
      <c r="BG47" s="320"/>
      <c r="BH47" s="320"/>
      <c r="BI47" s="320"/>
      <c r="BJ47" s="320"/>
      <c r="BK47" s="320"/>
      <c r="BL47" s="320"/>
      <c r="BM47" s="320"/>
      <c r="BN47" s="320"/>
      <c r="BO47" s="320"/>
      <c r="BP47" s="320"/>
      <c r="BQ47" s="320"/>
      <c r="BR47" s="320"/>
      <c r="BS47" s="320"/>
      <c r="BT47" s="320"/>
      <c r="BU47" s="320"/>
      <c r="BV47" s="320"/>
      <c r="BW47" s="320"/>
      <c r="BX47" s="320"/>
      <c r="BY47" s="320"/>
      <c r="BZ47" s="320"/>
      <c r="CA47" s="320"/>
      <c r="CB47" s="320"/>
      <c r="CC47" s="320"/>
      <c r="CD47" s="320"/>
      <c r="CE47" s="320"/>
      <c r="CF47" s="320"/>
      <c r="CG47" s="320"/>
      <c r="CH47" s="320"/>
      <c r="CI47" s="320"/>
      <c r="CJ47" s="320"/>
      <c r="CK47" s="320"/>
      <c r="CL47" s="320"/>
      <c r="CM47" s="320"/>
      <c r="CN47" s="320"/>
      <c r="CO47" s="320"/>
      <c r="CP47" s="320"/>
      <c r="CQ47" s="320"/>
    </row>
    <row r="48" spans="1:95" s="219" customFormat="1" ht="17.25" customHeight="1" x14ac:dyDescent="0.3">
      <c r="A48" s="611">
        <v>105062019</v>
      </c>
      <c r="B48" s="563" t="s">
        <v>243</v>
      </c>
      <c r="C48" s="550" t="s">
        <v>243</v>
      </c>
      <c r="D48" s="558" t="s">
        <v>552</v>
      </c>
      <c r="E48" s="338" t="s">
        <v>528</v>
      </c>
      <c r="F48" s="147" t="s">
        <v>527</v>
      </c>
      <c r="G48" s="147" t="s">
        <v>117</v>
      </c>
      <c r="H48" s="213">
        <v>9</v>
      </c>
      <c r="I48" s="213">
        <v>1435</v>
      </c>
      <c r="J48" s="213">
        <v>9</v>
      </c>
      <c r="K48" s="213">
        <v>1445</v>
      </c>
      <c r="L48" s="213">
        <v>9</v>
      </c>
      <c r="M48" s="213">
        <v>2330</v>
      </c>
      <c r="N48" s="836" t="s">
        <v>19</v>
      </c>
      <c r="O48" s="567"/>
      <c r="P48" s="214">
        <v>6</v>
      </c>
      <c r="Q48" s="214"/>
      <c r="R48" s="602"/>
      <c r="S48" s="216"/>
      <c r="T48" s="567"/>
      <c r="U48" s="214"/>
      <c r="V48" s="214"/>
      <c r="W48" s="602"/>
      <c r="X48" s="216"/>
      <c r="Y48" s="567"/>
      <c r="Z48" s="214">
        <v>6</v>
      </c>
      <c r="AA48" s="214"/>
      <c r="AB48" s="214"/>
      <c r="AC48" s="602"/>
      <c r="AD48" s="720">
        <v>6</v>
      </c>
      <c r="AE48" s="583" t="s">
        <v>202</v>
      </c>
      <c r="AF48" s="584" t="s">
        <v>228</v>
      </c>
      <c r="AG48" s="612" t="s">
        <v>115</v>
      </c>
      <c r="AH48" s="559" t="s">
        <v>79</v>
      </c>
      <c r="AI48" s="215" t="s">
        <v>179</v>
      </c>
      <c r="AJ48" s="837" t="s">
        <v>156</v>
      </c>
      <c r="AK48" s="744">
        <v>3624</v>
      </c>
      <c r="AL48" s="603" t="s">
        <v>168</v>
      </c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  <c r="BL48" s="320"/>
      <c r="BM48" s="320"/>
      <c r="BN48" s="320"/>
      <c r="BO48" s="320"/>
      <c r="BP48" s="320"/>
      <c r="BQ48" s="320"/>
      <c r="BR48" s="320"/>
      <c r="BS48" s="320"/>
      <c r="BT48" s="320"/>
      <c r="BU48" s="320"/>
      <c r="BV48" s="320"/>
      <c r="BW48" s="320"/>
      <c r="BX48" s="320"/>
      <c r="BY48" s="320"/>
      <c r="BZ48" s="320"/>
      <c r="CA48" s="320"/>
      <c r="CB48" s="320"/>
      <c r="CC48" s="320"/>
      <c r="CD48" s="320"/>
      <c r="CE48" s="320"/>
      <c r="CF48" s="320"/>
      <c r="CG48" s="320"/>
      <c r="CH48" s="320"/>
      <c r="CI48" s="320"/>
      <c r="CJ48" s="320"/>
      <c r="CK48" s="320"/>
      <c r="CL48" s="320"/>
      <c r="CM48" s="320"/>
      <c r="CN48" s="320"/>
      <c r="CO48" s="320"/>
      <c r="CP48" s="320"/>
      <c r="CQ48" s="320"/>
    </row>
    <row r="49" spans="1:95" s="219" customFormat="1" ht="17.25" customHeight="1" x14ac:dyDescent="0.3">
      <c r="A49" s="206">
        <v>106060819</v>
      </c>
      <c r="B49" s="212" t="s">
        <v>282</v>
      </c>
      <c r="C49" s="212" t="s">
        <v>282</v>
      </c>
      <c r="D49" s="558" t="s">
        <v>553</v>
      </c>
      <c r="E49" s="338" t="s">
        <v>534</v>
      </c>
      <c r="F49" s="147" t="s">
        <v>533</v>
      </c>
      <c r="G49" s="147" t="s">
        <v>117</v>
      </c>
      <c r="H49" s="213">
        <v>10</v>
      </c>
      <c r="I49" s="213">
        <v>1400</v>
      </c>
      <c r="J49" s="213">
        <v>10</v>
      </c>
      <c r="K49" s="213">
        <v>1430</v>
      </c>
      <c r="L49" s="213">
        <v>10</v>
      </c>
      <c r="M49" s="213">
        <v>1630</v>
      </c>
      <c r="N49" s="840"/>
      <c r="O49" s="567"/>
      <c r="P49" s="214"/>
      <c r="Q49" s="214"/>
      <c r="R49" s="602"/>
      <c r="S49" s="216"/>
      <c r="T49" s="567"/>
      <c r="U49" s="214"/>
      <c r="V49" s="214"/>
      <c r="W49" s="602"/>
      <c r="X49" s="216">
        <v>1</v>
      </c>
      <c r="Y49" s="567"/>
      <c r="Z49" s="214"/>
      <c r="AA49" s="214"/>
      <c r="AB49" s="214"/>
      <c r="AC49" s="602">
        <v>1</v>
      </c>
      <c r="AD49" s="720">
        <v>1</v>
      </c>
      <c r="AE49" s="551" t="s">
        <v>202</v>
      </c>
      <c r="AF49" s="551" t="s">
        <v>238</v>
      </c>
      <c r="AG49" s="612" t="s">
        <v>115</v>
      </c>
      <c r="AH49" s="559" t="s">
        <v>79</v>
      </c>
      <c r="AI49" s="215" t="s">
        <v>179</v>
      </c>
      <c r="AJ49" s="837" t="s">
        <v>156</v>
      </c>
      <c r="AK49" s="744">
        <v>120000</v>
      </c>
      <c r="AL49" s="603"/>
      <c r="AM49" s="320"/>
      <c r="AN49" s="320"/>
      <c r="AO49" s="320"/>
      <c r="AP49" s="320"/>
      <c r="AQ49" s="320"/>
      <c r="AR49" s="320"/>
      <c r="AS49" s="320"/>
      <c r="AT49" s="320"/>
      <c r="AU49" s="320"/>
      <c r="AV49" s="320"/>
      <c r="AW49" s="320"/>
      <c r="AX49" s="320"/>
      <c r="AY49" s="320"/>
      <c r="AZ49" s="320"/>
      <c r="BA49" s="320"/>
      <c r="BB49" s="320"/>
      <c r="BC49" s="320"/>
      <c r="BD49" s="320"/>
      <c r="BE49" s="320"/>
      <c r="BF49" s="320"/>
      <c r="BG49" s="320"/>
      <c r="BH49" s="320"/>
      <c r="BI49" s="320"/>
      <c r="BJ49" s="320"/>
      <c r="BK49" s="320"/>
      <c r="BL49" s="320"/>
      <c r="BM49" s="320"/>
      <c r="BN49" s="320"/>
      <c r="BO49" s="320"/>
      <c r="BP49" s="320"/>
      <c r="BQ49" s="320"/>
      <c r="BR49" s="320"/>
      <c r="BS49" s="320"/>
      <c r="BT49" s="320"/>
      <c r="BU49" s="320"/>
      <c r="BV49" s="320"/>
      <c r="BW49" s="320"/>
      <c r="BX49" s="320"/>
      <c r="BY49" s="320"/>
      <c r="BZ49" s="320"/>
      <c r="CA49" s="320"/>
      <c r="CB49" s="320"/>
      <c r="CC49" s="320"/>
      <c r="CD49" s="320"/>
      <c r="CE49" s="320"/>
      <c r="CF49" s="320"/>
      <c r="CG49" s="320"/>
      <c r="CH49" s="320"/>
      <c r="CI49" s="320"/>
      <c r="CJ49" s="320"/>
      <c r="CK49" s="320"/>
      <c r="CL49" s="320"/>
      <c r="CM49" s="320"/>
      <c r="CN49" s="320"/>
      <c r="CO49" s="320"/>
      <c r="CP49" s="320"/>
      <c r="CQ49" s="320"/>
    </row>
    <row r="50" spans="1:95" s="219" customFormat="1" ht="17.25" customHeight="1" x14ac:dyDescent="0.3">
      <c r="A50" s="206">
        <v>107064119</v>
      </c>
      <c r="B50" s="212" t="s">
        <v>282</v>
      </c>
      <c r="C50" s="212" t="s">
        <v>295</v>
      </c>
      <c r="D50" s="558" t="s">
        <v>378</v>
      </c>
      <c r="E50" s="338" t="s">
        <v>530</v>
      </c>
      <c r="F50" s="147" t="s">
        <v>529</v>
      </c>
      <c r="G50" s="147" t="s">
        <v>117</v>
      </c>
      <c r="H50" s="213">
        <v>9</v>
      </c>
      <c r="I50" s="213">
        <v>2110</v>
      </c>
      <c r="J50" s="213">
        <v>9</v>
      </c>
      <c r="K50" s="213">
        <v>2130</v>
      </c>
      <c r="L50" s="213">
        <v>10</v>
      </c>
      <c r="M50" s="213">
        <v>1800</v>
      </c>
      <c r="N50" s="838" t="s">
        <v>241</v>
      </c>
      <c r="O50" s="567">
        <v>2</v>
      </c>
      <c r="P50" s="214"/>
      <c r="Q50" s="214">
        <v>2</v>
      </c>
      <c r="R50" s="602"/>
      <c r="S50" s="216"/>
      <c r="T50" s="567"/>
      <c r="U50" s="214"/>
      <c r="V50" s="214"/>
      <c r="W50" s="602"/>
      <c r="X50" s="216"/>
      <c r="Y50" s="567">
        <v>2</v>
      </c>
      <c r="Z50" s="214"/>
      <c r="AA50" s="214">
        <v>2</v>
      </c>
      <c r="AB50" s="214"/>
      <c r="AC50" s="602"/>
      <c r="AD50" s="720">
        <v>4</v>
      </c>
      <c r="AE50" s="583" t="s">
        <v>202</v>
      </c>
      <c r="AF50" s="584" t="s">
        <v>228</v>
      </c>
      <c r="AG50" s="612" t="s">
        <v>115</v>
      </c>
      <c r="AH50" s="559" t="s">
        <v>79</v>
      </c>
      <c r="AI50" s="215" t="s">
        <v>179</v>
      </c>
      <c r="AJ50" s="835" t="s">
        <v>216</v>
      </c>
      <c r="AK50" s="744">
        <v>624</v>
      </c>
      <c r="AL50" s="603" t="s">
        <v>168</v>
      </c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0"/>
      <c r="BR50" s="320"/>
      <c r="BS50" s="320"/>
      <c r="BT50" s="320"/>
      <c r="BU50" s="320"/>
      <c r="BV50" s="320"/>
      <c r="BW50" s="320"/>
      <c r="BX50" s="320"/>
      <c r="BY50" s="320"/>
      <c r="BZ50" s="320"/>
      <c r="CA50" s="320"/>
      <c r="CB50" s="320"/>
      <c r="CC50" s="320"/>
      <c r="CD50" s="320"/>
      <c r="CE50" s="320"/>
      <c r="CF50" s="320"/>
      <c r="CG50" s="320"/>
      <c r="CH50" s="320"/>
      <c r="CI50" s="320"/>
      <c r="CJ50" s="320"/>
      <c r="CK50" s="320"/>
      <c r="CL50" s="320"/>
      <c r="CM50" s="320"/>
      <c r="CN50" s="320"/>
      <c r="CO50" s="320"/>
      <c r="CP50" s="320"/>
      <c r="CQ50" s="320"/>
    </row>
    <row r="51" spans="1:95" s="219" customFormat="1" ht="17.25" customHeight="1" x14ac:dyDescent="0.3">
      <c r="A51" s="206">
        <v>108064119</v>
      </c>
      <c r="B51" s="212" t="s">
        <v>282</v>
      </c>
      <c r="C51" s="212" t="s">
        <v>295</v>
      </c>
      <c r="D51" s="558" t="s">
        <v>365</v>
      </c>
      <c r="E51" s="338" t="s">
        <v>535</v>
      </c>
      <c r="F51" s="147" t="s">
        <v>559</v>
      </c>
      <c r="G51" s="147" t="s">
        <v>117</v>
      </c>
      <c r="H51" s="213">
        <v>10</v>
      </c>
      <c r="I51" s="213">
        <v>1745</v>
      </c>
      <c r="J51" s="213">
        <v>10</v>
      </c>
      <c r="K51" s="213">
        <v>1810</v>
      </c>
      <c r="L51" s="213">
        <v>10</v>
      </c>
      <c r="M51" s="213">
        <v>1945</v>
      </c>
      <c r="N51" s="836" t="s">
        <v>234</v>
      </c>
      <c r="O51" s="567"/>
      <c r="P51" s="214">
        <v>1</v>
      </c>
      <c r="Q51" s="214">
        <v>4</v>
      </c>
      <c r="R51" s="602"/>
      <c r="S51" s="216"/>
      <c r="T51" s="567"/>
      <c r="U51" s="214"/>
      <c r="V51" s="214"/>
      <c r="W51" s="602"/>
      <c r="X51" s="216"/>
      <c r="Y51" s="567"/>
      <c r="Z51" s="214">
        <v>1</v>
      </c>
      <c r="AA51" s="214">
        <v>4</v>
      </c>
      <c r="AB51" s="214"/>
      <c r="AC51" s="602"/>
      <c r="AD51" s="720">
        <v>5</v>
      </c>
      <c r="AE51" s="551" t="s">
        <v>202</v>
      </c>
      <c r="AF51" s="551" t="s">
        <v>238</v>
      </c>
      <c r="AG51" s="612" t="s">
        <v>115</v>
      </c>
      <c r="AH51" s="559" t="s">
        <v>79</v>
      </c>
      <c r="AI51" s="215" t="s">
        <v>179</v>
      </c>
      <c r="AJ51" s="837" t="s">
        <v>156</v>
      </c>
      <c r="AK51" s="744">
        <v>6000</v>
      </c>
      <c r="AL51" s="603" t="s">
        <v>168</v>
      </c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0"/>
      <c r="BI51" s="320"/>
      <c r="BJ51" s="320"/>
      <c r="BK51" s="320"/>
      <c r="BL51" s="320"/>
      <c r="BM51" s="320"/>
      <c r="BN51" s="320"/>
      <c r="BO51" s="320"/>
      <c r="BP51" s="320"/>
      <c r="BQ51" s="320"/>
      <c r="BR51" s="320"/>
      <c r="BS51" s="320"/>
      <c r="BT51" s="320"/>
      <c r="BU51" s="320"/>
      <c r="BV51" s="320"/>
      <c r="BW51" s="320"/>
      <c r="BX51" s="320"/>
      <c r="BY51" s="320"/>
      <c r="BZ51" s="320"/>
      <c r="CA51" s="320"/>
      <c r="CB51" s="320"/>
      <c r="CC51" s="320"/>
      <c r="CD51" s="320"/>
      <c r="CE51" s="320"/>
      <c r="CF51" s="320"/>
      <c r="CG51" s="320"/>
      <c r="CH51" s="320"/>
      <c r="CI51" s="320"/>
      <c r="CJ51" s="320"/>
      <c r="CK51" s="320"/>
      <c r="CL51" s="320"/>
      <c r="CM51" s="320"/>
      <c r="CN51" s="320"/>
      <c r="CO51" s="320"/>
      <c r="CP51" s="320"/>
      <c r="CQ51" s="320"/>
    </row>
    <row r="52" spans="1:95" s="219" customFormat="1" ht="17.25" customHeight="1" x14ac:dyDescent="0.3">
      <c r="A52" s="206">
        <v>109064119</v>
      </c>
      <c r="B52" s="212" t="s">
        <v>282</v>
      </c>
      <c r="C52" s="212" t="s">
        <v>295</v>
      </c>
      <c r="D52" s="558" t="s">
        <v>365</v>
      </c>
      <c r="E52" s="338" t="s">
        <v>532</v>
      </c>
      <c r="F52" s="147" t="s">
        <v>531</v>
      </c>
      <c r="G52" s="147" t="s">
        <v>117</v>
      </c>
      <c r="H52" s="213">
        <v>10</v>
      </c>
      <c r="I52" s="213">
        <v>815</v>
      </c>
      <c r="J52" s="213">
        <v>10</v>
      </c>
      <c r="K52" s="213">
        <v>830</v>
      </c>
      <c r="L52" s="213">
        <v>11</v>
      </c>
      <c r="M52" s="213">
        <v>2000</v>
      </c>
      <c r="N52" s="836" t="s">
        <v>252</v>
      </c>
      <c r="O52" s="567">
        <v>6</v>
      </c>
      <c r="P52" s="214">
        <v>3</v>
      </c>
      <c r="Q52" s="214"/>
      <c r="R52" s="602"/>
      <c r="S52" s="216"/>
      <c r="T52" s="567"/>
      <c r="U52" s="214"/>
      <c r="V52" s="214"/>
      <c r="W52" s="602"/>
      <c r="X52" s="216"/>
      <c r="Y52" s="567">
        <v>6</v>
      </c>
      <c r="Z52" s="214">
        <v>3</v>
      </c>
      <c r="AA52" s="214"/>
      <c r="AB52" s="214"/>
      <c r="AC52" s="602"/>
      <c r="AD52" s="720">
        <v>9</v>
      </c>
      <c r="AE52" s="583" t="s">
        <v>202</v>
      </c>
      <c r="AF52" s="584" t="s">
        <v>228</v>
      </c>
      <c r="AG52" s="612" t="s">
        <v>115</v>
      </c>
      <c r="AH52" s="834" t="s">
        <v>78</v>
      </c>
      <c r="AI52" s="215" t="s">
        <v>179</v>
      </c>
      <c r="AJ52" s="835" t="s">
        <v>151</v>
      </c>
      <c r="AK52" s="744">
        <v>3648</v>
      </c>
      <c r="AL52" s="603" t="s">
        <v>168</v>
      </c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  <c r="BX52" s="320"/>
      <c r="BY52" s="320"/>
      <c r="BZ52" s="320"/>
      <c r="CA52" s="320"/>
      <c r="CB52" s="320"/>
      <c r="CC52" s="320"/>
      <c r="CD52" s="320"/>
      <c r="CE52" s="320"/>
      <c r="CF52" s="320"/>
      <c r="CG52" s="320"/>
      <c r="CH52" s="320"/>
      <c r="CI52" s="320"/>
      <c r="CJ52" s="320"/>
      <c r="CK52" s="320"/>
      <c r="CL52" s="320"/>
      <c r="CM52" s="320"/>
      <c r="CN52" s="320"/>
      <c r="CO52" s="320"/>
      <c r="CP52" s="320"/>
      <c r="CQ52" s="320"/>
    </row>
    <row r="53" spans="1:95" s="219" customFormat="1" ht="17.25" customHeight="1" x14ac:dyDescent="0.3">
      <c r="A53" s="206">
        <v>110064119</v>
      </c>
      <c r="B53" s="212" t="s">
        <v>282</v>
      </c>
      <c r="C53" s="212" t="s">
        <v>295</v>
      </c>
      <c r="D53" s="558" t="s">
        <v>378</v>
      </c>
      <c r="E53" s="338" t="s">
        <v>539</v>
      </c>
      <c r="F53" s="147" t="s">
        <v>538</v>
      </c>
      <c r="G53" s="147" t="s">
        <v>117</v>
      </c>
      <c r="H53" s="213">
        <v>11</v>
      </c>
      <c r="I53" s="213">
        <v>1900</v>
      </c>
      <c r="J53" s="213">
        <v>11</v>
      </c>
      <c r="K53" s="213">
        <v>1930</v>
      </c>
      <c r="L53" s="213">
        <v>12</v>
      </c>
      <c r="M53" s="213">
        <v>600</v>
      </c>
      <c r="N53" s="838" t="s">
        <v>241</v>
      </c>
      <c r="O53" s="567">
        <v>8</v>
      </c>
      <c r="P53" s="214">
        <v>6</v>
      </c>
      <c r="Q53" s="214">
        <v>6</v>
      </c>
      <c r="R53" s="602"/>
      <c r="S53" s="216"/>
      <c r="T53" s="567"/>
      <c r="U53" s="214"/>
      <c r="V53" s="214"/>
      <c r="W53" s="602"/>
      <c r="X53" s="216"/>
      <c r="Y53" s="567">
        <v>8</v>
      </c>
      <c r="Z53" s="214">
        <v>6</v>
      </c>
      <c r="AA53" s="214">
        <v>6</v>
      </c>
      <c r="AB53" s="214"/>
      <c r="AC53" s="602"/>
      <c r="AD53" s="720">
        <v>20</v>
      </c>
      <c r="AE53" s="583" t="s">
        <v>202</v>
      </c>
      <c r="AF53" s="584" t="s">
        <v>228</v>
      </c>
      <c r="AG53" s="612" t="s">
        <v>115</v>
      </c>
      <c r="AH53" s="559" t="s">
        <v>79</v>
      </c>
      <c r="AI53" s="215" t="s">
        <v>179</v>
      </c>
      <c r="AJ53" s="837" t="s">
        <v>299</v>
      </c>
      <c r="AK53" s="742">
        <v>8864</v>
      </c>
      <c r="AL53" s="216" t="s">
        <v>168</v>
      </c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</row>
    <row r="54" spans="1:95" s="219" customFormat="1" ht="17.25" customHeight="1" x14ac:dyDescent="0.3">
      <c r="A54" s="206">
        <v>111062019</v>
      </c>
      <c r="B54" s="563" t="s">
        <v>243</v>
      </c>
      <c r="C54" s="550" t="s">
        <v>243</v>
      </c>
      <c r="D54" s="558" t="s">
        <v>244</v>
      </c>
      <c r="E54" s="338" t="s">
        <v>537</v>
      </c>
      <c r="F54" s="147" t="s">
        <v>536</v>
      </c>
      <c r="G54" s="147" t="s">
        <v>117</v>
      </c>
      <c r="H54" s="213">
        <v>11</v>
      </c>
      <c r="I54" s="213">
        <v>1500</v>
      </c>
      <c r="J54" s="213">
        <v>11</v>
      </c>
      <c r="K54" s="213">
        <v>1530</v>
      </c>
      <c r="L54" s="213">
        <v>12</v>
      </c>
      <c r="M54" s="213">
        <v>900</v>
      </c>
      <c r="N54" s="838" t="s">
        <v>241</v>
      </c>
      <c r="O54" s="567">
        <v>15</v>
      </c>
      <c r="P54" s="214"/>
      <c r="Q54" s="214">
        <v>45</v>
      </c>
      <c r="R54" s="602"/>
      <c r="S54" s="216"/>
      <c r="T54" s="567"/>
      <c r="U54" s="214"/>
      <c r="V54" s="214"/>
      <c r="W54" s="602"/>
      <c r="X54" s="216"/>
      <c r="Y54" s="567">
        <v>15</v>
      </c>
      <c r="Z54" s="214"/>
      <c r="AA54" s="214">
        <v>45</v>
      </c>
      <c r="AB54" s="214"/>
      <c r="AC54" s="602"/>
      <c r="AD54" s="720">
        <v>60</v>
      </c>
      <c r="AE54" s="583" t="s">
        <v>202</v>
      </c>
      <c r="AF54" s="845" t="s">
        <v>228</v>
      </c>
      <c r="AG54" s="612" t="s">
        <v>115</v>
      </c>
      <c r="AH54" s="559" t="s">
        <v>79</v>
      </c>
      <c r="AI54" s="215" t="s">
        <v>179</v>
      </c>
      <c r="AJ54" s="837" t="s">
        <v>299</v>
      </c>
      <c r="AK54" s="742">
        <v>18348</v>
      </c>
      <c r="AL54" s="216" t="s">
        <v>168</v>
      </c>
      <c r="AM54" s="320"/>
      <c r="AN54" s="320"/>
      <c r="AO54" s="320"/>
      <c r="AP54" s="320"/>
      <c r="AQ54" s="320"/>
      <c r="AR54" s="320"/>
      <c r="AS54" s="320"/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20"/>
      <c r="BF54" s="320"/>
      <c r="BG54" s="320"/>
      <c r="BH54" s="320"/>
      <c r="BI54" s="320"/>
      <c r="BJ54" s="320"/>
      <c r="BK54" s="320"/>
      <c r="BL54" s="320"/>
      <c r="BM54" s="320"/>
      <c r="BN54" s="320"/>
      <c r="BO54" s="320"/>
      <c r="BP54" s="320"/>
      <c r="BQ54" s="320"/>
      <c r="BR54" s="320"/>
      <c r="BS54" s="320"/>
      <c r="BT54" s="320"/>
      <c r="BU54" s="320"/>
      <c r="BV54" s="320"/>
      <c r="BW54" s="320"/>
      <c r="BX54" s="320"/>
      <c r="BY54" s="320"/>
      <c r="BZ54" s="320"/>
      <c r="CA54" s="320"/>
      <c r="CB54" s="320"/>
      <c r="CC54" s="320"/>
      <c r="CD54" s="320"/>
      <c r="CE54" s="320"/>
      <c r="CF54" s="320"/>
      <c r="CG54" s="320"/>
      <c r="CH54" s="320"/>
      <c r="CI54" s="320"/>
      <c r="CJ54" s="320"/>
      <c r="CK54" s="320"/>
      <c r="CL54" s="320"/>
      <c r="CM54" s="320"/>
      <c r="CN54" s="320"/>
      <c r="CO54" s="320"/>
      <c r="CP54" s="320"/>
      <c r="CQ54" s="320"/>
    </row>
    <row r="55" spans="1:95" s="219" customFormat="1" ht="17.25" customHeight="1" x14ac:dyDescent="0.3">
      <c r="A55" s="206">
        <v>112060119</v>
      </c>
      <c r="B55" s="565" t="s">
        <v>300</v>
      </c>
      <c r="C55" s="561" t="s">
        <v>300</v>
      </c>
      <c r="D55" s="558" t="s">
        <v>579</v>
      </c>
      <c r="E55" s="725" t="s">
        <v>488</v>
      </c>
      <c r="F55" s="146" t="s">
        <v>489</v>
      </c>
      <c r="G55" s="147" t="s">
        <v>117</v>
      </c>
      <c r="H55" s="213">
        <v>12</v>
      </c>
      <c r="I55" s="213">
        <v>920</v>
      </c>
      <c r="J55" s="213">
        <v>12</v>
      </c>
      <c r="K55" s="213">
        <v>1000</v>
      </c>
      <c r="L55" s="213">
        <v>12</v>
      </c>
      <c r="M55" s="213">
        <v>1130</v>
      </c>
      <c r="N55" s="833" t="s">
        <v>20</v>
      </c>
      <c r="O55" s="567"/>
      <c r="P55" s="214"/>
      <c r="Q55" s="214"/>
      <c r="R55" s="602"/>
      <c r="S55" s="216"/>
      <c r="T55" s="567"/>
      <c r="U55" s="214"/>
      <c r="V55" s="214">
        <v>2</v>
      </c>
      <c r="W55" s="602"/>
      <c r="X55" s="216"/>
      <c r="Y55" s="567"/>
      <c r="Z55" s="214"/>
      <c r="AA55" s="214">
        <v>2</v>
      </c>
      <c r="AB55" s="214"/>
      <c r="AC55" s="602"/>
      <c r="AD55" s="720">
        <v>2</v>
      </c>
      <c r="AE55" s="516" t="s">
        <v>148</v>
      </c>
      <c r="AF55" s="397" t="s">
        <v>564</v>
      </c>
      <c r="AG55" s="612" t="s">
        <v>114</v>
      </c>
      <c r="AH55" s="559" t="s">
        <v>79</v>
      </c>
      <c r="AI55" s="215" t="s">
        <v>162</v>
      </c>
      <c r="AJ55" s="837" t="s">
        <v>156</v>
      </c>
      <c r="AK55" s="742">
        <v>600</v>
      </c>
      <c r="AL55" s="216"/>
      <c r="AM55" s="320"/>
      <c r="AN55" s="320"/>
      <c r="AO55" s="320"/>
      <c r="AP55" s="320"/>
      <c r="AQ55" s="320"/>
      <c r="AR55" s="320"/>
      <c r="AS55" s="320"/>
      <c r="AT55" s="320"/>
      <c r="AU55" s="320"/>
      <c r="AV55" s="320"/>
      <c r="AW55" s="320"/>
      <c r="AX55" s="320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 s="320"/>
      <c r="BJ55" s="320"/>
      <c r="BK55" s="320"/>
      <c r="BL55" s="320"/>
      <c r="BM55" s="320"/>
      <c r="BN55" s="320"/>
      <c r="BO55" s="320"/>
      <c r="BP55" s="320"/>
      <c r="BQ55" s="320"/>
      <c r="BR55" s="320"/>
      <c r="BS55" s="320"/>
      <c r="BT55" s="320"/>
      <c r="BU55" s="320"/>
      <c r="BV55" s="320"/>
      <c r="BW55" s="320"/>
      <c r="BX55" s="320"/>
      <c r="BY55" s="320"/>
      <c r="BZ55" s="320"/>
      <c r="CA55" s="320"/>
      <c r="CB55" s="320"/>
      <c r="CC55" s="320"/>
      <c r="CD55" s="320"/>
      <c r="CE55" s="320"/>
      <c r="CF55" s="320"/>
      <c r="CG55" s="320"/>
      <c r="CH55" s="320"/>
      <c r="CI55" s="320"/>
      <c r="CJ55" s="320"/>
      <c r="CK55" s="320"/>
      <c r="CL55" s="320"/>
      <c r="CM55" s="320"/>
      <c r="CN55" s="320"/>
      <c r="CO55" s="320"/>
      <c r="CP55" s="320"/>
      <c r="CQ55" s="320"/>
    </row>
    <row r="56" spans="1:95" s="219" customFormat="1" ht="17.25" customHeight="1" x14ac:dyDescent="0.3">
      <c r="A56" s="694">
        <v>113062419</v>
      </c>
      <c r="B56" s="563" t="s">
        <v>213</v>
      </c>
      <c r="C56" s="550" t="s">
        <v>213</v>
      </c>
      <c r="D56" s="558" t="s">
        <v>240</v>
      </c>
      <c r="E56" s="724" t="s">
        <v>569</v>
      </c>
      <c r="F56" s="612" t="s">
        <v>431</v>
      </c>
      <c r="G56" s="213" t="s">
        <v>367</v>
      </c>
      <c r="H56" s="213">
        <v>9</v>
      </c>
      <c r="I56" s="213">
        <v>900</v>
      </c>
      <c r="J56" s="213">
        <v>9</v>
      </c>
      <c r="K56" s="213">
        <v>945</v>
      </c>
      <c r="L56" s="213">
        <v>12</v>
      </c>
      <c r="M56" s="213">
        <v>1330</v>
      </c>
      <c r="N56" s="833" t="s">
        <v>20</v>
      </c>
      <c r="O56" s="567"/>
      <c r="P56" s="214"/>
      <c r="Q56" s="214">
        <v>15</v>
      </c>
      <c r="R56" s="602"/>
      <c r="S56" s="216"/>
      <c r="T56" s="567"/>
      <c r="U56" s="214"/>
      <c r="V56" s="214"/>
      <c r="W56" s="602"/>
      <c r="X56" s="216"/>
      <c r="Y56" s="567"/>
      <c r="Z56" s="214"/>
      <c r="AA56" s="214">
        <v>15</v>
      </c>
      <c r="AB56" s="214"/>
      <c r="AC56" s="602"/>
      <c r="AD56" s="720">
        <v>15</v>
      </c>
      <c r="AE56" s="583" t="s">
        <v>202</v>
      </c>
      <c r="AF56" s="584" t="s">
        <v>228</v>
      </c>
      <c r="AG56" s="612" t="s">
        <v>115</v>
      </c>
      <c r="AH56" s="839" t="s">
        <v>29</v>
      </c>
      <c r="AI56" s="215" t="s">
        <v>179</v>
      </c>
      <c r="AJ56" s="835" t="s">
        <v>151</v>
      </c>
      <c r="AK56" s="742">
        <v>4500</v>
      </c>
      <c r="AL56" s="216" t="s">
        <v>168</v>
      </c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  <c r="BX56" s="320"/>
      <c r="BY56" s="320"/>
      <c r="BZ56" s="320"/>
      <c r="CA56" s="320"/>
      <c r="CB56" s="320"/>
      <c r="CC56" s="320"/>
      <c r="CD56" s="320"/>
      <c r="CE56" s="320"/>
      <c r="CF56" s="320"/>
      <c r="CG56" s="320"/>
      <c r="CH56" s="320"/>
      <c r="CI56" s="320"/>
      <c r="CJ56" s="320"/>
      <c r="CK56" s="320"/>
      <c r="CL56" s="320"/>
      <c r="CM56" s="320"/>
      <c r="CN56" s="320"/>
      <c r="CO56" s="320"/>
      <c r="CP56" s="320"/>
      <c r="CQ56" s="320"/>
    </row>
    <row r="57" spans="1:95" s="219" customFormat="1" ht="17.25" customHeight="1" x14ac:dyDescent="0.3">
      <c r="A57" s="694">
        <v>114061319</v>
      </c>
      <c r="B57" s="610" t="s">
        <v>167</v>
      </c>
      <c r="C57" s="610" t="s">
        <v>262</v>
      </c>
      <c r="D57" s="558" t="s">
        <v>454</v>
      </c>
      <c r="E57" s="146" t="s">
        <v>447</v>
      </c>
      <c r="F57" s="146" t="s">
        <v>448</v>
      </c>
      <c r="G57" s="213" t="s">
        <v>367</v>
      </c>
      <c r="H57" s="213">
        <v>12</v>
      </c>
      <c r="I57" s="213">
        <v>1700</v>
      </c>
      <c r="J57" s="213">
        <v>12</v>
      </c>
      <c r="K57" s="213">
        <v>1820</v>
      </c>
      <c r="L57" s="213">
        <v>12</v>
      </c>
      <c r="M57" s="213">
        <v>1945</v>
      </c>
      <c r="N57" s="833" t="s">
        <v>20</v>
      </c>
      <c r="O57" s="567"/>
      <c r="P57" s="214"/>
      <c r="Q57" s="214"/>
      <c r="R57" s="602"/>
      <c r="S57" s="216"/>
      <c r="T57" s="567"/>
      <c r="U57" s="214"/>
      <c r="V57" s="214">
        <v>6</v>
      </c>
      <c r="W57" s="602"/>
      <c r="X57" s="216"/>
      <c r="Y57" s="567"/>
      <c r="Z57" s="214"/>
      <c r="AA57" s="214">
        <v>6</v>
      </c>
      <c r="AB57" s="214"/>
      <c r="AC57" s="602"/>
      <c r="AD57" s="720">
        <v>6</v>
      </c>
      <c r="AE57" s="551" t="s">
        <v>159</v>
      </c>
      <c r="AF57" s="557" t="s">
        <v>159</v>
      </c>
      <c r="AG57" s="612" t="s">
        <v>115</v>
      </c>
      <c r="AH57" s="559" t="s">
        <v>94</v>
      </c>
      <c r="AI57" s="215" t="s">
        <v>179</v>
      </c>
      <c r="AJ57" s="837" t="s">
        <v>156</v>
      </c>
      <c r="AK57" s="742">
        <v>1800</v>
      </c>
      <c r="AL57" s="216"/>
      <c r="AM57" s="320"/>
      <c r="AN57" s="320"/>
      <c r="AO57" s="320"/>
      <c r="AP57" s="320"/>
      <c r="AQ57" s="320"/>
      <c r="AR57" s="320"/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0"/>
      <c r="BH57" s="320"/>
      <c r="BI57" s="320"/>
      <c r="BJ57" s="320"/>
      <c r="BK57" s="320"/>
      <c r="BL57" s="320"/>
      <c r="BM57" s="320"/>
      <c r="BN57" s="320"/>
      <c r="BO57" s="320"/>
      <c r="BP57" s="320"/>
      <c r="BQ57" s="320"/>
      <c r="BR57" s="320"/>
      <c r="BS57" s="320"/>
      <c r="BT57" s="320"/>
      <c r="BU57" s="320"/>
      <c r="BV57" s="320"/>
      <c r="BW57" s="320"/>
      <c r="BX57" s="320"/>
      <c r="BY57" s="320"/>
      <c r="BZ57" s="320"/>
      <c r="CA57" s="320"/>
      <c r="CB57" s="320"/>
      <c r="CC57" s="320"/>
      <c r="CD57" s="320"/>
      <c r="CE57" s="320"/>
      <c r="CF57" s="320"/>
      <c r="CG57" s="320"/>
      <c r="CH57" s="320"/>
      <c r="CI57" s="320"/>
      <c r="CJ57" s="320"/>
      <c r="CK57" s="320"/>
      <c r="CL57" s="320"/>
      <c r="CM57" s="320"/>
      <c r="CN57" s="320"/>
      <c r="CO57" s="320"/>
      <c r="CP57" s="320"/>
      <c r="CQ57" s="320"/>
    </row>
    <row r="58" spans="1:95" s="219" customFormat="1" ht="17.25" customHeight="1" x14ac:dyDescent="0.3">
      <c r="A58" s="206">
        <v>115064119</v>
      </c>
      <c r="B58" s="212" t="s">
        <v>282</v>
      </c>
      <c r="C58" s="212" t="s">
        <v>282</v>
      </c>
      <c r="D58" s="558" t="s">
        <v>364</v>
      </c>
      <c r="E58" s="338" t="s">
        <v>540</v>
      </c>
      <c r="F58" s="147" t="s">
        <v>560</v>
      </c>
      <c r="G58" s="147" t="s">
        <v>117</v>
      </c>
      <c r="H58" s="213">
        <v>12</v>
      </c>
      <c r="I58" s="213">
        <v>1230</v>
      </c>
      <c r="J58" s="213">
        <v>12</v>
      </c>
      <c r="K58" s="213">
        <v>1300</v>
      </c>
      <c r="L58" s="213">
        <v>13</v>
      </c>
      <c r="M58" s="213">
        <v>1130</v>
      </c>
      <c r="N58" s="836" t="s">
        <v>234</v>
      </c>
      <c r="O58" s="567"/>
      <c r="P58" s="214">
        <v>2</v>
      </c>
      <c r="Q58" s="214">
        <v>33</v>
      </c>
      <c r="R58" s="602"/>
      <c r="S58" s="216"/>
      <c r="T58" s="567"/>
      <c r="U58" s="214"/>
      <c r="V58" s="214"/>
      <c r="W58" s="602"/>
      <c r="X58" s="216"/>
      <c r="Y58" s="567"/>
      <c r="Z58" s="214">
        <v>2</v>
      </c>
      <c r="AA58" s="214">
        <v>33</v>
      </c>
      <c r="AB58" s="214"/>
      <c r="AC58" s="602"/>
      <c r="AD58" s="720">
        <v>35</v>
      </c>
      <c r="AE58" s="583" t="s">
        <v>202</v>
      </c>
      <c r="AF58" s="584" t="s">
        <v>228</v>
      </c>
      <c r="AG58" s="612" t="s">
        <v>115</v>
      </c>
      <c r="AH58" s="559" t="s">
        <v>79</v>
      </c>
      <c r="AI58" s="215" t="s">
        <v>179</v>
      </c>
      <c r="AJ58" s="835" t="s">
        <v>151</v>
      </c>
      <c r="AK58" s="742">
        <v>9924</v>
      </c>
      <c r="AL58" s="216" t="s">
        <v>168</v>
      </c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20"/>
      <c r="BS58" s="320"/>
      <c r="BT58" s="320"/>
      <c r="BU58" s="320"/>
      <c r="BV58" s="320"/>
      <c r="BW58" s="320"/>
      <c r="BX58" s="320"/>
      <c r="BY58" s="320"/>
      <c r="BZ58" s="320"/>
      <c r="CA58" s="320"/>
      <c r="CB58" s="320"/>
      <c r="CC58" s="320"/>
      <c r="CD58" s="320"/>
      <c r="CE58" s="320"/>
      <c r="CF58" s="320"/>
      <c r="CG58" s="320"/>
      <c r="CH58" s="320"/>
      <c r="CI58" s="320"/>
      <c r="CJ58" s="320"/>
      <c r="CK58" s="320"/>
      <c r="CL58" s="320"/>
      <c r="CM58" s="320"/>
      <c r="CN58" s="320"/>
      <c r="CO58" s="320"/>
      <c r="CP58" s="320"/>
      <c r="CQ58" s="320"/>
    </row>
    <row r="59" spans="1:95" s="219" customFormat="1" ht="17.25" customHeight="1" x14ac:dyDescent="0.3">
      <c r="A59" s="206">
        <v>116064219</v>
      </c>
      <c r="B59" s="563" t="s">
        <v>221</v>
      </c>
      <c r="C59" s="563" t="s">
        <v>267</v>
      </c>
      <c r="D59" s="558" t="s">
        <v>424</v>
      </c>
      <c r="E59" s="338" t="s">
        <v>459</v>
      </c>
      <c r="F59" s="147" t="s">
        <v>460</v>
      </c>
      <c r="G59" s="213" t="s">
        <v>117</v>
      </c>
      <c r="H59" s="213">
        <v>15</v>
      </c>
      <c r="I59" s="213">
        <v>1125</v>
      </c>
      <c r="J59" s="213">
        <v>15</v>
      </c>
      <c r="K59" s="213">
        <v>1210</v>
      </c>
      <c r="L59" s="213">
        <v>15</v>
      </c>
      <c r="M59" s="213">
        <v>1840</v>
      </c>
      <c r="N59" s="836" t="s">
        <v>234</v>
      </c>
      <c r="O59" s="567"/>
      <c r="P59" s="214"/>
      <c r="Q59" s="214"/>
      <c r="R59" s="602"/>
      <c r="S59" s="216"/>
      <c r="T59" s="567"/>
      <c r="U59" s="214">
        <v>4</v>
      </c>
      <c r="V59" s="214">
        <v>6</v>
      </c>
      <c r="W59" s="602"/>
      <c r="X59" s="216"/>
      <c r="Y59" s="567"/>
      <c r="Z59" s="214">
        <v>4</v>
      </c>
      <c r="AA59" s="214">
        <v>6</v>
      </c>
      <c r="AB59" s="214"/>
      <c r="AC59" s="602"/>
      <c r="AD59" s="720">
        <v>10</v>
      </c>
      <c r="AE59" s="583" t="s">
        <v>202</v>
      </c>
      <c r="AF59" s="584" t="s">
        <v>228</v>
      </c>
      <c r="AG59" s="612" t="s">
        <v>115</v>
      </c>
      <c r="AH59" s="834" t="s">
        <v>78</v>
      </c>
      <c r="AI59" s="215" t="s">
        <v>162</v>
      </c>
      <c r="AJ59" s="837" t="s">
        <v>156</v>
      </c>
      <c r="AK59" s="742">
        <v>19600</v>
      </c>
      <c r="AL59" s="216"/>
      <c r="AM59" s="320"/>
      <c r="AN59" s="320"/>
      <c r="AO59" s="320"/>
      <c r="AP59" s="320"/>
      <c r="AQ59" s="320"/>
      <c r="AR59" s="320"/>
      <c r="AS59" s="320"/>
      <c r="AT59" s="320"/>
      <c r="AU59" s="320"/>
      <c r="AV59" s="320"/>
      <c r="AW59" s="320"/>
      <c r="AX59" s="320"/>
      <c r="AY59" s="320"/>
      <c r="AZ59" s="320"/>
      <c r="BA59" s="320"/>
      <c r="BB59" s="320"/>
      <c r="BC59" s="320"/>
      <c r="BD59" s="320"/>
      <c r="BE59" s="320"/>
      <c r="BF59" s="320"/>
      <c r="BG59" s="320"/>
      <c r="BH59" s="320"/>
      <c r="BI59" s="320"/>
      <c r="BJ59" s="320"/>
      <c r="BK59" s="320"/>
      <c r="BL59" s="320"/>
      <c r="BM59" s="320"/>
      <c r="BN59" s="320"/>
      <c r="BO59" s="320"/>
      <c r="BP59" s="320"/>
      <c r="BQ59" s="320"/>
      <c r="BR59" s="320"/>
      <c r="BS59" s="320"/>
      <c r="BT59" s="320"/>
      <c r="BU59" s="320"/>
      <c r="BV59" s="320"/>
      <c r="BW59" s="320"/>
      <c r="BX59" s="320"/>
      <c r="BY59" s="320"/>
      <c r="BZ59" s="320"/>
      <c r="CA59" s="320"/>
      <c r="CB59" s="320"/>
      <c r="CC59" s="320"/>
      <c r="CD59" s="320"/>
      <c r="CE59" s="320"/>
      <c r="CF59" s="320"/>
      <c r="CG59" s="320"/>
      <c r="CH59" s="320"/>
      <c r="CI59" s="320"/>
      <c r="CJ59" s="320"/>
      <c r="CK59" s="320"/>
      <c r="CL59" s="320"/>
      <c r="CM59" s="320"/>
      <c r="CN59" s="320"/>
      <c r="CO59" s="320"/>
      <c r="CP59" s="320"/>
      <c r="CQ59" s="320"/>
    </row>
    <row r="60" spans="1:95" s="219" customFormat="1" ht="17.25" customHeight="1" x14ac:dyDescent="0.3">
      <c r="A60" s="206">
        <v>117063019</v>
      </c>
      <c r="B60" s="563" t="s">
        <v>221</v>
      </c>
      <c r="C60" s="563" t="s">
        <v>550</v>
      </c>
      <c r="D60" s="558" t="s">
        <v>463</v>
      </c>
      <c r="E60" s="338" t="s">
        <v>461</v>
      </c>
      <c r="F60" s="147" t="s">
        <v>462</v>
      </c>
      <c r="G60" s="213" t="s">
        <v>117</v>
      </c>
      <c r="H60" s="213">
        <v>16</v>
      </c>
      <c r="I60" s="213">
        <v>1545</v>
      </c>
      <c r="J60" s="213">
        <v>16</v>
      </c>
      <c r="K60" s="213">
        <v>1730</v>
      </c>
      <c r="L60" s="213">
        <v>16</v>
      </c>
      <c r="M60" s="213">
        <v>1930</v>
      </c>
      <c r="N60" s="836" t="s">
        <v>234</v>
      </c>
      <c r="O60" s="567"/>
      <c r="P60" s="214"/>
      <c r="Q60" s="214"/>
      <c r="R60" s="602"/>
      <c r="S60" s="216"/>
      <c r="T60" s="567"/>
      <c r="U60" s="214">
        <v>4</v>
      </c>
      <c r="V60" s="214">
        <v>6</v>
      </c>
      <c r="W60" s="602"/>
      <c r="X60" s="216"/>
      <c r="Y60" s="567"/>
      <c r="Z60" s="214">
        <v>4</v>
      </c>
      <c r="AA60" s="214">
        <v>6</v>
      </c>
      <c r="AB60" s="214"/>
      <c r="AC60" s="602"/>
      <c r="AD60" s="720">
        <v>10</v>
      </c>
      <c r="AE60" s="551" t="s">
        <v>202</v>
      </c>
      <c r="AF60" s="551" t="s">
        <v>238</v>
      </c>
      <c r="AG60" s="612" t="s">
        <v>115</v>
      </c>
      <c r="AH60" s="559" t="s">
        <v>79</v>
      </c>
      <c r="AI60" s="215" t="s">
        <v>162</v>
      </c>
      <c r="AJ60" s="835" t="s">
        <v>151</v>
      </c>
      <c r="AK60" s="742">
        <v>16360</v>
      </c>
      <c r="AL60" s="216"/>
      <c r="AM60" s="320"/>
      <c r="AN60" s="320"/>
      <c r="AO60" s="320"/>
      <c r="AP60" s="320"/>
      <c r="AQ60" s="320"/>
      <c r="AR60" s="320"/>
      <c r="AS60" s="320"/>
      <c r="AT60" s="320"/>
      <c r="AU60" s="320"/>
      <c r="AV60" s="320"/>
      <c r="AW60" s="320"/>
      <c r="AX60" s="320"/>
      <c r="AY60" s="320"/>
      <c r="AZ60" s="320"/>
      <c r="BA60" s="320"/>
      <c r="BB60" s="320"/>
      <c r="BC60" s="320"/>
      <c r="BD60" s="320"/>
      <c r="BE60" s="320"/>
      <c r="BF60" s="320"/>
      <c r="BG60" s="320"/>
      <c r="BH60" s="320"/>
      <c r="BI60" s="320"/>
      <c r="BJ60" s="320"/>
      <c r="BK60" s="320"/>
      <c r="BL60" s="320"/>
      <c r="BM60" s="320"/>
      <c r="BN60" s="320"/>
      <c r="BO60" s="320"/>
      <c r="BP60" s="320"/>
      <c r="BQ60" s="320"/>
      <c r="BR60" s="320"/>
      <c r="BS60" s="320"/>
      <c r="BT60" s="320"/>
      <c r="BU60" s="320"/>
      <c r="BV60" s="320"/>
      <c r="BW60" s="320"/>
      <c r="BX60" s="320"/>
      <c r="BY60" s="320"/>
      <c r="BZ60" s="320"/>
      <c r="CA60" s="320"/>
      <c r="CB60" s="320"/>
      <c r="CC60" s="320"/>
      <c r="CD60" s="320"/>
      <c r="CE60" s="320"/>
      <c r="CF60" s="320"/>
      <c r="CG60" s="320"/>
      <c r="CH60" s="320"/>
      <c r="CI60" s="320"/>
      <c r="CJ60" s="320"/>
      <c r="CK60" s="320"/>
      <c r="CL60" s="320"/>
      <c r="CM60" s="320"/>
      <c r="CN60" s="320"/>
      <c r="CO60" s="320"/>
      <c r="CP60" s="320"/>
      <c r="CQ60" s="320"/>
    </row>
    <row r="61" spans="1:95" s="219" customFormat="1" ht="17.25" customHeight="1" x14ac:dyDescent="0.3">
      <c r="A61" s="206">
        <v>118062019</v>
      </c>
      <c r="B61" s="610" t="s">
        <v>243</v>
      </c>
      <c r="C61" s="610" t="s">
        <v>243</v>
      </c>
      <c r="D61" s="558" t="s">
        <v>244</v>
      </c>
      <c r="E61" s="338" t="s">
        <v>542</v>
      </c>
      <c r="F61" s="147" t="s">
        <v>541</v>
      </c>
      <c r="G61" s="147" t="s">
        <v>117</v>
      </c>
      <c r="H61" s="213">
        <v>17</v>
      </c>
      <c r="I61" s="213">
        <v>1430</v>
      </c>
      <c r="J61" s="213">
        <v>17</v>
      </c>
      <c r="K61" s="213">
        <v>1450</v>
      </c>
      <c r="L61" s="213">
        <v>17</v>
      </c>
      <c r="M61" s="213">
        <v>2130</v>
      </c>
      <c r="N61" s="838" t="s">
        <v>241</v>
      </c>
      <c r="O61" s="567">
        <v>1</v>
      </c>
      <c r="P61" s="214"/>
      <c r="Q61" s="214">
        <v>2.5</v>
      </c>
      <c r="R61" s="602"/>
      <c r="S61" s="216"/>
      <c r="T61" s="567"/>
      <c r="U61" s="214"/>
      <c r="V61" s="214"/>
      <c r="W61" s="602"/>
      <c r="X61" s="216"/>
      <c r="Y61" s="567">
        <v>1</v>
      </c>
      <c r="Z61" s="214"/>
      <c r="AA61" s="214">
        <v>2.5</v>
      </c>
      <c r="AB61" s="214"/>
      <c r="AC61" s="602"/>
      <c r="AD61" s="720">
        <v>3.5</v>
      </c>
      <c r="AE61" s="686" t="s">
        <v>148</v>
      </c>
      <c r="AF61" s="687" t="s">
        <v>209</v>
      </c>
      <c r="AG61" s="841" t="s">
        <v>115</v>
      </c>
      <c r="AH61" s="559" t="s">
        <v>79</v>
      </c>
      <c r="AI61" s="215" t="s">
        <v>179</v>
      </c>
      <c r="AJ61" s="835" t="s">
        <v>151</v>
      </c>
      <c r="AK61" s="742">
        <v>762</v>
      </c>
      <c r="AL61" s="216" t="s">
        <v>168</v>
      </c>
      <c r="AM61" s="320"/>
      <c r="AN61" s="320"/>
      <c r="AO61" s="320"/>
      <c r="AP61" s="320"/>
      <c r="AQ61" s="320"/>
      <c r="AR61" s="320"/>
      <c r="AS61" s="320"/>
      <c r="AT61" s="320"/>
      <c r="AU61" s="320"/>
      <c r="AV61" s="320"/>
      <c r="AW61" s="320"/>
      <c r="AX61" s="320"/>
      <c r="AY61" s="320"/>
      <c r="AZ61" s="320"/>
      <c r="BA61" s="320"/>
      <c r="BB61" s="320"/>
      <c r="BC61" s="320"/>
      <c r="BD61" s="320"/>
      <c r="BE61" s="320"/>
      <c r="BF61" s="320"/>
      <c r="BG61" s="320"/>
      <c r="BH61" s="320"/>
      <c r="BI61" s="320"/>
      <c r="BJ61" s="320"/>
      <c r="BK61" s="320"/>
      <c r="BL61" s="320"/>
      <c r="BM61" s="320"/>
      <c r="BN61" s="320"/>
      <c r="BO61" s="320"/>
      <c r="BP61" s="320"/>
      <c r="BQ61" s="320"/>
      <c r="BR61" s="320"/>
      <c r="BS61" s="320"/>
      <c r="BT61" s="320"/>
      <c r="BU61" s="320"/>
      <c r="BV61" s="320"/>
      <c r="BW61" s="320"/>
      <c r="BX61" s="320"/>
      <c r="BY61" s="320"/>
      <c r="BZ61" s="320"/>
      <c r="CA61" s="320"/>
      <c r="CB61" s="320"/>
      <c r="CC61" s="320"/>
      <c r="CD61" s="320"/>
      <c r="CE61" s="320"/>
      <c r="CF61" s="320"/>
      <c r="CG61" s="320"/>
      <c r="CH61" s="320"/>
      <c r="CI61" s="320"/>
      <c r="CJ61" s="320"/>
      <c r="CK61" s="320"/>
      <c r="CL61" s="320"/>
      <c r="CM61" s="320"/>
      <c r="CN61" s="320"/>
      <c r="CO61" s="320"/>
      <c r="CP61" s="320"/>
      <c r="CQ61" s="320"/>
    </row>
    <row r="62" spans="1:95" s="219" customFormat="1" ht="17.25" customHeight="1" x14ac:dyDescent="0.3">
      <c r="A62" s="206">
        <v>119062019</v>
      </c>
      <c r="B62" s="610" t="s">
        <v>243</v>
      </c>
      <c r="C62" s="610" t="s">
        <v>243</v>
      </c>
      <c r="D62" s="558" t="s">
        <v>284</v>
      </c>
      <c r="E62" s="338" t="s">
        <v>554</v>
      </c>
      <c r="F62" s="147" t="s">
        <v>543</v>
      </c>
      <c r="G62" s="147" t="s">
        <v>117</v>
      </c>
      <c r="H62" s="213">
        <v>18</v>
      </c>
      <c r="I62" s="213">
        <v>1200</v>
      </c>
      <c r="J62" s="213">
        <v>18</v>
      </c>
      <c r="K62" s="213">
        <v>1220</v>
      </c>
      <c r="L62" s="213">
        <v>18</v>
      </c>
      <c r="M62" s="213">
        <v>1630</v>
      </c>
      <c r="N62" s="836" t="s">
        <v>234</v>
      </c>
      <c r="O62" s="567"/>
      <c r="P62" s="214">
        <v>1</v>
      </c>
      <c r="Q62" s="214">
        <v>1</v>
      </c>
      <c r="R62" s="602"/>
      <c r="S62" s="216"/>
      <c r="T62" s="567"/>
      <c r="U62" s="214"/>
      <c r="V62" s="214"/>
      <c r="W62" s="602"/>
      <c r="X62" s="216"/>
      <c r="Y62" s="567"/>
      <c r="Z62" s="214">
        <v>1</v>
      </c>
      <c r="AA62" s="214">
        <v>1</v>
      </c>
      <c r="AB62" s="214"/>
      <c r="AC62" s="602"/>
      <c r="AD62" s="720">
        <v>2</v>
      </c>
      <c r="AE62" s="583" t="s">
        <v>202</v>
      </c>
      <c r="AF62" s="584" t="s">
        <v>228</v>
      </c>
      <c r="AG62" s="612" t="s">
        <v>115</v>
      </c>
      <c r="AH62" s="559" t="s">
        <v>79</v>
      </c>
      <c r="AI62" s="215" t="s">
        <v>162</v>
      </c>
      <c r="AJ62" s="835" t="s">
        <v>216</v>
      </c>
      <c r="AK62" s="744">
        <v>318</v>
      </c>
      <c r="AL62" s="603" t="s">
        <v>168</v>
      </c>
      <c r="AM62" s="320"/>
      <c r="AN62" s="320"/>
      <c r="AO62" s="320"/>
      <c r="AP62" s="320"/>
      <c r="AQ62" s="320"/>
      <c r="AR62" s="320"/>
      <c r="AS62" s="320"/>
      <c r="AT62" s="320"/>
      <c r="AU62" s="320"/>
      <c r="AV62" s="320"/>
      <c r="AW62" s="320"/>
      <c r="AX62" s="320"/>
      <c r="AY62" s="320"/>
      <c r="AZ62" s="320"/>
      <c r="BA62" s="320"/>
      <c r="BB62" s="320"/>
      <c r="BC62" s="320"/>
      <c r="BD62" s="320"/>
      <c r="BE62" s="320"/>
      <c r="BF62" s="320"/>
      <c r="BG62" s="320"/>
      <c r="BH62" s="320"/>
      <c r="BI62" s="320"/>
      <c r="BJ62" s="320"/>
      <c r="BK62" s="320"/>
      <c r="BL62" s="320"/>
      <c r="BM62" s="320"/>
      <c r="BN62" s="320"/>
      <c r="BO62" s="320"/>
      <c r="BP62" s="320"/>
      <c r="BQ62" s="320"/>
      <c r="BR62" s="320"/>
      <c r="BS62" s="320"/>
      <c r="BT62" s="320"/>
      <c r="BU62" s="320"/>
      <c r="BV62" s="320"/>
      <c r="BW62" s="320"/>
      <c r="BX62" s="320"/>
      <c r="BY62" s="320"/>
      <c r="BZ62" s="320"/>
      <c r="CA62" s="320"/>
      <c r="CB62" s="320"/>
      <c r="CC62" s="320"/>
      <c r="CD62" s="320"/>
      <c r="CE62" s="320"/>
      <c r="CF62" s="320"/>
      <c r="CG62" s="320"/>
      <c r="CH62" s="320"/>
      <c r="CI62" s="320"/>
      <c r="CJ62" s="320"/>
      <c r="CK62" s="320"/>
      <c r="CL62" s="320"/>
      <c r="CM62" s="320"/>
      <c r="CN62" s="320"/>
      <c r="CO62" s="320"/>
      <c r="CP62" s="320"/>
      <c r="CQ62" s="320"/>
    </row>
    <row r="63" spans="1:95" s="219" customFormat="1" ht="17.25" customHeight="1" x14ac:dyDescent="0.3">
      <c r="A63" s="560">
        <v>120061819</v>
      </c>
      <c r="B63" s="563" t="s">
        <v>205</v>
      </c>
      <c r="C63" s="688" t="s">
        <v>217</v>
      </c>
      <c r="D63" s="558" t="s">
        <v>425</v>
      </c>
      <c r="E63" s="146" t="s">
        <v>449</v>
      </c>
      <c r="F63" s="146" t="s">
        <v>450</v>
      </c>
      <c r="G63" s="213" t="s">
        <v>367</v>
      </c>
      <c r="H63" s="213">
        <v>17</v>
      </c>
      <c r="I63" s="213">
        <v>1600</v>
      </c>
      <c r="J63" s="213">
        <v>18</v>
      </c>
      <c r="K63" s="213">
        <v>1650</v>
      </c>
      <c r="L63" s="213">
        <v>18</v>
      </c>
      <c r="M63" s="213">
        <v>2100</v>
      </c>
      <c r="N63" s="838" t="s">
        <v>241</v>
      </c>
      <c r="O63" s="567">
        <v>80</v>
      </c>
      <c r="P63" s="214"/>
      <c r="Q63" s="214"/>
      <c r="R63" s="602"/>
      <c r="S63" s="216"/>
      <c r="T63" s="567">
        <v>3</v>
      </c>
      <c r="U63" s="214"/>
      <c r="V63" s="214">
        <v>20</v>
      </c>
      <c r="W63" s="602"/>
      <c r="X63" s="216"/>
      <c r="Y63" s="567">
        <v>83</v>
      </c>
      <c r="Z63" s="214"/>
      <c r="AA63" s="214">
        <v>20</v>
      </c>
      <c r="AB63" s="214"/>
      <c r="AC63" s="602"/>
      <c r="AD63" s="720">
        <v>103</v>
      </c>
      <c r="AE63" s="551" t="s">
        <v>159</v>
      </c>
      <c r="AF63" s="557" t="s">
        <v>159</v>
      </c>
      <c r="AG63" s="612" t="s">
        <v>115</v>
      </c>
      <c r="AH63" s="834" t="s">
        <v>78</v>
      </c>
      <c r="AI63" s="215" t="s">
        <v>162</v>
      </c>
      <c r="AJ63" s="837" t="s">
        <v>165</v>
      </c>
      <c r="AK63" s="742">
        <v>411000</v>
      </c>
      <c r="AL63" s="603" t="s">
        <v>168</v>
      </c>
      <c r="AM63" s="320"/>
      <c r="AN63" s="320"/>
      <c r="AO63" s="320"/>
      <c r="AP63" s="320"/>
      <c r="AQ63" s="320"/>
      <c r="AR63" s="320"/>
      <c r="AS63" s="320"/>
      <c r="AT63" s="320"/>
      <c r="AU63" s="320"/>
      <c r="AV63" s="320"/>
      <c r="AW63" s="320"/>
      <c r="AX63" s="320"/>
      <c r="AY63" s="320"/>
      <c r="AZ63" s="320"/>
      <c r="BA63" s="320"/>
      <c r="BB63" s="320"/>
      <c r="BC63" s="320"/>
      <c r="BD63" s="320"/>
      <c r="BE63" s="320"/>
      <c r="BF63" s="320"/>
      <c r="BG63" s="320"/>
      <c r="BH63" s="320"/>
      <c r="BI63" s="320"/>
      <c r="BJ63" s="320"/>
      <c r="BK63" s="320"/>
      <c r="BL63" s="320"/>
      <c r="BM63" s="320"/>
      <c r="BN63" s="320"/>
      <c r="BO63" s="320"/>
      <c r="BP63" s="320"/>
      <c r="BQ63" s="320"/>
      <c r="BR63" s="320"/>
      <c r="BS63" s="320"/>
      <c r="BT63" s="320"/>
      <c r="BU63" s="320"/>
      <c r="BV63" s="320"/>
      <c r="BW63" s="320"/>
      <c r="BX63" s="320"/>
      <c r="BY63" s="320"/>
      <c r="BZ63" s="320"/>
      <c r="CA63" s="320"/>
      <c r="CB63" s="320"/>
      <c r="CC63" s="320"/>
      <c r="CD63" s="320"/>
      <c r="CE63" s="320"/>
      <c r="CF63" s="320"/>
      <c r="CG63" s="320"/>
      <c r="CH63" s="320"/>
      <c r="CI63" s="320"/>
      <c r="CJ63" s="320"/>
      <c r="CK63" s="320"/>
      <c r="CL63" s="320"/>
      <c r="CM63" s="320"/>
      <c r="CN63" s="320"/>
      <c r="CO63" s="320"/>
      <c r="CP63" s="320"/>
      <c r="CQ63" s="320"/>
    </row>
    <row r="64" spans="1:95" s="219" customFormat="1" ht="17.25" customHeight="1" x14ac:dyDescent="0.3">
      <c r="A64" s="206">
        <v>121064819</v>
      </c>
      <c r="B64" s="563" t="s">
        <v>219</v>
      </c>
      <c r="C64" s="563" t="s">
        <v>220</v>
      </c>
      <c r="D64" s="558" t="s">
        <v>298</v>
      </c>
      <c r="E64" s="725" t="s">
        <v>490</v>
      </c>
      <c r="F64" s="146" t="s">
        <v>491</v>
      </c>
      <c r="G64" s="147" t="s">
        <v>117</v>
      </c>
      <c r="H64" s="213">
        <v>18</v>
      </c>
      <c r="I64" s="213">
        <v>1200</v>
      </c>
      <c r="J64" s="213">
        <v>18</v>
      </c>
      <c r="K64" s="213">
        <v>1205</v>
      </c>
      <c r="L64" s="213">
        <v>18</v>
      </c>
      <c r="M64" s="213">
        <v>2130</v>
      </c>
      <c r="N64" s="838" t="s">
        <v>51</v>
      </c>
      <c r="O64" s="567">
        <v>8</v>
      </c>
      <c r="P64" s="214"/>
      <c r="Q64" s="214"/>
      <c r="R64" s="602"/>
      <c r="S64" s="216"/>
      <c r="T64" s="567"/>
      <c r="U64" s="214"/>
      <c r="V64" s="214"/>
      <c r="W64" s="602"/>
      <c r="X64" s="216"/>
      <c r="Y64" s="567">
        <v>8</v>
      </c>
      <c r="Z64" s="214"/>
      <c r="AA64" s="214"/>
      <c r="AB64" s="214"/>
      <c r="AC64" s="602"/>
      <c r="AD64" s="720">
        <v>8</v>
      </c>
      <c r="AE64" s="583" t="s">
        <v>202</v>
      </c>
      <c r="AF64" s="584" t="s">
        <v>228</v>
      </c>
      <c r="AG64" s="612" t="s">
        <v>115</v>
      </c>
      <c r="AH64" s="559" t="s">
        <v>79</v>
      </c>
      <c r="AI64" s="215" t="s">
        <v>162</v>
      </c>
      <c r="AJ64" s="835" t="s">
        <v>216</v>
      </c>
      <c r="AK64" s="744">
        <v>960000</v>
      </c>
      <c r="AL64" s="603" t="s">
        <v>168</v>
      </c>
      <c r="AM64" s="320"/>
      <c r="AN64" s="320"/>
      <c r="AO64" s="320"/>
      <c r="AP64" s="320"/>
      <c r="AQ64" s="320"/>
      <c r="AR64" s="320"/>
      <c r="AS64" s="320"/>
      <c r="AT64" s="320"/>
      <c r="AU64" s="320"/>
      <c r="AV64" s="320"/>
      <c r="AW64" s="320"/>
      <c r="AX64" s="320"/>
      <c r="AY64" s="320"/>
      <c r="AZ64" s="320"/>
      <c r="BA64" s="320"/>
      <c r="BB64" s="320"/>
      <c r="BC64" s="320"/>
      <c r="BD64" s="320"/>
      <c r="BE64" s="320"/>
      <c r="BF64" s="320"/>
      <c r="BG64" s="320"/>
      <c r="BH64" s="320"/>
      <c r="BI64" s="320"/>
      <c r="BJ64" s="320"/>
      <c r="BK64" s="320"/>
      <c r="BL64" s="320"/>
      <c r="BM64" s="320"/>
      <c r="BN64" s="320"/>
      <c r="BO64" s="320"/>
      <c r="BP64" s="320"/>
      <c r="BQ64" s="320"/>
      <c r="BR64" s="320"/>
      <c r="BS64" s="320"/>
      <c r="BT64" s="320"/>
      <c r="BU64" s="320"/>
      <c r="BV64" s="320"/>
      <c r="BW64" s="320"/>
      <c r="BX64" s="320"/>
      <c r="BY64" s="320"/>
      <c r="BZ64" s="320"/>
      <c r="CA64" s="320"/>
      <c r="CB64" s="320"/>
      <c r="CC64" s="320"/>
      <c r="CD64" s="320"/>
      <c r="CE64" s="320"/>
      <c r="CF64" s="320"/>
      <c r="CG64" s="320"/>
      <c r="CH64" s="320"/>
      <c r="CI64" s="320"/>
      <c r="CJ64" s="320"/>
      <c r="CK64" s="320"/>
      <c r="CL64" s="320"/>
      <c r="CM64" s="320"/>
      <c r="CN64" s="320"/>
      <c r="CO64" s="320"/>
      <c r="CP64" s="320"/>
      <c r="CQ64" s="320"/>
    </row>
    <row r="65" spans="1:95" s="219" customFormat="1" ht="17.25" customHeight="1" x14ac:dyDescent="0.3">
      <c r="A65" s="206">
        <v>122064119</v>
      </c>
      <c r="B65" s="212" t="s">
        <v>282</v>
      </c>
      <c r="C65" s="212" t="s">
        <v>295</v>
      </c>
      <c r="D65" s="558" t="s">
        <v>284</v>
      </c>
      <c r="E65" s="338" t="s">
        <v>555</v>
      </c>
      <c r="F65" s="147" t="s">
        <v>546</v>
      </c>
      <c r="G65" s="147" t="s">
        <v>117</v>
      </c>
      <c r="H65" s="213">
        <v>18</v>
      </c>
      <c r="I65" s="213">
        <v>1850</v>
      </c>
      <c r="J65" s="213">
        <v>18</v>
      </c>
      <c r="K65" s="213">
        <v>1900</v>
      </c>
      <c r="L65" s="213">
        <v>18</v>
      </c>
      <c r="M65" s="213">
        <v>2315</v>
      </c>
      <c r="N65" s="836" t="s">
        <v>19</v>
      </c>
      <c r="O65" s="567"/>
      <c r="P65" s="214">
        <v>1.5</v>
      </c>
      <c r="Q65" s="214"/>
      <c r="R65" s="602"/>
      <c r="S65" s="216"/>
      <c r="T65" s="567"/>
      <c r="U65" s="214"/>
      <c r="V65" s="214"/>
      <c r="W65" s="602"/>
      <c r="X65" s="216"/>
      <c r="Y65" s="567"/>
      <c r="Z65" s="214">
        <v>1.5</v>
      </c>
      <c r="AA65" s="214"/>
      <c r="AB65" s="214"/>
      <c r="AC65" s="602"/>
      <c r="AD65" s="720">
        <v>1.5</v>
      </c>
      <c r="AE65" s="583" t="s">
        <v>202</v>
      </c>
      <c r="AF65" s="584" t="s">
        <v>228</v>
      </c>
      <c r="AG65" s="612" t="s">
        <v>115</v>
      </c>
      <c r="AH65" s="559" t="s">
        <v>79</v>
      </c>
      <c r="AI65" s="215" t="s">
        <v>162</v>
      </c>
      <c r="AJ65" s="835" t="s">
        <v>216</v>
      </c>
      <c r="AK65" s="744">
        <v>168</v>
      </c>
      <c r="AL65" s="603" t="s">
        <v>168</v>
      </c>
      <c r="AM65" s="320"/>
      <c r="AN65" s="320"/>
      <c r="AO65" s="320"/>
      <c r="AP65" s="320"/>
      <c r="AQ65" s="320"/>
      <c r="AR65" s="320"/>
      <c r="AS65" s="320"/>
      <c r="AT65" s="320"/>
      <c r="AU65" s="320"/>
      <c r="AV65" s="320"/>
      <c r="AW65" s="320"/>
      <c r="AX65" s="320"/>
      <c r="AY65" s="320"/>
      <c r="AZ65" s="320"/>
      <c r="BA65" s="320"/>
      <c r="BB65" s="320"/>
      <c r="BC65" s="320"/>
      <c r="BD65" s="320"/>
      <c r="BE65" s="320"/>
      <c r="BF65" s="320"/>
      <c r="BG65" s="320"/>
      <c r="BH65" s="320"/>
      <c r="BI65" s="320"/>
      <c r="BJ65" s="320"/>
      <c r="BK65" s="320"/>
      <c r="BL65" s="320"/>
      <c r="BM65" s="320"/>
      <c r="BN65" s="320"/>
      <c r="BO65" s="320"/>
      <c r="BP65" s="320"/>
      <c r="BQ65" s="320"/>
      <c r="BR65" s="320"/>
      <c r="BS65" s="320"/>
      <c r="BT65" s="320"/>
      <c r="BU65" s="320"/>
      <c r="BV65" s="320"/>
      <c r="BW65" s="320"/>
      <c r="BX65" s="320"/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  <c r="CO65" s="320"/>
      <c r="CP65" s="320"/>
      <c r="CQ65" s="320"/>
    </row>
    <row r="66" spans="1:95" s="219" customFormat="1" ht="17.25" customHeight="1" x14ac:dyDescent="0.3">
      <c r="A66" s="206">
        <v>123064819</v>
      </c>
      <c r="B66" s="563" t="s">
        <v>219</v>
      </c>
      <c r="C66" s="563" t="s">
        <v>220</v>
      </c>
      <c r="D66" s="558" t="s">
        <v>426</v>
      </c>
      <c r="E66" s="725" t="s">
        <v>591</v>
      </c>
      <c r="F66" s="146" t="s">
        <v>590</v>
      </c>
      <c r="G66" s="147" t="s">
        <v>117</v>
      </c>
      <c r="H66" s="213">
        <v>18</v>
      </c>
      <c r="I66" s="213">
        <v>1300</v>
      </c>
      <c r="J66" s="213">
        <v>18</v>
      </c>
      <c r="K66" s="213">
        <v>1305</v>
      </c>
      <c r="L66" s="213">
        <v>19</v>
      </c>
      <c r="M66" s="213">
        <v>2420</v>
      </c>
      <c r="N66" s="833" t="s">
        <v>20</v>
      </c>
      <c r="O66" s="567"/>
      <c r="P66" s="214"/>
      <c r="Q66" s="214"/>
      <c r="R66" s="602"/>
      <c r="S66" s="216"/>
      <c r="T66" s="567"/>
      <c r="U66" s="214"/>
      <c r="V66" s="214">
        <v>22</v>
      </c>
      <c r="W66" s="602"/>
      <c r="X66" s="216">
        <v>3</v>
      </c>
      <c r="Y66" s="567"/>
      <c r="Z66" s="214"/>
      <c r="AA66" s="214">
        <v>22</v>
      </c>
      <c r="AB66" s="214"/>
      <c r="AC66" s="602">
        <v>3</v>
      </c>
      <c r="AD66" s="720">
        <v>25</v>
      </c>
      <c r="AE66" s="551" t="s">
        <v>202</v>
      </c>
      <c r="AF66" s="584" t="s">
        <v>228</v>
      </c>
      <c r="AG66" s="612" t="s">
        <v>115</v>
      </c>
      <c r="AH66" s="559" t="s">
        <v>79</v>
      </c>
      <c r="AI66" s="215" t="s">
        <v>162</v>
      </c>
      <c r="AJ66" s="837" t="s">
        <v>165</v>
      </c>
      <c r="AK66" s="742">
        <v>326600</v>
      </c>
      <c r="AL66" s="216"/>
      <c r="AM66" s="320"/>
      <c r="AN66" s="320"/>
      <c r="AO66" s="320"/>
      <c r="AP66" s="320"/>
      <c r="AQ66" s="320"/>
      <c r="AR66" s="320"/>
      <c r="AS66" s="320"/>
      <c r="AT66" s="320"/>
      <c r="AU66" s="320"/>
      <c r="AV66" s="320"/>
      <c r="AW66" s="320"/>
      <c r="AX66" s="320"/>
      <c r="AY66" s="320"/>
      <c r="AZ66" s="320"/>
      <c r="BA66" s="320"/>
      <c r="BB66" s="320"/>
      <c r="BC66" s="320"/>
      <c r="BD66" s="320"/>
      <c r="BE66" s="320"/>
      <c r="BF66" s="320"/>
      <c r="BG66" s="320"/>
      <c r="BH66" s="320"/>
      <c r="BI66" s="320"/>
      <c r="BJ66" s="320"/>
      <c r="BK66" s="320"/>
      <c r="BL66" s="320"/>
      <c r="BM66" s="320"/>
      <c r="BN66" s="320"/>
      <c r="BO66" s="320"/>
      <c r="BP66" s="320"/>
      <c r="BQ66" s="320"/>
      <c r="BR66" s="320"/>
      <c r="BS66" s="320"/>
      <c r="BT66" s="320"/>
      <c r="BU66" s="320"/>
      <c r="BV66" s="320"/>
      <c r="BW66" s="320"/>
      <c r="BX66" s="320"/>
      <c r="BY66" s="320"/>
      <c r="BZ66" s="320"/>
      <c r="CA66" s="320"/>
      <c r="CB66" s="320"/>
      <c r="CC66" s="320"/>
      <c r="CD66" s="320"/>
      <c r="CE66" s="320"/>
      <c r="CF66" s="320"/>
      <c r="CG66" s="320"/>
      <c r="CH66" s="320"/>
      <c r="CI66" s="320"/>
      <c r="CJ66" s="320"/>
      <c r="CK66" s="320"/>
      <c r="CL66" s="320"/>
      <c r="CM66" s="320"/>
      <c r="CN66" s="320"/>
      <c r="CO66" s="320"/>
      <c r="CP66" s="320"/>
      <c r="CQ66" s="320"/>
    </row>
    <row r="67" spans="1:95" s="219" customFormat="1" ht="17.25" customHeight="1" x14ac:dyDescent="0.3">
      <c r="A67" s="206">
        <v>124062019</v>
      </c>
      <c r="B67" s="550" t="s">
        <v>243</v>
      </c>
      <c r="C67" s="550" t="s">
        <v>266</v>
      </c>
      <c r="D67" s="558" t="s">
        <v>244</v>
      </c>
      <c r="E67" s="338" t="s">
        <v>545</v>
      </c>
      <c r="F67" s="147" t="s">
        <v>544</v>
      </c>
      <c r="G67" s="147" t="s">
        <v>117</v>
      </c>
      <c r="H67" s="213">
        <v>18</v>
      </c>
      <c r="I67" s="213">
        <v>1450</v>
      </c>
      <c r="J67" s="213">
        <v>18</v>
      </c>
      <c r="K67" s="213">
        <v>1510</v>
      </c>
      <c r="L67" s="213">
        <v>19</v>
      </c>
      <c r="M67" s="213">
        <v>100</v>
      </c>
      <c r="N67" s="838" t="s">
        <v>427</v>
      </c>
      <c r="O67" s="567">
        <v>2</v>
      </c>
      <c r="P67" s="214">
        <v>17</v>
      </c>
      <c r="Q67" s="214"/>
      <c r="R67" s="602"/>
      <c r="S67" s="216"/>
      <c r="T67" s="567"/>
      <c r="U67" s="214"/>
      <c r="V67" s="214">
        <v>17</v>
      </c>
      <c r="W67" s="602"/>
      <c r="X67" s="216">
        <v>4</v>
      </c>
      <c r="Y67" s="567">
        <v>2</v>
      </c>
      <c r="Z67" s="214">
        <v>17</v>
      </c>
      <c r="AA67" s="214">
        <v>17</v>
      </c>
      <c r="AB67" s="214"/>
      <c r="AC67" s="602">
        <v>4</v>
      </c>
      <c r="AD67" s="720">
        <v>40</v>
      </c>
      <c r="AE67" s="551" t="s">
        <v>159</v>
      </c>
      <c r="AF67" s="557" t="s">
        <v>159</v>
      </c>
      <c r="AG67" s="612" t="s">
        <v>115</v>
      </c>
      <c r="AH67" s="559" t="s">
        <v>79</v>
      </c>
      <c r="AI67" s="215" t="s">
        <v>162</v>
      </c>
      <c r="AJ67" s="837" t="s">
        <v>156</v>
      </c>
      <c r="AK67" s="742">
        <v>10460</v>
      </c>
      <c r="AL67" s="603" t="s">
        <v>168</v>
      </c>
      <c r="AM67" s="320"/>
      <c r="AN67" s="320"/>
      <c r="AO67" s="320"/>
      <c r="AP67" s="320"/>
      <c r="AQ67" s="320"/>
      <c r="AR67" s="320"/>
      <c r="AS67" s="320"/>
      <c r="AT67" s="320"/>
      <c r="AU67" s="320"/>
      <c r="AV67" s="320"/>
      <c r="AW67" s="320"/>
      <c r="AX67" s="320"/>
      <c r="AY67" s="320"/>
      <c r="AZ67" s="320"/>
      <c r="BA67" s="320"/>
      <c r="BB67" s="320"/>
      <c r="BC67" s="320"/>
      <c r="BD67" s="320"/>
      <c r="BE67" s="320"/>
      <c r="BF67" s="320"/>
      <c r="BG67" s="320"/>
      <c r="BH67" s="320"/>
      <c r="BI67" s="320"/>
      <c r="BJ67" s="320"/>
      <c r="BK67" s="320"/>
      <c r="BL67" s="320"/>
      <c r="BM67" s="320"/>
      <c r="BN67" s="320"/>
      <c r="BO67" s="320"/>
      <c r="BP67" s="320"/>
      <c r="BQ67" s="320"/>
      <c r="BR67" s="320"/>
      <c r="BS67" s="320"/>
      <c r="BT67" s="320"/>
      <c r="BU67" s="320"/>
      <c r="BV67" s="320"/>
      <c r="BW67" s="320"/>
      <c r="BX67" s="320"/>
      <c r="BY67" s="320"/>
      <c r="BZ67" s="320"/>
      <c r="CA67" s="320"/>
      <c r="CB67" s="320"/>
      <c r="CC67" s="320"/>
      <c r="CD67" s="320"/>
      <c r="CE67" s="320"/>
      <c r="CF67" s="320"/>
      <c r="CG67" s="320"/>
      <c r="CH67" s="320"/>
      <c r="CI67" s="320"/>
      <c r="CJ67" s="320"/>
      <c r="CK67" s="320"/>
      <c r="CL67" s="320"/>
      <c r="CM67" s="320"/>
      <c r="CN67" s="320"/>
      <c r="CO67" s="320"/>
      <c r="CP67" s="320"/>
      <c r="CQ67" s="320"/>
    </row>
    <row r="68" spans="1:95" s="219" customFormat="1" ht="17.25" customHeight="1" x14ac:dyDescent="0.3">
      <c r="A68" s="206">
        <v>125064519</v>
      </c>
      <c r="B68" s="148" t="s">
        <v>197</v>
      </c>
      <c r="C68" s="148" t="s">
        <v>197</v>
      </c>
      <c r="D68" s="558" t="s">
        <v>428</v>
      </c>
      <c r="E68" s="338" t="s">
        <v>547</v>
      </c>
      <c r="F68" s="147" t="s">
        <v>561</v>
      </c>
      <c r="G68" s="147" t="s">
        <v>117</v>
      </c>
      <c r="H68" s="213">
        <v>19</v>
      </c>
      <c r="I68" s="213">
        <v>1530</v>
      </c>
      <c r="J68" s="213">
        <v>19</v>
      </c>
      <c r="K68" s="213">
        <v>1600</v>
      </c>
      <c r="L68" s="213">
        <v>19</v>
      </c>
      <c r="M68" s="213">
        <v>1815</v>
      </c>
      <c r="N68" s="833" t="s">
        <v>20</v>
      </c>
      <c r="O68" s="567"/>
      <c r="P68" s="214"/>
      <c r="Q68" s="214">
        <v>5</v>
      </c>
      <c r="R68" s="602"/>
      <c r="S68" s="216">
        <v>2</v>
      </c>
      <c r="T68" s="567"/>
      <c r="U68" s="214"/>
      <c r="V68" s="214"/>
      <c r="W68" s="602"/>
      <c r="X68" s="216"/>
      <c r="Y68" s="567"/>
      <c r="Z68" s="214"/>
      <c r="AA68" s="214">
        <v>5</v>
      </c>
      <c r="AB68" s="214"/>
      <c r="AC68" s="602">
        <v>2</v>
      </c>
      <c r="AD68" s="720">
        <v>7</v>
      </c>
      <c r="AE68" s="551" t="s">
        <v>202</v>
      </c>
      <c r="AF68" s="551" t="s">
        <v>238</v>
      </c>
      <c r="AG68" s="612" t="s">
        <v>115</v>
      </c>
      <c r="AH68" s="559" t="s">
        <v>94</v>
      </c>
      <c r="AI68" s="215" t="s">
        <v>150</v>
      </c>
      <c r="AJ68" s="837" t="s">
        <v>156</v>
      </c>
      <c r="AK68" s="742">
        <v>1740</v>
      </c>
      <c r="AL68" s="216"/>
      <c r="AM68" s="320"/>
      <c r="AN68" s="320"/>
      <c r="AO68" s="320"/>
      <c r="AP68" s="320"/>
      <c r="AQ68" s="320"/>
      <c r="AR68" s="320"/>
      <c r="AS68" s="320"/>
      <c r="AT68" s="320"/>
      <c r="AU68" s="320"/>
      <c r="AV68" s="320"/>
      <c r="AW68" s="320"/>
      <c r="AX68" s="320"/>
      <c r="AY68" s="320"/>
      <c r="AZ68" s="320"/>
      <c r="BA68" s="320"/>
      <c r="BB68" s="320"/>
      <c r="BC68" s="320"/>
      <c r="BD68" s="320"/>
      <c r="BE68" s="320"/>
      <c r="BF68" s="320"/>
      <c r="BG68" s="320"/>
      <c r="BH68" s="320"/>
      <c r="BI68" s="320"/>
      <c r="BJ68" s="320"/>
      <c r="BK68" s="320"/>
      <c r="BL68" s="320"/>
      <c r="BM68" s="320"/>
      <c r="BN68" s="320"/>
      <c r="BO68" s="320"/>
      <c r="BP68" s="320"/>
      <c r="BQ68" s="320"/>
      <c r="BR68" s="320"/>
      <c r="BS68" s="320"/>
      <c r="BT68" s="320"/>
      <c r="BU68" s="320"/>
      <c r="BV68" s="320"/>
      <c r="BW68" s="320"/>
      <c r="BX68" s="320"/>
      <c r="BY68" s="320"/>
      <c r="BZ68" s="320"/>
      <c r="CA68" s="320"/>
      <c r="CB68" s="320"/>
      <c r="CC68" s="320"/>
      <c r="CD68" s="320"/>
      <c r="CE68" s="320"/>
      <c r="CF68" s="320"/>
      <c r="CG68" s="320"/>
      <c r="CH68" s="320"/>
      <c r="CI68" s="320"/>
      <c r="CJ68" s="320"/>
      <c r="CK68" s="320"/>
      <c r="CL68" s="320"/>
      <c r="CM68" s="320"/>
      <c r="CN68" s="320"/>
      <c r="CO68" s="320"/>
      <c r="CP68" s="320"/>
      <c r="CQ68" s="320"/>
    </row>
    <row r="69" spans="1:95" s="219" customFormat="1" ht="17.25" customHeight="1" x14ac:dyDescent="0.3">
      <c r="A69" s="608">
        <v>126061519</v>
      </c>
      <c r="B69" s="609" t="s">
        <v>169</v>
      </c>
      <c r="C69" s="609" t="s">
        <v>172</v>
      </c>
      <c r="D69" s="558" t="s">
        <v>429</v>
      </c>
      <c r="E69" s="146" t="s">
        <v>455</v>
      </c>
      <c r="F69" s="146" t="s">
        <v>456</v>
      </c>
      <c r="G69" s="213" t="s">
        <v>117</v>
      </c>
      <c r="H69" s="213">
        <v>19</v>
      </c>
      <c r="I69" s="213">
        <v>1200</v>
      </c>
      <c r="J69" s="213">
        <v>19</v>
      </c>
      <c r="K69" s="213">
        <v>1300</v>
      </c>
      <c r="L69" s="213">
        <v>20</v>
      </c>
      <c r="M69" s="213">
        <v>1100</v>
      </c>
      <c r="N69" s="838" t="s">
        <v>276</v>
      </c>
      <c r="O69" s="567">
        <v>0.5</v>
      </c>
      <c r="P69" s="214"/>
      <c r="Q69" s="214"/>
      <c r="R69" s="602"/>
      <c r="S69" s="216"/>
      <c r="T69" s="567"/>
      <c r="U69" s="214">
        <v>2</v>
      </c>
      <c r="V69" s="214">
        <v>4.5</v>
      </c>
      <c r="W69" s="602"/>
      <c r="X69" s="216"/>
      <c r="Y69" s="567">
        <v>0.5</v>
      </c>
      <c r="Z69" s="214">
        <v>2</v>
      </c>
      <c r="AA69" s="214">
        <v>4.5</v>
      </c>
      <c r="AB69" s="214"/>
      <c r="AC69" s="602"/>
      <c r="AD69" s="720">
        <v>7</v>
      </c>
      <c r="AE69" s="551" t="s">
        <v>159</v>
      </c>
      <c r="AF69" s="557" t="s">
        <v>159</v>
      </c>
      <c r="AG69" s="612" t="s">
        <v>115</v>
      </c>
      <c r="AH69" s="834" t="s">
        <v>78</v>
      </c>
      <c r="AI69" s="215" t="s">
        <v>150</v>
      </c>
      <c r="AJ69" s="837" t="s">
        <v>165</v>
      </c>
      <c r="AK69" s="742">
        <v>8000</v>
      </c>
      <c r="AL69" s="603" t="s">
        <v>168</v>
      </c>
      <c r="AM69" s="320"/>
      <c r="AN69" s="320"/>
      <c r="AO69" s="320"/>
      <c r="AP69" s="320"/>
      <c r="AQ69" s="320"/>
      <c r="AR69" s="320"/>
      <c r="AS69" s="320"/>
      <c r="AT69" s="320"/>
      <c r="AU69" s="320"/>
      <c r="AV69" s="320"/>
      <c r="AW69" s="320"/>
      <c r="AX69" s="320"/>
      <c r="AY69" s="320"/>
      <c r="AZ69" s="320"/>
      <c r="BA69" s="320"/>
      <c r="BB69" s="320"/>
      <c r="BC69" s="320"/>
      <c r="BD69" s="320"/>
      <c r="BE69" s="320"/>
      <c r="BF69" s="320"/>
      <c r="BG69" s="320"/>
      <c r="BH69" s="320"/>
      <c r="BI69" s="320"/>
      <c r="BJ69" s="320"/>
      <c r="BK69" s="320"/>
      <c r="BL69" s="320"/>
      <c r="BM69" s="320"/>
      <c r="BN69" s="320"/>
      <c r="BO69" s="320"/>
      <c r="BP69" s="320"/>
      <c r="BQ69" s="320"/>
      <c r="BR69" s="320"/>
      <c r="BS69" s="320"/>
      <c r="BT69" s="320"/>
      <c r="BU69" s="320"/>
      <c r="BV69" s="320"/>
      <c r="BW69" s="320"/>
      <c r="BX69" s="320"/>
      <c r="BY69" s="320"/>
      <c r="BZ69" s="320"/>
      <c r="CA69" s="320"/>
      <c r="CB69" s="320"/>
      <c r="CC69" s="320"/>
      <c r="CD69" s="320"/>
      <c r="CE69" s="320"/>
      <c r="CF69" s="320"/>
      <c r="CG69" s="320"/>
      <c r="CH69" s="320"/>
      <c r="CI69" s="320"/>
      <c r="CJ69" s="320"/>
      <c r="CK69" s="320"/>
      <c r="CL69" s="320"/>
      <c r="CM69" s="320"/>
      <c r="CN69" s="320"/>
      <c r="CO69" s="320"/>
      <c r="CP69" s="320"/>
      <c r="CQ69" s="320"/>
    </row>
    <row r="70" spans="1:95" s="337" customFormat="1" ht="15" customHeight="1" x14ac:dyDescent="0.3">
      <c r="A70" s="206">
        <v>127064519</v>
      </c>
      <c r="B70" s="148" t="s">
        <v>197</v>
      </c>
      <c r="C70" s="148" t="s">
        <v>197</v>
      </c>
      <c r="D70" s="149" t="s">
        <v>430</v>
      </c>
      <c r="E70" s="339" t="s">
        <v>549</v>
      </c>
      <c r="F70" s="339" t="s">
        <v>548</v>
      </c>
      <c r="G70" s="147" t="s">
        <v>117</v>
      </c>
      <c r="H70" s="335">
        <v>20</v>
      </c>
      <c r="I70" s="335">
        <v>2020</v>
      </c>
      <c r="J70" s="335">
        <v>20</v>
      </c>
      <c r="K70" s="335">
        <v>2045</v>
      </c>
      <c r="L70" s="335">
        <v>21</v>
      </c>
      <c r="M70" s="335">
        <v>200</v>
      </c>
      <c r="N70" s="867" t="s">
        <v>276</v>
      </c>
      <c r="O70" s="696"/>
      <c r="P70" s="689">
        <v>2</v>
      </c>
      <c r="Q70" s="689">
        <v>8</v>
      </c>
      <c r="R70" s="689"/>
      <c r="S70" s="695"/>
      <c r="T70" s="696"/>
      <c r="U70" s="689"/>
      <c r="V70" s="689"/>
      <c r="W70" s="689"/>
      <c r="X70" s="695"/>
      <c r="Y70" s="696"/>
      <c r="Z70" s="689">
        <v>2</v>
      </c>
      <c r="AA70" s="689">
        <v>8</v>
      </c>
      <c r="AB70" s="689"/>
      <c r="AC70" s="714"/>
      <c r="AD70" s="721">
        <v>10</v>
      </c>
      <c r="AE70" s="686" t="s">
        <v>148</v>
      </c>
      <c r="AF70" s="687" t="s">
        <v>254</v>
      </c>
      <c r="AG70" s="612" t="s">
        <v>115</v>
      </c>
      <c r="AH70" s="559" t="s">
        <v>79</v>
      </c>
      <c r="AI70" s="215" t="s">
        <v>150</v>
      </c>
      <c r="AJ70" s="837" t="s">
        <v>216</v>
      </c>
      <c r="AK70" s="745">
        <v>3440</v>
      </c>
      <c r="AL70" s="695"/>
      <c r="AM70" s="336"/>
      <c r="AN70" s="336"/>
      <c r="AO70" s="336"/>
      <c r="AP70" s="336"/>
      <c r="AQ70" s="336"/>
      <c r="AR70" s="336"/>
      <c r="AS70" s="336"/>
      <c r="AT70" s="336"/>
      <c r="AU70" s="336"/>
      <c r="AV70" s="336"/>
      <c r="AW70" s="336"/>
      <c r="AX70" s="336"/>
      <c r="AY70" s="336"/>
      <c r="AZ70" s="336"/>
      <c r="BA70" s="336"/>
      <c r="BB70" s="336"/>
      <c r="BC70" s="336"/>
      <c r="BD70" s="336"/>
      <c r="BE70" s="336"/>
      <c r="BF70" s="336"/>
      <c r="BG70" s="336"/>
      <c r="BH70" s="336"/>
      <c r="BI70" s="336"/>
      <c r="BJ70" s="336"/>
      <c r="BK70" s="336"/>
      <c r="BL70" s="336"/>
      <c r="BM70" s="336"/>
      <c r="BN70" s="336"/>
      <c r="BO70" s="336"/>
      <c r="BP70" s="336"/>
      <c r="BQ70" s="336"/>
      <c r="BR70" s="336"/>
      <c r="BS70" s="336"/>
      <c r="BT70" s="336"/>
      <c r="BU70" s="336"/>
      <c r="BV70" s="336"/>
      <c r="BW70" s="336"/>
      <c r="BX70" s="336"/>
      <c r="BY70" s="336"/>
      <c r="BZ70" s="336"/>
      <c r="CA70" s="336"/>
      <c r="CB70" s="336"/>
      <c r="CC70" s="336"/>
      <c r="CD70" s="336"/>
      <c r="CE70" s="336"/>
      <c r="CF70" s="336"/>
      <c r="CG70" s="336"/>
      <c r="CH70" s="336"/>
      <c r="CI70" s="336"/>
      <c r="CJ70" s="336"/>
      <c r="CK70" s="336"/>
      <c r="CL70" s="336"/>
      <c r="CM70" s="336"/>
      <c r="CN70" s="336"/>
      <c r="CO70" s="336"/>
      <c r="CP70" s="336"/>
      <c r="CQ70" s="336"/>
    </row>
    <row r="71" spans="1:95" s="336" customFormat="1" ht="16.5" customHeight="1" x14ac:dyDescent="0.3">
      <c r="A71" s="702">
        <v>128061819</v>
      </c>
      <c r="B71" s="705" t="s">
        <v>205</v>
      </c>
      <c r="C71" s="706" t="s">
        <v>217</v>
      </c>
      <c r="D71" s="700" t="s">
        <v>425</v>
      </c>
      <c r="E71" s="146" t="s">
        <v>452</v>
      </c>
      <c r="F71" s="146" t="s">
        <v>451</v>
      </c>
      <c r="G71" s="213" t="s">
        <v>367</v>
      </c>
      <c r="H71" s="326">
        <v>26</v>
      </c>
      <c r="I71" s="326">
        <v>1430</v>
      </c>
      <c r="J71" s="326">
        <v>26</v>
      </c>
      <c r="K71" s="326">
        <v>1505</v>
      </c>
      <c r="L71" s="326">
        <v>26</v>
      </c>
      <c r="M71" s="326">
        <v>1850</v>
      </c>
      <c r="N71" s="838" t="s">
        <v>51</v>
      </c>
      <c r="O71" s="697">
        <v>9</v>
      </c>
      <c r="P71" s="698"/>
      <c r="Q71" s="698"/>
      <c r="R71" s="698"/>
      <c r="S71" s="699"/>
      <c r="T71" s="697">
        <v>1</v>
      </c>
      <c r="U71" s="698"/>
      <c r="V71" s="698"/>
      <c r="W71" s="698"/>
      <c r="X71" s="699"/>
      <c r="Y71" s="697">
        <v>10</v>
      </c>
      <c r="Z71" s="698"/>
      <c r="AA71" s="698"/>
      <c r="AB71" s="698"/>
      <c r="AC71" s="715"/>
      <c r="AD71" s="722">
        <v>10</v>
      </c>
      <c r="AE71" s="583" t="s">
        <v>159</v>
      </c>
      <c r="AF71" s="584" t="s">
        <v>159</v>
      </c>
      <c r="AG71" s="842" t="s">
        <v>115</v>
      </c>
      <c r="AH71" s="703" t="s">
        <v>79</v>
      </c>
      <c r="AI71" s="704" t="s">
        <v>285</v>
      </c>
      <c r="AJ71" s="835" t="s">
        <v>151</v>
      </c>
      <c r="AK71" s="746">
        <v>50000</v>
      </c>
      <c r="AL71" s="603" t="s">
        <v>168</v>
      </c>
    </row>
    <row r="72" spans="1:95" s="336" customFormat="1" ht="16.5" customHeight="1" thickBot="1" x14ac:dyDescent="0.35">
      <c r="A72" s="611">
        <v>129060119</v>
      </c>
      <c r="B72" s="726" t="s">
        <v>300</v>
      </c>
      <c r="C72" s="726" t="s">
        <v>300</v>
      </c>
      <c r="D72" s="700" t="s">
        <v>438</v>
      </c>
      <c r="E72" s="727" t="s">
        <v>492</v>
      </c>
      <c r="F72" s="728" t="s">
        <v>493</v>
      </c>
      <c r="G72" s="213" t="s">
        <v>117</v>
      </c>
      <c r="H72" s="326">
        <v>29</v>
      </c>
      <c r="I72" s="326">
        <v>1640</v>
      </c>
      <c r="J72" s="326">
        <v>29</v>
      </c>
      <c r="K72" s="326">
        <v>1800</v>
      </c>
      <c r="L72" s="326">
        <v>30</v>
      </c>
      <c r="M72" s="326">
        <v>600</v>
      </c>
      <c r="N72" s="843" t="s">
        <v>234</v>
      </c>
      <c r="O72" s="868"/>
      <c r="P72" s="869"/>
      <c r="Q72" s="869"/>
      <c r="R72" s="869"/>
      <c r="S72" s="870"/>
      <c r="T72" s="697"/>
      <c r="U72" s="698">
        <v>6</v>
      </c>
      <c r="V72" s="698">
        <v>6</v>
      </c>
      <c r="W72" s="698"/>
      <c r="X72" s="699"/>
      <c r="Y72" s="697"/>
      <c r="Z72" s="698">
        <v>6</v>
      </c>
      <c r="AA72" s="698">
        <v>6</v>
      </c>
      <c r="AB72" s="698"/>
      <c r="AC72" s="715"/>
      <c r="AD72" s="722">
        <v>12</v>
      </c>
      <c r="AE72" s="514" t="s">
        <v>202</v>
      </c>
      <c r="AF72" s="514" t="s">
        <v>239</v>
      </c>
      <c r="AG72" s="842" t="s">
        <v>115</v>
      </c>
      <c r="AH72" s="844" t="s">
        <v>29</v>
      </c>
      <c r="AI72" s="704" t="s">
        <v>285</v>
      </c>
      <c r="AJ72" s="835" t="s">
        <v>151</v>
      </c>
      <c r="AK72" s="746">
        <v>901800</v>
      </c>
      <c r="AL72" s="214"/>
    </row>
    <row r="73" spans="1:95" s="49" customFormat="1" ht="18" customHeight="1" thickBot="1" x14ac:dyDescent="0.4">
      <c r="A73" s="1018" t="s">
        <v>23</v>
      </c>
      <c r="B73" s="1019"/>
      <c r="C73" s="1019"/>
      <c r="D73" s="1019"/>
      <c r="E73" s="1019"/>
      <c r="F73" s="1019"/>
      <c r="G73" s="1019"/>
      <c r="H73" s="1019"/>
      <c r="I73" s="1019"/>
      <c r="J73" s="1019"/>
      <c r="K73" s="1019"/>
      <c r="L73" s="1019"/>
      <c r="M73" s="1019"/>
      <c r="N73" s="1020"/>
      <c r="O73" s="701">
        <f>SUM(O12:O72)</f>
        <v>264.5</v>
      </c>
      <c r="P73" s="701">
        <f t="shared" ref="P73:AD73" si="0">SUM(P12:P72)</f>
        <v>120.5</v>
      </c>
      <c r="Q73" s="701">
        <f t="shared" si="0"/>
        <v>534.5</v>
      </c>
      <c r="R73" s="701">
        <f t="shared" si="0"/>
        <v>0</v>
      </c>
      <c r="S73" s="701">
        <f t="shared" si="0"/>
        <v>2</v>
      </c>
      <c r="T73" s="701">
        <f t="shared" si="0"/>
        <v>35</v>
      </c>
      <c r="U73" s="701">
        <f t="shared" si="0"/>
        <v>22</v>
      </c>
      <c r="V73" s="701">
        <f t="shared" si="0"/>
        <v>447.5</v>
      </c>
      <c r="W73" s="701">
        <f t="shared" si="0"/>
        <v>0</v>
      </c>
      <c r="X73" s="701">
        <f t="shared" si="0"/>
        <v>77</v>
      </c>
      <c r="Y73" s="701">
        <f t="shared" si="0"/>
        <v>299.5</v>
      </c>
      <c r="Z73" s="701">
        <f t="shared" si="0"/>
        <v>142.5</v>
      </c>
      <c r="AA73" s="701">
        <f t="shared" si="0"/>
        <v>982</v>
      </c>
      <c r="AB73" s="701">
        <f t="shared" si="0"/>
        <v>0</v>
      </c>
      <c r="AC73" s="701">
        <f t="shared" si="0"/>
        <v>79</v>
      </c>
      <c r="AD73" s="871">
        <f t="shared" si="0"/>
        <v>1503</v>
      </c>
      <c r="AE73" s="707"/>
      <c r="AF73" s="708"/>
      <c r="AG73" s="709"/>
      <c r="AH73" s="709"/>
      <c r="AI73" s="708"/>
      <c r="AJ73" s="710"/>
      <c r="AK73" s="747"/>
      <c r="AL73" s="711"/>
      <c r="AM73" s="45"/>
    </row>
    <row r="74" spans="1:95" x14ac:dyDescent="0.35">
      <c r="Y74" s="243"/>
    </row>
  </sheetData>
  <mergeCells count="32">
    <mergeCell ref="AH9:AH11"/>
    <mergeCell ref="AG9:AG11"/>
    <mergeCell ref="AK9:AK11"/>
    <mergeCell ref="AL9:AL11"/>
    <mergeCell ref="AE9:AF10"/>
    <mergeCell ref="Y10:AD10"/>
    <mergeCell ref="K10:K11"/>
    <mergeCell ref="H9:I9"/>
    <mergeCell ref="E10:E11"/>
    <mergeCell ref="L10:L11"/>
    <mergeCell ref="O9:AD9"/>
    <mergeCell ref="O10:S10"/>
    <mergeCell ref="A1:AJ1"/>
    <mergeCell ref="A4:AJ4"/>
    <mergeCell ref="A9:A11"/>
    <mergeCell ref="B9:B11"/>
    <mergeCell ref="T10:X10"/>
    <mergeCell ref="J10:J11"/>
    <mergeCell ref="F10:F11"/>
    <mergeCell ref="G10:G11"/>
    <mergeCell ref="AI9:AI11"/>
    <mergeCell ref="AJ9:AJ11"/>
    <mergeCell ref="A73:N73"/>
    <mergeCell ref="H10:H11"/>
    <mergeCell ref="I10:I11"/>
    <mergeCell ref="D9:D11"/>
    <mergeCell ref="M10:M11"/>
    <mergeCell ref="L9:M9"/>
    <mergeCell ref="J9:K9"/>
    <mergeCell ref="C9:C11"/>
    <mergeCell ref="N9:N11"/>
    <mergeCell ref="E9:G9"/>
  </mergeCells>
  <phoneticPr fontId="11" type="noConversion"/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E5" zoomScaleNormal="100" workbookViewId="0">
      <selection activeCell="AD23" sqref="AD23"/>
    </sheetView>
  </sheetViews>
  <sheetFormatPr baseColWidth="10" defaultRowHeight="14.5" x14ac:dyDescent="0.35"/>
  <cols>
    <col min="1" max="1" width="10.7265625" style="55" customWidth="1"/>
    <col min="2" max="2" width="13.453125" style="60" customWidth="1"/>
    <col min="3" max="3" width="14.1796875" style="60" customWidth="1"/>
    <col min="4" max="4" width="19.453125" style="55" customWidth="1"/>
    <col min="5" max="5" width="11.81640625" style="55" customWidth="1"/>
    <col min="6" max="6" width="13.7265625" style="55" customWidth="1"/>
    <col min="7" max="7" width="9.453125" style="55" customWidth="1"/>
    <col min="8" max="8" width="6.26953125" style="55" customWidth="1"/>
    <col min="9" max="9" width="7.7265625" style="55" customWidth="1"/>
    <col min="10" max="10" width="6.7265625" style="55" customWidth="1"/>
    <col min="11" max="11" width="7.7265625" style="55" customWidth="1"/>
    <col min="12" max="12" width="6.1796875" style="55" customWidth="1"/>
    <col min="13" max="13" width="7.1796875" style="55" customWidth="1"/>
    <col min="14" max="14" width="17.7265625" style="76" customWidth="1"/>
    <col min="15" max="30" width="11" style="103" customWidth="1"/>
    <col min="31" max="31" width="12.1796875" style="55" customWidth="1"/>
    <col min="32" max="32" width="34.81640625" style="55" customWidth="1"/>
    <col min="33" max="33" width="12.453125" style="55" customWidth="1"/>
    <col min="34" max="34" width="11" style="55" customWidth="1"/>
    <col min="35" max="35" width="25.81640625" style="114" customWidth="1"/>
    <col min="36" max="36" width="16.1796875" style="76" customWidth="1"/>
    <col min="37" max="37" width="13.54296875" style="729" customWidth="1"/>
    <col min="38" max="38" width="11" style="55" customWidth="1"/>
  </cols>
  <sheetData>
    <row r="1" spans="1:38" ht="15.5" x14ac:dyDescent="0.35">
      <c r="A1" s="1057" t="s">
        <v>0</v>
      </c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  <c r="O1" s="1057"/>
      <c r="P1" s="1057"/>
      <c r="Q1" s="1057"/>
      <c r="R1" s="1057"/>
      <c r="S1" s="1057"/>
      <c r="T1" s="1057"/>
      <c r="U1" s="1057"/>
      <c r="V1" s="1057"/>
      <c r="W1" s="1057"/>
      <c r="X1" s="1057"/>
      <c r="Y1" s="1057"/>
      <c r="Z1" s="1057"/>
      <c r="AA1" s="1057"/>
      <c r="AB1" s="1057"/>
      <c r="AC1" s="1057"/>
      <c r="AD1" s="1057"/>
      <c r="AE1" s="1057"/>
      <c r="AF1" s="1057"/>
      <c r="AG1" s="1057"/>
      <c r="AH1" s="1057"/>
      <c r="AI1" s="1057"/>
      <c r="AJ1" s="1057"/>
    </row>
    <row r="2" spans="1:38" ht="15.5" x14ac:dyDescent="0.35">
      <c r="A2" s="5" t="s">
        <v>139</v>
      </c>
      <c r="B2" s="44"/>
      <c r="C2" s="44"/>
      <c r="D2" s="88"/>
      <c r="E2" s="73"/>
      <c r="F2" s="73"/>
      <c r="G2" s="5"/>
      <c r="H2" s="5"/>
      <c r="I2" s="4"/>
      <c r="J2" s="54"/>
      <c r="K2" s="54"/>
      <c r="L2" s="54"/>
      <c r="M2" s="54"/>
      <c r="N2" s="74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54"/>
      <c r="AF2" s="54"/>
      <c r="AG2" s="54"/>
      <c r="AH2" s="54"/>
      <c r="AI2" s="112"/>
      <c r="AJ2" s="74"/>
      <c r="AK2" s="730"/>
      <c r="AL2" s="53"/>
    </row>
    <row r="3" spans="1:38" ht="15.5" x14ac:dyDescent="0.35">
      <c r="A3" s="5" t="s">
        <v>123</v>
      </c>
      <c r="B3" s="44"/>
      <c r="C3" s="44"/>
      <c r="D3" s="54"/>
      <c r="E3" s="54"/>
      <c r="F3" s="54"/>
      <c r="G3" s="54"/>
      <c r="H3" s="54"/>
      <c r="I3" s="54"/>
      <c r="J3" s="54"/>
      <c r="K3" s="54"/>
      <c r="L3" s="54"/>
      <c r="M3" s="54"/>
      <c r="N3" s="74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54"/>
      <c r="AF3" s="54"/>
      <c r="AG3" s="54"/>
      <c r="AH3" s="54"/>
      <c r="AI3" s="112"/>
      <c r="AJ3" s="74"/>
      <c r="AK3" s="730"/>
      <c r="AL3" s="53"/>
    </row>
    <row r="4" spans="1:38" s="50" customFormat="1" ht="15.5" x14ac:dyDescent="0.35">
      <c r="A4" s="1058" t="s">
        <v>121</v>
      </c>
      <c r="B4" s="1058"/>
      <c r="C4" s="1058"/>
      <c r="D4" s="1058"/>
      <c r="E4" s="1058"/>
      <c r="F4" s="1058"/>
      <c r="G4" s="1058"/>
      <c r="H4" s="1058"/>
      <c r="I4" s="1058"/>
      <c r="J4" s="1058"/>
      <c r="K4" s="1058"/>
      <c r="L4" s="1058"/>
      <c r="M4" s="1058"/>
      <c r="N4" s="1058"/>
      <c r="O4" s="1058"/>
      <c r="P4" s="1058"/>
      <c r="Q4" s="1058"/>
      <c r="R4" s="1058"/>
      <c r="S4" s="1058"/>
      <c r="T4" s="1058"/>
      <c r="U4" s="1058"/>
      <c r="V4" s="1058"/>
      <c r="W4" s="1058"/>
      <c r="X4" s="1058"/>
      <c r="Y4" s="1058"/>
      <c r="Z4" s="1058"/>
      <c r="AA4" s="1058"/>
      <c r="AB4" s="1058"/>
      <c r="AC4" s="1058"/>
      <c r="AD4" s="1058"/>
      <c r="AE4" s="1058"/>
      <c r="AF4" s="1058"/>
      <c r="AG4" s="1058"/>
      <c r="AH4" s="1058"/>
      <c r="AI4" s="1058"/>
      <c r="AJ4" s="1058"/>
      <c r="AK4" s="731"/>
      <c r="AL4" s="56"/>
    </row>
    <row r="5" spans="1:38" ht="15.5" x14ac:dyDescent="0.35">
      <c r="A5" s="54"/>
      <c r="B5" s="58"/>
      <c r="C5" s="58"/>
      <c r="D5" s="54"/>
      <c r="E5" s="54"/>
      <c r="F5" s="54"/>
      <c r="G5" s="54"/>
      <c r="H5" s="54"/>
      <c r="I5" s="54"/>
      <c r="J5" s="54"/>
      <c r="K5" s="54"/>
      <c r="L5" s="54"/>
      <c r="M5" s="54"/>
      <c r="N5" s="74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54"/>
      <c r="AF5" s="54"/>
      <c r="AG5" s="54"/>
      <c r="AH5" s="54"/>
      <c r="AI5" s="112"/>
      <c r="AJ5" s="74"/>
      <c r="AK5" s="730"/>
      <c r="AL5" s="53"/>
    </row>
    <row r="6" spans="1:38" ht="15.5" x14ac:dyDescent="0.35">
      <c r="A6" s="53"/>
      <c r="B6" s="59"/>
      <c r="C6" s="59"/>
      <c r="D6" s="53"/>
      <c r="E6" s="53"/>
      <c r="F6" s="53"/>
      <c r="G6" s="81"/>
      <c r="H6" s="81" t="s">
        <v>126</v>
      </c>
      <c r="I6" s="82"/>
      <c r="M6" s="53"/>
      <c r="N6" s="75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52"/>
      <c r="Z6" s="252"/>
      <c r="AA6" s="252"/>
      <c r="AB6" s="252"/>
      <c r="AC6" s="252"/>
      <c r="AD6" s="252"/>
      <c r="AE6" s="57"/>
      <c r="AF6" s="57"/>
      <c r="AG6" s="53"/>
      <c r="AH6" s="53"/>
      <c r="AI6" s="113"/>
      <c r="AJ6" s="75"/>
      <c r="AK6" s="730"/>
      <c r="AL6" s="53"/>
    </row>
    <row r="7" spans="1:38" ht="15.5" x14ac:dyDescent="0.35">
      <c r="A7" s="53"/>
      <c r="B7" s="59"/>
      <c r="C7" s="59"/>
      <c r="G7" s="54"/>
      <c r="H7" s="54" t="s">
        <v>144</v>
      </c>
      <c r="I7" s="54"/>
      <c r="M7" s="53"/>
      <c r="N7" s="75"/>
      <c r="O7" s="249"/>
      <c r="P7" s="249"/>
      <c r="Q7" s="249"/>
      <c r="R7" s="249"/>
      <c r="W7" s="249"/>
      <c r="X7" s="249"/>
      <c r="Y7" s="249"/>
      <c r="Z7" s="249"/>
      <c r="AA7" s="249"/>
      <c r="AB7" s="249"/>
      <c r="AC7" s="249"/>
      <c r="AD7" s="249"/>
      <c r="AE7" s="53"/>
      <c r="AF7" s="53"/>
      <c r="AK7" s="730"/>
      <c r="AL7" s="53"/>
    </row>
    <row r="8" spans="1:38" s="66" customFormat="1" ht="15" thickBot="1" x14ac:dyDescent="0.4">
      <c r="A8" s="1059"/>
      <c r="B8" s="1059"/>
      <c r="C8" s="1059"/>
      <c r="D8" s="1059"/>
      <c r="E8" s="1059"/>
      <c r="F8" s="1059"/>
      <c r="G8" s="1059"/>
      <c r="H8" s="1059"/>
      <c r="I8" s="1059"/>
      <c r="J8" s="1059"/>
      <c r="K8" s="1059"/>
      <c r="L8" s="1059"/>
      <c r="M8" s="1059"/>
      <c r="N8" s="1059"/>
      <c r="O8" s="1059"/>
      <c r="P8" s="1059"/>
      <c r="Q8" s="1059"/>
      <c r="R8" s="1059"/>
      <c r="S8" s="1059"/>
      <c r="T8" s="1059"/>
      <c r="U8" s="1059"/>
      <c r="V8" s="1059"/>
      <c r="W8" s="1059"/>
      <c r="X8" s="1059"/>
      <c r="Y8" s="1059"/>
      <c r="Z8" s="1059"/>
      <c r="AA8" s="1059"/>
      <c r="AB8" s="1059"/>
      <c r="AC8" s="1059"/>
      <c r="AD8" s="1059"/>
      <c r="AE8" s="1059"/>
      <c r="AF8" s="1059"/>
      <c r="AG8" s="1059"/>
      <c r="AH8" s="1059"/>
      <c r="AI8" s="1059"/>
      <c r="AJ8" s="1059"/>
      <c r="AK8" s="732"/>
      <c r="AL8" s="154"/>
    </row>
    <row r="9" spans="1:38" s="52" customFormat="1" ht="15.75" customHeight="1" x14ac:dyDescent="0.35">
      <c r="A9" s="1060" t="s">
        <v>1</v>
      </c>
      <c r="B9" s="1045" t="s">
        <v>2</v>
      </c>
      <c r="C9" s="1045" t="s">
        <v>3</v>
      </c>
      <c r="D9" s="1048" t="s">
        <v>128</v>
      </c>
      <c r="E9" s="1051" t="s">
        <v>118</v>
      </c>
      <c r="F9" s="1051"/>
      <c r="G9" s="1051"/>
      <c r="H9" s="1048" t="s">
        <v>4</v>
      </c>
      <c r="I9" s="1048"/>
      <c r="J9" s="1048" t="s">
        <v>5</v>
      </c>
      <c r="K9" s="1048"/>
      <c r="L9" s="1048" t="s">
        <v>6</v>
      </c>
      <c r="M9" s="1048"/>
      <c r="N9" s="1048" t="s">
        <v>127</v>
      </c>
      <c r="O9" s="1054" t="s">
        <v>7</v>
      </c>
      <c r="P9" s="1054"/>
      <c r="Q9" s="1054"/>
      <c r="R9" s="1054"/>
      <c r="S9" s="1054"/>
      <c r="T9" s="1054"/>
      <c r="U9" s="1054"/>
      <c r="V9" s="1054"/>
      <c r="W9" s="1054"/>
      <c r="X9" s="1054"/>
      <c r="Y9" s="1054"/>
      <c r="Z9" s="1054"/>
      <c r="AA9" s="1054"/>
      <c r="AB9" s="1054"/>
      <c r="AC9" s="1054"/>
      <c r="AD9" s="1054"/>
      <c r="AE9" s="1002" t="s">
        <v>137</v>
      </c>
      <c r="AF9" s="1003"/>
      <c r="AG9" s="1048" t="s">
        <v>15</v>
      </c>
      <c r="AH9" s="1048" t="s">
        <v>96</v>
      </c>
      <c r="AI9" s="158" t="s">
        <v>66</v>
      </c>
      <c r="AJ9" s="157" t="s">
        <v>8</v>
      </c>
      <c r="AK9" s="733" t="s">
        <v>9</v>
      </c>
      <c r="AL9" s="159" t="s">
        <v>10</v>
      </c>
    </row>
    <row r="10" spans="1:38" s="52" customFormat="1" ht="24" customHeight="1" x14ac:dyDescent="0.35">
      <c r="A10" s="1061"/>
      <c r="B10" s="1046"/>
      <c r="C10" s="1046"/>
      <c r="D10" s="1049"/>
      <c r="E10" s="1052" t="s">
        <v>119</v>
      </c>
      <c r="F10" s="1052" t="s">
        <v>120</v>
      </c>
      <c r="G10" s="1063" t="s">
        <v>117</v>
      </c>
      <c r="H10" s="1049" t="s">
        <v>11</v>
      </c>
      <c r="I10" s="1049" t="s">
        <v>12</v>
      </c>
      <c r="J10" s="1049" t="s">
        <v>11</v>
      </c>
      <c r="K10" s="1049" t="s">
        <v>12</v>
      </c>
      <c r="L10" s="1049" t="s">
        <v>11</v>
      </c>
      <c r="M10" s="1049" t="s">
        <v>12</v>
      </c>
      <c r="N10" s="1049"/>
      <c r="O10" s="1055" t="s">
        <v>13</v>
      </c>
      <c r="P10" s="1055"/>
      <c r="Q10" s="1055"/>
      <c r="R10" s="1055"/>
      <c r="S10" s="1055"/>
      <c r="T10" s="1056" t="s">
        <v>14</v>
      </c>
      <c r="U10" s="1056"/>
      <c r="V10" s="1056"/>
      <c r="W10" s="1056"/>
      <c r="X10" s="1056"/>
      <c r="Y10" s="1055" t="s">
        <v>23</v>
      </c>
      <c r="Z10" s="1055"/>
      <c r="AA10" s="1055"/>
      <c r="AB10" s="1055"/>
      <c r="AC10" s="1055"/>
      <c r="AD10" s="1055"/>
      <c r="AE10" s="1016"/>
      <c r="AF10" s="1017"/>
      <c r="AG10" s="1049"/>
      <c r="AH10" s="1049"/>
      <c r="AI10" s="156" t="s">
        <v>24</v>
      </c>
      <c r="AJ10" s="155" t="s">
        <v>16</v>
      </c>
      <c r="AK10" s="734" t="s">
        <v>129</v>
      </c>
      <c r="AL10" s="160" t="s">
        <v>17</v>
      </c>
    </row>
    <row r="11" spans="1:38" s="52" customFormat="1" ht="26.5" thickBot="1" x14ac:dyDescent="0.4">
      <c r="A11" s="1062"/>
      <c r="B11" s="1047"/>
      <c r="C11" s="1047"/>
      <c r="D11" s="1050"/>
      <c r="E11" s="1053"/>
      <c r="F11" s="1053"/>
      <c r="G11" s="1064"/>
      <c r="H11" s="1050"/>
      <c r="I11" s="1050"/>
      <c r="J11" s="1050"/>
      <c r="K11" s="1050"/>
      <c r="L11" s="1050"/>
      <c r="M11" s="1050"/>
      <c r="N11" s="1050"/>
      <c r="O11" s="250" t="s">
        <v>18</v>
      </c>
      <c r="P11" s="250" t="s">
        <v>19</v>
      </c>
      <c r="Q11" s="250" t="s">
        <v>20</v>
      </c>
      <c r="R11" s="250" t="s">
        <v>21</v>
      </c>
      <c r="S11" s="250" t="s">
        <v>22</v>
      </c>
      <c r="T11" s="250" t="s">
        <v>18</v>
      </c>
      <c r="U11" s="250" t="s">
        <v>19</v>
      </c>
      <c r="V11" s="250" t="s">
        <v>20</v>
      </c>
      <c r="W11" s="250" t="s">
        <v>21</v>
      </c>
      <c r="X11" s="250" t="s">
        <v>22</v>
      </c>
      <c r="Y11" s="250" t="s">
        <v>18</v>
      </c>
      <c r="Z11" s="250" t="s">
        <v>19</v>
      </c>
      <c r="AA11" s="250" t="s">
        <v>20</v>
      </c>
      <c r="AB11" s="250" t="s">
        <v>21</v>
      </c>
      <c r="AC11" s="250" t="s">
        <v>22</v>
      </c>
      <c r="AD11" s="250" t="s">
        <v>23</v>
      </c>
      <c r="AE11" s="581" t="s">
        <v>175</v>
      </c>
      <c r="AF11" s="403" t="s">
        <v>176</v>
      </c>
      <c r="AG11" s="1050"/>
      <c r="AH11" s="1050"/>
      <c r="AI11" s="162" t="s">
        <v>67</v>
      </c>
      <c r="AJ11" s="161" t="s">
        <v>25</v>
      </c>
      <c r="AK11" s="735" t="s">
        <v>130</v>
      </c>
      <c r="AL11" s="119"/>
    </row>
    <row r="12" spans="1:38" s="346" customFormat="1" ht="15" customHeight="1" x14ac:dyDescent="0.3">
      <c r="A12" s="483">
        <v>130062419</v>
      </c>
      <c r="B12" s="484" t="s">
        <v>147</v>
      </c>
      <c r="C12" s="484" t="s">
        <v>147</v>
      </c>
      <c r="D12" s="376" t="s">
        <v>439</v>
      </c>
      <c r="E12" s="356" t="s">
        <v>565</v>
      </c>
      <c r="F12" s="571" t="s">
        <v>566</v>
      </c>
      <c r="G12" s="96" t="s">
        <v>117</v>
      </c>
      <c r="H12" s="489">
        <v>1</v>
      </c>
      <c r="I12" s="489">
        <v>1600</v>
      </c>
      <c r="J12" s="489">
        <v>1</v>
      </c>
      <c r="K12" s="489">
        <v>1640</v>
      </c>
      <c r="L12" s="489">
        <v>1</v>
      </c>
      <c r="M12" s="489">
        <v>1930</v>
      </c>
      <c r="N12" s="523" t="s">
        <v>234</v>
      </c>
      <c r="O12" s="846"/>
      <c r="P12" s="847"/>
      <c r="Q12" s="847"/>
      <c r="R12" s="847"/>
      <c r="S12" s="848"/>
      <c r="T12" s="846"/>
      <c r="U12" s="847">
        <v>1</v>
      </c>
      <c r="V12" s="847">
        <v>2</v>
      </c>
      <c r="W12" s="847"/>
      <c r="X12" s="848"/>
      <c r="Y12" s="846"/>
      <c r="Z12" s="847">
        <v>1</v>
      </c>
      <c r="AA12" s="847">
        <v>2</v>
      </c>
      <c r="AB12" s="847"/>
      <c r="AC12" s="966"/>
      <c r="AD12" s="970">
        <v>3</v>
      </c>
      <c r="AE12" s="858" t="s">
        <v>202</v>
      </c>
      <c r="AF12" s="863" t="s">
        <v>238</v>
      </c>
      <c r="AG12" s="862" t="s">
        <v>115</v>
      </c>
      <c r="AH12" s="226" t="s">
        <v>79</v>
      </c>
      <c r="AI12" s="492" t="s">
        <v>285</v>
      </c>
      <c r="AJ12" s="373" t="s">
        <v>156</v>
      </c>
      <c r="AK12" s="723">
        <v>3900</v>
      </c>
      <c r="AL12" s="546"/>
    </row>
    <row r="13" spans="1:38" s="347" customFormat="1" ht="15" customHeight="1" x14ac:dyDescent="0.3">
      <c r="A13" s="138">
        <v>131064219</v>
      </c>
      <c r="B13" s="125" t="s">
        <v>221</v>
      </c>
      <c r="C13" s="125" t="s">
        <v>222</v>
      </c>
      <c r="D13" s="128" t="s">
        <v>258</v>
      </c>
      <c r="E13" s="97" t="s">
        <v>574</v>
      </c>
      <c r="F13" s="97" t="s">
        <v>575</v>
      </c>
      <c r="G13" s="96" t="s">
        <v>117</v>
      </c>
      <c r="H13" s="164">
        <v>2</v>
      </c>
      <c r="I13" s="164">
        <v>1215</v>
      </c>
      <c r="J13" s="164">
        <v>2</v>
      </c>
      <c r="K13" s="164">
        <v>1245</v>
      </c>
      <c r="L13" s="164">
        <v>2</v>
      </c>
      <c r="M13" s="164">
        <v>1720</v>
      </c>
      <c r="N13" s="523" t="s">
        <v>234</v>
      </c>
      <c r="O13" s="391"/>
      <c r="P13" s="167"/>
      <c r="Q13" s="167"/>
      <c r="R13" s="167"/>
      <c r="S13" s="357"/>
      <c r="T13" s="391"/>
      <c r="U13" s="167">
        <v>1</v>
      </c>
      <c r="V13" s="167">
        <v>6</v>
      </c>
      <c r="W13" s="167"/>
      <c r="X13" s="357"/>
      <c r="Y13" s="391"/>
      <c r="Z13" s="167">
        <v>1</v>
      </c>
      <c r="AA13" s="167">
        <v>6</v>
      </c>
      <c r="AB13" s="167"/>
      <c r="AC13" s="416"/>
      <c r="AD13" s="508">
        <v>7</v>
      </c>
      <c r="AE13" s="859" t="s">
        <v>202</v>
      </c>
      <c r="AF13" s="864" t="s">
        <v>228</v>
      </c>
      <c r="AG13" s="862" t="s">
        <v>115</v>
      </c>
      <c r="AH13" s="226" t="s">
        <v>79</v>
      </c>
      <c r="AI13" s="492" t="s">
        <v>285</v>
      </c>
      <c r="AJ13" s="400" t="s">
        <v>151</v>
      </c>
      <c r="AK13" s="182">
        <v>5200</v>
      </c>
      <c r="AL13" s="357"/>
    </row>
    <row r="14" spans="1:38" s="347" customFormat="1" ht="15" customHeight="1" x14ac:dyDescent="0.3">
      <c r="A14" s="171">
        <v>132064219</v>
      </c>
      <c r="B14" s="225" t="s">
        <v>221</v>
      </c>
      <c r="C14" s="225" t="s">
        <v>440</v>
      </c>
      <c r="D14" s="128" t="s">
        <v>441</v>
      </c>
      <c r="E14" s="97" t="s">
        <v>584</v>
      </c>
      <c r="F14" s="97" t="s">
        <v>577</v>
      </c>
      <c r="G14" s="96" t="s">
        <v>117</v>
      </c>
      <c r="H14" s="105">
        <v>3</v>
      </c>
      <c r="I14" s="105">
        <v>1430</v>
      </c>
      <c r="J14" s="105">
        <v>3</v>
      </c>
      <c r="K14" s="105">
        <v>1500</v>
      </c>
      <c r="L14" s="105">
        <v>3</v>
      </c>
      <c r="M14" s="105">
        <v>1630</v>
      </c>
      <c r="N14" s="523" t="s">
        <v>234</v>
      </c>
      <c r="O14" s="389"/>
      <c r="P14" s="78"/>
      <c r="Q14" s="78"/>
      <c r="R14" s="78"/>
      <c r="S14" s="849"/>
      <c r="T14" s="854"/>
      <c r="U14" s="141">
        <v>1</v>
      </c>
      <c r="V14" s="141">
        <v>1</v>
      </c>
      <c r="W14" s="141"/>
      <c r="X14" s="849">
        <v>1</v>
      </c>
      <c r="Y14" s="854"/>
      <c r="Z14" s="141">
        <v>1</v>
      </c>
      <c r="AA14" s="141">
        <v>1</v>
      </c>
      <c r="AB14" s="141"/>
      <c r="AC14" s="967">
        <v>1</v>
      </c>
      <c r="AD14" s="971">
        <v>3</v>
      </c>
      <c r="AE14" s="860" t="s">
        <v>202</v>
      </c>
      <c r="AF14" s="865" t="s">
        <v>238</v>
      </c>
      <c r="AG14" s="862" t="s">
        <v>115</v>
      </c>
      <c r="AH14" s="524" t="s">
        <v>78</v>
      </c>
      <c r="AI14" s="492" t="s">
        <v>285</v>
      </c>
      <c r="AJ14" s="400" t="s">
        <v>151</v>
      </c>
      <c r="AK14" s="179">
        <v>68200</v>
      </c>
      <c r="AL14" s="200"/>
    </row>
    <row r="15" spans="1:38" s="346" customFormat="1" ht="15" customHeight="1" x14ac:dyDescent="0.3">
      <c r="A15" s="548">
        <v>133061519</v>
      </c>
      <c r="B15" s="549" t="s">
        <v>169</v>
      </c>
      <c r="C15" s="549" t="s">
        <v>172</v>
      </c>
      <c r="D15" s="323" t="s">
        <v>442</v>
      </c>
      <c r="E15" s="889" t="s">
        <v>567</v>
      </c>
      <c r="F15" s="571" t="s">
        <v>568</v>
      </c>
      <c r="G15" s="96" t="s">
        <v>117</v>
      </c>
      <c r="H15" s="97">
        <v>3</v>
      </c>
      <c r="I15" s="97">
        <v>1600</v>
      </c>
      <c r="J15" s="97">
        <v>3</v>
      </c>
      <c r="K15" s="97">
        <v>1615</v>
      </c>
      <c r="L15" s="97">
        <v>3</v>
      </c>
      <c r="M15" s="97">
        <v>1930</v>
      </c>
      <c r="N15" s="523" t="s">
        <v>234</v>
      </c>
      <c r="O15" s="390"/>
      <c r="P15" s="99"/>
      <c r="Q15" s="99"/>
      <c r="R15" s="99"/>
      <c r="S15" s="850"/>
      <c r="T15" s="855"/>
      <c r="U15" s="129">
        <v>7</v>
      </c>
      <c r="V15" s="129">
        <v>3</v>
      </c>
      <c r="W15" s="129"/>
      <c r="X15" s="850"/>
      <c r="Y15" s="855"/>
      <c r="Z15" s="129">
        <v>7</v>
      </c>
      <c r="AA15" s="129">
        <v>3</v>
      </c>
      <c r="AB15" s="129"/>
      <c r="AC15" s="968"/>
      <c r="AD15" s="972">
        <v>10</v>
      </c>
      <c r="AE15" s="859" t="s">
        <v>202</v>
      </c>
      <c r="AF15" s="864" t="s">
        <v>228</v>
      </c>
      <c r="AG15" s="862" t="s">
        <v>115</v>
      </c>
      <c r="AH15" s="226" t="s">
        <v>94</v>
      </c>
      <c r="AI15" s="492" t="s">
        <v>285</v>
      </c>
      <c r="AJ15" s="400" t="s">
        <v>151</v>
      </c>
      <c r="AK15" s="179">
        <v>28200</v>
      </c>
      <c r="AL15" s="358"/>
    </row>
    <row r="16" spans="1:38" s="347" customFormat="1" ht="15" customHeight="1" thickBot="1" x14ac:dyDescent="0.35">
      <c r="A16" s="171">
        <v>134063419</v>
      </c>
      <c r="B16" s="220" t="s">
        <v>167</v>
      </c>
      <c r="C16" s="220" t="s">
        <v>167</v>
      </c>
      <c r="D16" s="512" t="s">
        <v>251</v>
      </c>
      <c r="E16" s="356" t="s">
        <v>572</v>
      </c>
      <c r="F16" s="571" t="s">
        <v>573</v>
      </c>
      <c r="G16" s="164" t="s">
        <v>367</v>
      </c>
      <c r="H16" s="105">
        <v>21</v>
      </c>
      <c r="I16" s="105">
        <v>1930</v>
      </c>
      <c r="J16" s="105">
        <v>21</v>
      </c>
      <c r="K16" s="105">
        <v>2115</v>
      </c>
      <c r="L16" s="105">
        <v>21</v>
      </c>
      <c r="M16" s="105">
        <v>2230</v>
      </c>
      <c r="N16" s="523" t="s">
        <v>563</v>
      </c>
      <c r="O16" s="851">
        <v>1</v>
      </c>
      <c r="P16" s="852">
        <v>1</v>
      </c>
      <c r="Q16" s="852">
        <v>3</v>
      </c>
      <c r="R16" s="852"/>
      <c r="S16" s="853"/>
      <c r="T16" s="856"/>
      <c r="U16" s="857"/>
      <c r="V16" s="857">
        <v>2</v>
      </c>
      <c r="W16" s="857"/>
      <c r="X16" s="853"/>
      <c r="Y16" s="856">
        <v>1</v>
      </c>
      <c r="Z16" s="857">
        <v>1</v>
      </c>
      <c r="AA16" s="857">
        <v>5</v>
      </c>
      <c r="AB16" s="857"/>
      <c r="AC16" s="969"/>
      <c r="AD16" s="973">
        <v>7</v>
      </c>
      <c r="AE16" s="861" t="s">
        <v>159</v>
      </c>
      <c r="AF16" s="866" t="s">
        <v>159</v>
      </c>
      <c r="AG16" s="862" t="s">
        <v>115</v>
      </c>
      <c r="AH16" s="372" t="s">
        <v>29</v>
      </c>
      <c r="AI16" s="151" t="s">
        <v>162</v>
      </c>
      <c r="AJ16" s="373" t="s">
        <v>156</v>
      </c>
      <c r="AK16" s="188">
        <v>284100</v>
      </c>
      <c r="AL16" s="357" t="s">
        <v>168</v>
      </c>
    </row>
    <row r="17" spans="1:38" s="349" customFormat="1" ht="16.5" customHeight="1" thickBot="1" x14ac:dyDescent="0.4">
      <c r="A17" s="1042" t="s">
        <v>23</v>
      </c>
      <c r="B17" s="1043"/>
      <c r="C17" s="1043"/>
      <c r="D17" s="1043"/>
      <c r="E17" s="1043"/>
      <c r="F17" s="1043"/>
      <c r="G17" s="1043"/>
      <c r="H17" s="1043"/>
      <c r="I17" s="1043"/>
      <c r="J17" s="1043"/>
      <c r="K17" s="1043"/>
      <c r="L17" s="1043"/>
      <c r="M17" s="1043"/>
      <c r="N17" s="1044"/>
      <c r="O17" s="350">
        <f t="shared" ref="O17:AD17" si="0">SUM(O12:O16)</f>
        <v>1</v>
      </c>
      <c r="P17" s="350">
        <f t="shared" si="0"/>
        <v>1</v>
      </c>
      <c r="Q17" s="350">
        <f t="shared" si="0"/>
        <v>3</v>
      </c>
      <c r="R17" s="350">
        <f t="shared" si="0"/>
        <v>0</v>
      </c>
      <c r="S17" s="350">
        <f t="shared" si="0"/>
        <v>0</v>
      </c>
      <c r="T17" s="350">
        <f t="shared" si="0"/>
        <v>0</v>
      </c>
      <c r="U17" s="350">
        <f t="shared" si="0"/>
        <v>10</v>
      </c>
      <c r="V17" s="350">
        <f t="shared" si="0"/>
        <v>14</v>
      </c>
      <c r="W17" s="350">
        <f t="shared" si="0"/>
        <v>0</v>
      </c>
      <c r="X17" s="350">
        <f t="shared" si="0"/>
        <v>1</v>
      </c>
      <c r="Y17" s="350">
        <f t="shared" si="0"/>
        <v>1</v>
      </c>
      <c r="Z17" s="350">
        <f t="shared" si="0"/>
        <v>11</v>
      </c>
      <c r="AA17" s="350">
        <f t="shared" si="0"/>
        <v>17</v>
      </c>
      <c r="AB17" s="350">
        <f t="shared" si="0"/>
        <v>0</v>
      </c>
      <c r="AC17" s="350">
        <f t="shared" si="0"/>
        <v>1</v>
      </c>
      <c r="AD17" s="974">
        <f t="shared" si="0"/>
        <v>30</v>
      </c>
      <c r="AE17" s="351"/>
      <c r="AF17" s="352"/>
      <c r="AG17" s="352"/>
      <c r="AH17" s="352"/>
      <c r="AI17" s="353"/>
      <c r="AJ17" s="352"/>
      <c r="AK17" s="736">
        <f>SUM(AK12:AK16)</f>
        <v>389600</v>
      </c>
      <c r="AL17" s="354"/>
    </row>
    <row r="18" spans="1:38" s="66" customFormat="1" x14ac:dyDescent="0.35">
      <c r="A18" s="63"/>
      <c r="B18" s="64"/>
      <c r="C18" s="64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77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65"/>
      <c r="AF18" s="65"/>
      <c r="AG18" s="65"/>
      <c r="AH18" s="65"/>
      <c r="AI18" s="115"/>
      <c r="AJ18" s="77"/>
      <c r="AK18" s="737"/>
      <c r="AL18" s="65"/>
    </row>
    <row r="19" spans="1:38" x14ac:dyDescent="0.35">
      <c r="E19" s="107"/>
    </row>
    <row r="20" spans="1:38" x14ac:dyDescent="0.35">
      <c r="E20" s="348"/>
      <c r="F20" s="348"/>
    </row>
    <row r="21" spans="1:38" x14ac:dyDescent="0.35">
      <c r="W21" s="103" t="s">
        <v>26</v>
      </c>
      <c r="AD21" s="55"/>
      <c r="AH21" s="114"/>
      <c r="AI21" s="76"/>
      <c r="AJ21" s="163"/>
      <c r="AK21" s="738"/>
      <c r="AL21"/>
    </row>
    <row r="22" spans="1:38" x14ac:dyDescent="0.35">
      <c r="E22" s="65"/>
      <c r="AD22" s="55"/>
      <c r="AH22" s="114"/>
      <c r="AI22" s="76"/>
      <c r="AJ22" s="163"/>
      <c r="AK22" s="738"/>
      <c r="AL22"/>
    </row>
    <row r="23" spans="1:38" x14ac:dyDescent="0.35">
      <c r="N23" s="153"/>
      <c r="AD23" s="55"/>
      <c r="AH23" s="114"/>
      <c r="AI23" s="76"/>
      <c r="AJ23" s="163"/>
      <c r="AK23" s="738"/>
      <c r="AL23"/>
    </row>
    <row r="24" spans="1:38" x14ac:dyDescent="0.35">
      <c r="AD24" s="55"/>
      <c r="AH24" s="114"/>
      <c r="AI24" s="76"/>
      <c r="AJ24" s="163"/>
      <c r="AK24" s="738"/>
      <c r="AL24"/>
    </row>
    <row r="25" spans="1:38" x14ac:dyDescent="0.35">
      <c r="AD25" s="55"/>
      <c r="AF25" s="893"/>
      <c r="AH25" s="114"/>
      <c r="AI25" s="76"/>
      <c r="AJ25" s="163"/>
      <c r="AK25" s="738"/>
      <c r="AL25"/>
    </row>
    <row r="26" spans="1:38" x14ac:dyDescent="0.35">
      <c r="AD26" s="55"/>
      <c r="AH26" s="114"/>
      <c r="AI26" s="76"/>
      <c r="AJ26" s="163"/>
      <c r="AK26" s="738"/>
      <c r="AL26"/>
    </row>
    <row r="27" spans="1:38" x14ac:dyDescent="0.35">
      <c r="AD27" s="55"/>
      <c r="AH27" s="114"/>
      <c r="AI27" s="76"/>
      <c r="AJ27" s="163"/>
      <c r="AK27" s="738"/>
      <c r="AL27"/>
    </row>
    <row r="28" spans="1:38" x14ac:dyDescent="0.35">
      <c r="AD28" s="55"/>
      <c r="AH28" s="114"/>
      <c r="AI28" s="76"/>
      <c r="AJ28" s="163"/>
      <c r="AK28" s="738"/>
      <c r="AL28"/>
    </row>
    <row r="29" spans="1:38" x14ac:dyDescent="0.35">
      <c r="AD29" s="55"/>
      <c r="AH29" s="114"/>
      <c r="AI29" s="76"/>
      <c r="AJ29" s="163"/>
      <c r="AK29" s="738"/>
      <c r="AL29"/>
    </row>
    <row r="30" spans="1:38" x14ac:dyDescent="0.35">
      <c r="AD30" s="55"/>
      <c r="AH30" s="114"/>
      <c r="AI30" s="76"/>
      <c r="AJ30" s="163"/>
      <c r="AK30" s="738"/>
      <c r="AL30"/>
    </row>
    <row r="31" spans="1:38" x14ac:dyDescent="0.35">
      <c r="AD31" s="55"/>
      <c r="AH31" s="114"/>
      <c r="AI31" s="76"/>
      <c r="AJ31" s="163"/>
      <c r="AK31" s="738"/>
      <c r="AL31"/>
    </row>
  </sheetData>
  <mergeCells count="29">
    <mergeCell ref="AG9:AG11"/>
    <mergeCell ref="AH9:AH11"/>
    <mergeCell ref="A1:AJ1"/>
    <mergeCell ref="A4:AJ4"/>
    <mergeCell ref="A8:AJ8"/>
    <mergeCell ref="A9:A11"/>
    <mergeCell ref="B9:B11"/>
    <mergeCell ref="Y10:AD10"/>
    <mergeCell ref="I10:I11"/>
    <mergeCell ref="G10:G11"/>
    <mergeCell ref="O9:AD9"/>
    <mergeCell ref="D9:D11"/>
    <mergeCell ref="N9:N11"/>
    <mergeCell ref="O10:S10"/>
    <mergeCell ref="M10:M11"/>
    <mergeCell ref="H10:H11"/>
    <mergeCell ref="L10:L11"/>
    <mergeCell ref="H9:I9"/>
    <mergeCell ref="T10:X10"/>
    <mergeCell ref="AE9:AF10"/>
    <mergeCell ref="A17:N17"/>
    <mergeCell ref="C9:C11"/>
    <mergeCell ref="J9:K9"/>
    <mergeCell ref="L9:M9"/>
    <mergeCell ref="J10:J11"/>
    <mergeCell ref="K10:K11"/>
    <mergeCell ref="E9:G9"/>
    <mergeCell ref="E10:E11"/>
    <mergeCell ref="F10:F11"/>
  </mergeCells>
  <phoneticPr fontId="11" type="noConversion"/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"/>
  <sheetViews>
    <sheetView topLeftCell="A4" zoomScaleNormal="100" workbookViewId="0">
      <selection activeCell="AI20" sqref="AI20"/>
    </sheetView>
  </sheetViews>
  <sheetFormatPr baseColWidth="10" defaultRowHeight="14.5" x14ac:dyDescent="0.35"/>
  <cols>
    <col min="1" max="1" width="10.26953125" customWidth="1"/>
    <col min="2" max="2" width="12.453125" customWidth="1"/>
    <col min="3" max="3" width="11.7265625" customWidth="1"/>
    <col min="4" max="4" width="16.453125" style="71" customWidth="1"/>
    <col min="5" max="5" width="12" customWidth="1"/>
    <col min="6" max="6" width="13.26953125" customWidth="1"/>
    <col min="7" max="7" width="8" customWidth="1"/>
    <col min="8" max="8" width="6.453125" customWidth="1"/>
    <col min="9" max="9" width="7.54296875" customWidth="1"/>
    <col min="10" max="10" width="7.453125" customWidth="1"/>
    <col min="11" max="11" width="7" customWidth="1"/>
    <col min="12" max="12" width="6.1796875" customWidth="1"/>
    <col min="13" max="13" width="7" customWidth="1"/>
    <col min="14" max="14" width="12.26953125" style="62" customWidth="1"/>
    <col min="15" max="15" width="6.81640625" customWidth="1"/>
    <col min="16" max="16" width="8.453125" customWidth="1"/>
    <col min="17" max="17" width="8.54296875" customWidth="1"/>
    <col min="18" max="18" width="7.453125" customWidth="1"/>
    <col min="19" max="19" width="8.26953125" customWidth="1"/>
    <col min="20" max="20" width="7.26953125" customWidth="1"/>
    <col min="21" max="21" width="8.54296875" customWidth="1"/>
    <col min="22" max="22" width="9.453125" customWidth="1"/>
    <col min="23" max="23" width="6.453125" customWidth="1"/>
    <col min="24" max="24" width="9" customWidth="1"/>
    <col min="25" max="25" width="8.54296875" customWidth="1"/>
    <col min="26" max="26" width="8.453125" customWidth="1"/>
    <col min="27" max="27" width="8.81640625" customWidth="1"/>
    <col min="28" max="28" width="6.7265625" customWidth="1"/>
    <col min="29" max="29" width="8.1796875" customWidth="1"/>
    <col min="30" max="30" width="7.7265625" customWidth="1"/>
    <col min="31" max="31" width="11.1796875" customWidth="1"/>
    <col min="32" max="32" width="35.54296875" customWidth="1"/>
    <col min="33" max="33" width="9.54296875" style="43" customWidth="1"/>
    <col min="34" max="34" width="8.453125" customWidth="1"/>
    <col min="35" max="35" width="25.26953125" style="62" customWidth="1"/>
    <col min="36" max="36" width="14.81640625" style="62" customWidth="1"/>
    <col min="37" max="37" width="16.1796875" style="62" customWidth="1"/>
    <col min="38" max="38" width="9.81640625" customWidth="1"/>
  </cols>
  <sheetData>
    <row r="1" spans="1:38" ht="15.5" x14ac:dyDescent="0.35">
      <c r="A1" s="983" t="s">
        <v>0</v>
      </c>
      <c r="B1" s="983"/>
      <c r="C1" s="983"/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  <c r="X1" s="983"/>
      <c r="Y1" s="983"/>
      <c r="Z1" s="983"/>
      <c r="AA1" s="983"/>
      <c r="AB1" s="983"/>
      <c r="AC1" s="983"/>
      <c r="AD1" s="983"/>
      <c r="AE1" s="983"/>
      <c r="AF1" s="983"/>
      <c r="AG1" s="983"/>
      <c r="AH1" s="983"/>
      <c r="AI1" s="983"/>
      <c r="AJ1" s="983"/>
    </row>
    <row r="2" spans="1:38" ht="15.5" x14ac:dyDescent="0.35">
      <c r="A2" s="5" t="s">
        <v>139</v>
      </c>
      <c r="B2" s="44"/>
      <c r="C2" s="44"/>
      <c r="D2" s="88"/>
      <c r="E2" s="73"/>
      <c r="F2" s="73"/>
      <c r="G2" s="5"/>
      <c r="H2" s="5"/>
      <c r="I2" s="4"/>
      <c r="J2" s="4"/>
      <c r="K2" s="4"/>
      <c r="L2" s="4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4"/>
      <c r="AH2" s="4"/>
      <c r="AI2" s="5"/>
      <c r="AJ2" s="5"/>
      <c r="AK2" s="61"/>
      <c r="AL2" s="1"/>
    </row>
    <row r="3" spans="1:38" ht="15.5" x14ac:dyDescent="0.35">
      <c r="A3" s="5" t="s">
        <v>123</v>
      </c>
      <c r="B3" s="5"/>
      <c r="C3" s="5"/>
      <c r="D3" s="4"/>
      <c r="E3" s="5"/>
      <c r="F3" s="5"/>
      <c r="G3" s="5"/>
      <c r="H3" s="5"/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4"/>
      <c r="AH3" s="4"/>
      <c r="AI3" s="5"/>
      <c r="AJ3" s="5"/>
      <c r="AK3" s="61"/>
      <c r="AL3" s="1"/>
    </row>
    <row r="4" spans="1:38" ht="15.5" x14ac:dyDescent="0.35">
      <c r="A4" s="983" t="s">
        <v>124</v>
      </c>
      <c r="B4" s="983"/>
      <c r="C4" s="983"/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61"/>
      <c r="AL4" s="1"/>
    </row>
    <row r="5" spans="1:38" ht="15.5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4"/>
      <c r="AH5" s="4"/>
      <c r="AI5" s="5"/>
      <c r="AJ5" s="5"/>
      <c r="AK5" s="61"/>
      <c r="AL5" s="1"/>
    </row>
    <row r="6" spans="1:38" ht="15.5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4"/>
      <c r="AH6" s="4"/>
      <c r="AI6" s="5"/>
      <c r="AJ6" s="5"/>
      <c r="AK6" s="61"/>
      <c r="AL6" s="1"/>
    </row>
    <row r="7" spans="1:38" ht="15.5" x14ac:dyDescent="0.35">
      <c r="A7" s="1"/>
      <c r="B7" s="1"/>
      <c r="C7" s="1"/>
      <c r="D7" s="4" t="s">
        <v>125</v>
      </c>
      <c r="E7" s="83"/>
      <c r="F7" s="83"/>
      <c r="G7" s="84"/>
      <c r="H7" s="85"/>
      <c r="I7" s="1"/>
      <c r="J7" s="1"/>
      <c r="K7" s="1"/>
      <c r="L7" s="1"/>
      <c r="M7" s="1"/>
      <c r="N7" s="61"/>
      <c r="O7" s="1"/>
      <c r="P7" s="1"/>
      <c r="Q7" s="1"/>
      <c r="R7" s="1"/>
      <c r="S7" s="1"/>
      <c r="T7" s="1"/>
      <c r="U7" s="1"/>
      <c r="V7" s="1"/>
      <c r="W7" s="1"/>
      <c r="X7" s="1"/>
      <c r="Y7" s="2"/>
      <c r="Z7" s="2"/>
      <c r="AA7" s="2"/>
      <c r="AB7" s="2"/>
      <c r="AC7" s="2"/>
      <c r="AD7" s="2"/>
      <c r="AE7" s="2"/>
      <c r="AF7" s="2"/>
      <c r="AG7" s="3"/>
      <c r="AH7" s="1"/>
      <c r="AI7" s="61"/>
      <c r="AJ7" s="61"/>
      <c r="AK7" s="61"/>
      <c r="AL7" s="1"/>
    </row>
    <row r="8" spans="1:38" ht="15.5" x14ac:dyDescent="0.35">
      <c r="A8" s="3"/>
      <c r="B8" s="3"/>
      <c r="C8" s="3"/>
      <c r="D8" s="4"/>
      <c r="E8" s="44" t="s">
        <v>145</v>
      </c>
      <c r="F8" s="44"/>
      <c r="G8" s="85"/>
      <c r="H8" s="85"/>
      <c r="I8" s="3"/>
      <c r="J8" s="3"/>
      <c r="K8" s="3"/>
      <c r="L8" s="3"/>
      <c r="M8" s="3"/>
      <c r="N8" s="61"/>
      <c r="O8" s="3"/>
      <c r="P8" s="3"/>
      <c r="Q8" s="3"/>
      <c r="R8" s="3"/>
      <c r="S8" s="3"/>
      <c r="W8" s="3"/>
      <c r="X8" s="3"/>
      <c r="Y8" s="3"/>
      <c r="Z8" s="3"/>
      <c r="AA8" s="3"/>
      <c r="AB8" s="3"/>
      <c r="AC8" s="3"/>
      <c r="AD8" s="3"/>
      <c r="AE8" s="3"/>
      <c r="AF8" s="3"/>
      <c r="AG8" s="1065"/>
      <c r="AH8" s="1065"/>
      <c r="AI8" s="1065"/>
      <c r="AJ8" s="1065"/>
      <c r="AK8" s="61"/>
      <c r="AL8" s="1"/>
    </row>
    <row r="9" spans="1:38" ht="16" thickBot="1" x14ac:dyDescent="0.4">
      <c r="A9" s="3"/>
      <c r="B9" s="3"/>
      <c r="C9" s="3"/>
      <c r="D9" s="4"/>
      <c r="E9" s="44"/>
      <c r="F9" s="44"/>
      <c r="G9" s="85"/>
      <c r="H9" s="85"/>
      <c r="I9" s="3"/>
      <c r="J9" s="3"/>
      <c r="K9" s="3"/>
      <c r="L9" s="3"/>
      <c r="M9" s="3"/>
      <c r="N9" s="61"/>
      <c r="O9" s="3"/>
      <c r="P9" s="3"/>
      <c r="Q9" s="3"/>
      <c r="R9" s="3"/>
      <c r="S9" s="3"/>
      <c r="W9" s="3"/>
      <c r="X9" s="3"/>
      <c r="Y9" s="3"/>
      <c r="Z9" s="3"/>
      <c r="AA9" s="3"/>
      <c r="AB9" s="3"/>
      <c r="AC9" s="3"/>
      <c r="AD9" s="3"/>
      <c r="AE9" s="3"/>
      <c r="AF9" s="3"/>
      <c r="AG9" s="116"/>
      <c r="AH9" s="116"/>
      <c r="AI9" s="116"/>
      <c r="AJ9" s="116"/>
      <c r="AK9" s="61"/>
      <c r="AL9" s="1"/>
    </row>
    <row r="10" spans="1:38" ht="19.5" customHeight="1" thickBot="1" x14ac:dyDescent="0.4">
      <c r="A10" s="984" t="s">
        <v>1</v>
      </c>
      <c r="B10" s="991" t="s">
        <v>2</v>
      </c>
      <c r="C10" s="991" t="s">
        <v>3</v>
      </c>
      <c r="D10" s="984" t="s">
        <v>128</v>
      </c>
      <c r="E10" s="994" t="s">
        <v>118</v>
      </c>
      <c r="F10" s="995"/>
      <c r="G10" s="996"/>
      <c r="H10" s="984" t="s">
        <v>4</v>
      </c>
      <c r="I10" s="984"/>
      <c r="J10" s="984" t="s">
        <v>5</v>
      </c>
      <c r="K10" s="984"/>
      <c r="L10" s="984" t="s">
        <v>6</v>
      </c>
      <c r="M10" s="984"/>
      <c r="N10" s="984" t="s">
        <v>127</v>
      </c>
      <c r="O10" s="984" t="s">
        <v>7</v>
      </c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4"/>
      <c r="AE10" s="1002" t="s">
        <v>137</v>
      </c>
      <c r="AF10" s="1003"/>
      <c r="AG10" s="984" t="s">
        <v>15</v>
      </c>
      <c r="AH10" s="984" t="s">
        <v>96</v>
      </c>
      <c r="AI10" s="984" t="s">
        <v>134</v>
      </c>
      <c r="AJ10" s="985" t="s">
        <v>91</v>
      </c>
      <c r="AK10" s="984" t="s">
        <v>135</v>
      </c>
      <c r="AL10" s="1073" t="s">
        <v>136</v>
      </c>
    </row>
    <row r="11" spans="1:38" ht="17.25" customHeight="1" thickBot="1" x14ac:dyDescent="0.4">
      <c r="A11" s="987"/>
      <c r="B11" s="992"/>
      <c r="C11" s="992"/>
      <c r="D11" s="987"/>
      <c r="E11" s="1066" t="s">
        <v>119</v>
      </c>
      <c r="F11" s="1066" t="s">
        <v>120</v>
      </c>
      <c r="G11" s="1068" t="s">
        <v>117</v>
      </c>
      <c r="H11" s="984" t="s">
        <v>11</v>
      </c>
      <c r="I11" s="984" t="s">
        <v>12</v>
      </c>
      <c r="J11" s="984" t="s">
        <v>11</v>
      </c>
      <c r="K11" s="984" t="s">
        <v>12</v>
      </c>
      <c r="L11" s="984" t="s">
        <v>11</v>
      </c>
      <c r="M11" s="984" t="s">
        <v>12</v>
      </c>
      <c r="N11" s="1070"/>
      <c r="O11" s="984" t="s">
        <v>13</v>
      </c>
      <c r="P11" s="984"/>
      <c r="Q11" s="984"/>
      <c r="R11" s="984"/>
      <c r="S11" s="984"/>
      <c r="T11" s="984" t="s">
        <v>14</v>
      </c>
      <c r="U11" s="984"/>
      <c r="V11" s="984"/>
      <c r="W11" s="984"/>
      <c r="X11" s="984"/>
      <c r="Y11" s="999" t="s">
        <v>23</v>
      </c>
      <c r="Z11" s="984"/>
      <c r="AA11" s="984"/>
      <c r="AB11" s="984"/>
      <c r="AC11" s="984"/>
      <c r="AD11" s="984"/>
      <c r="AE11" s="1016"/>
      <c r="AF11" s="1017"/>
      <c r="AG11" s="987"/>
      <c r="AH11" s="987"/>
      <c r="AI11" s="987"/>
      <c r="AJ11" s="1070"/>
      <c r="AK11" s="987"/>
      <c r="AL11" s="1074"/>
    </row>
    <row r="12" spans="1:38" ht="16.5" customHeight="1" thickBot="1" x14ac:dyDescent="0.4">
      <c r="A12" s="986"/>
      <c r="B12" s="993"/>
      <c r="C12" s="993"/>
      <c r="D12" s="986"/>
      <c r="E12" s="1067"/>
      <c r="F12" s="1067"/>
      <c r="G12" s="1069"/>
      <c r="H12" s="986"/>
      <c r="I12" s="986"/>
      <c r="J12" s="986"/>
      <c r="K12" s="986"/>
      <c r="L12" s="986"/>
      <c r="M12" s="986"/>
      <c r="N12" s="1071"/>
      <c r="O12" s="22" t="s">
        <v>18</v>
      </c>
      <c r="P12" s="22" t="s">
        <v>19</v>
      </c>
      <c r="Q12" s="22" t="s">
        <v>20</v>
      </c>
      <c r="R12" s="22" t="s">
        <v>21</v>
      </c>
      <c r="S12" s="22" t="s">
        <v>22</v>
      </c>
      <c r="T12" s="22" t="s">
        <v>18</v>
      </c>
      <c r="U12" s="22" t="s">
        <v>19</v>
      </c>
      <c r="V12" s="22" t="s">
        <v>20</v>
      </c>
      <c r="W12" s="22" t="s">
        <v>21</v>
      </c>
      <c r="X12" s="22" t="s">
        <v>22</v>
      </c>
      <c r="Y12" s="22" t="s">
        <v>18</v>
      </c>
      <c r="Z12" s="22" t="s">
        <v>19</v>
      </c>
      <c r="AA12" s="22" t="s">
        <v>20</v>
      </c>
      <c r="AB12" s="22" t="s">
        <v>21</v>
      </c>
      <c r="AC12" s="22" t="s">
        <v>22</v>
      </c>
      <c r="AD12" s="22" t="s">
        <v>23</v>
      </c>
      <c r="AE12" s="899" t="s">
        <v>175</v>
      </c>
      <c r="AF12" s="403" t="s">
        <v>176</v>
      </c>
      <c r="AG12" s="986"/>
      <c r="AH12" s="986"/>
      <c r="AI12" s="986"/>
      <c r="AJ12" s="1071"/>
      <c r="AK12" s="986"/>
      <c r="AL12" s="1075"/>
    </row>
    <row r="13" spans="1:38" ht="16.5" customHeight="1" x14ac:dyDescent="0.35">
      <c r="A13" s="911">
        <v>135061419</v>
      </c>
      <c r="B13" s="912" t="s">
        <v>582</v>
      </c>
      <c r="C13" s="912" t="s">
        <v>583</v>
      </c>
      <c r="D13" s="894" t="s">
        <v>240</v>
      </c>
      <c r="E13" s="571" t="s">
        <v>585</v>
      </c>
      <c r="F13" s="571" t="s">
        <v>586</v>
      </c>
      <c r="G13" s="130" t="s">
        <v>117</v>
      </c>
      <c r="H13" s="157">
        <v>1</v>
      </c>
      <c r="I13" s="157">
        <v>1300</v>
      </c>
      <c r="J13" s="157">
        <v>1</v>
      </c>
      <c r="K13" s="157">
        <v>1400</v>
      </c>
      <c r="L13" s="157">
        <v>2</v>
      </c>
      <c r="M13" s="157">
        <v>1700</v>
      </c>
      <c r="N13" s="895" t="s">
        <v>51</v>
      </c>
      <c r="O13" s="892">
        <v>5</v>
      </c>
      <c r="P13" s="157"/>
      <c r="Q13" s="157"/>
      <c r="R13" s="157"/>
      <c r="S13" s="896"/>
      <c r="T13" s="892"/>
      <c r="U13" s="157"/>
      <c r="V13" s="157"/>
      <c r="W13" s="157"/>
      <c r="X13" s="896"/>
      <c r="Y13" s="892">
        <v>5</v>
      </c>
      <c r="Z13" s="157"/>
      <c r="AA13" s="157"/>
      <c r="AB13" s="157"/>
      <c r="AC13" s="975"/>
      <c r="AD13" s="977">
        <v>5</v>
      </c>
      <c r="AE13" s="921" t="s">
        <v>202</v>
      </c>
      <c r="AF13" s="913" t="s">
        <v>228</v>
      </c>
      <c r="AG13" s="914" t="s">
        <v>115</v>
      </c>
      <c r="AH13" s="915" t="s">
        <v>79</v>
      </c>
      <c r="AI13" s="576" t="s">
        <v>588</v>
      </c>
      <c r="AJ13" s="916" t="s">
        <v>151</v>
      </c>
      <c r="AK13" s="902">
        <v>18600</v>
      </c>
      <c r="AL13" s="205" t="s">
        <v>168</v>
      </c>
    </row>
    <row r="14" spans="1:38" ht="16.5" customHeight="1" thickBot="1" x14ac:dyDescent="0.4">
      <c r="A14" s="165">
        <v>136064219</v>
      </c>
      <c r="B14" s="922" t="s">
        <v>221</v>
      </c>
      <c r="C14" s="922" t="s">
        <v>440</v>
      </c>
      <c r="D14" s="923" t="s">
        <v>587</v>
      </c>
      <c r="E14" s="571" t="s">
        <v>594</v>
      </c>
      <c r="F14" s="571" t="s">
        <v>595</v>
      </c>
      <c r="G14" s="164" t="s">
        <v>117</v>
      </c>
      <c r="H14" s="924">
        <v>19</v>
      </c>
      <c r="I14" s="924">
        <v>1340</v>
      </c>
      <c r="J14" s="924">
        <v>19</v>
      </c>
      <c r="K14" s="924">
        <v>1420</v>
      </c>
      <c r="L14" s="924">
        <v>19</v>
      </c>
      <c r="M14" s="924">
        <v>1620</v>
      </c>
      <c r="N14" s="951" t="s">
        <v>64</v>
      </c>
      <c r="O14" s="917"/>
      <c r="P14" s="918"/>
      <c r="Q14" s="918"/>
      <c r="R14" s="918"/>
      <c r="S14" s="919"/>
      <c r="T14" s="917"/>
      <c r="U14" s="918">
        <v>2.5</v>
      </c>
      <c r="V14" s="918"/>
      <c r="W14" s="918"/>
      <c r="X14" s="919">
        <v>0.5</v>
      </c>
      <c r="Y14" s="917"/>
      <c r="Z14" s="918">
        <v>2.5</v>
      </c>
      <c r="AA14" s="918"/>
      <c r="AB14" s="918"/>
      <c r="AC14" s="976">
        <v>0.5</v>
      </c>
      <c r="AD14" s="24">
        <v>3</v>
      </c>
      <c r="AE14" s="516" t="s">
        <v>148</v>
      </c>
      <c r="AF14" s="128" t="s">
        <v>149</v>
      </c>
      <c r="AG14" s="370" t="s">
        <v>115</v>
      </c>
      <c r="AH14" s="325" t="s">
        <v>29</v>
      </c>
      <c r="AI14" s="576" t="s">
        <v>588</v>
      </c>
      <c r="AJ14" s="373" t="s">
        <v>156</v>
      </c>
      <c r="AK14" s="925">
        <v>60750</v>
      </c>
      <c r="AL14" s="920"/>
    </row>
    <row r="15" spans="1:38" s="87" customFormat="1" ht="15" customHeight="1" thickBot="1" x14ac:dyDescent="0.4">
      <c r="A15" s="997"/>
      <c r="B15" s="998"/>
      <c r="C15" s="998"/>
      <c r="D15" s="998"/>
      <c r="E15" s="998"/>
      <c r="F15" s="998"/>
      <c r="G15" s="998"/>
      <c r="H15" s="998"/>
      <c r="I15" s="998"/>
      <c r="J15" s="998"/>
      <c r="K15" s="998"/>
      <c r="L15" s="998"/>
      <c r="M15" s="998"/>
      <c r="N15" s="1072"/>
      <c r="O15" s="897">
        <f>SUM(O13:O14)</f>
        <v>5</v>
      </c>
      <c r="P15" s="897">
        <f t="shared" ref="P15:AC15" si="0">SUM(P13:P14)</f>
        <v>0</v>
      </c>
      <c r="Q15" s="897">
        <f t="shared" si="0"/>
        <v>0</v>
      </c>
      <c r="R15" s="897">
        <f t="shared" si="0"/>
        <v>0</v>
      </c>
      <c r="S15" s="897">
        <f t="shared" si="0"/>
        <v>0</v>
      </c>
      <c r="T15" s="897">
        <f t="shared" si="0"/>
        <v>0</v>
      </c>
      <c r="U15" s="897">
        <f t="shared" si="0"/>
        <v>2.5</v>
      </c>
      <c r="V15" s="897">
        <f t="shared" si="0"/>
        <v>0</v>
      </c>
      <c r="W15" s="897">
        <f t="shared" si="0"/>
        <v>0</v>
      </c>
      <c r="X15" s="897">
        <f t="shared" si="0"/>
        <v>0.5</v>
      </c>
      <c r="Y15" s="897">
        <f t="shared" si="0"/>
        <v>5</v>
      </c>
      <c r="Z15" s="897">
        <f t="shared" si="0"/>
        <v>2.5</v>
      </c>
      <c r="AA15" s="897">
        <f t="shared" si="0"/>
        <v>0</v>
      </c>
      <c r="AB15" s="897">
        <f t="shared" si="0"/>
        <v>0</v>
      </c>
      <c r="AC15" s="897">
        <f t="shared" si="0"/>
        <v>0.5</v>
      </c>
      <c r="AD15" s="978">
        <f>SUM(AD13:AD14)</f>
        <v>8</v>
      </c>
      <c r="AE15" s="368"/>
      <c r="AF15" s="898"/>
      <c r="AG15" s="898"/>
      <c r="AH15" s="898"/>
      <c r="AI15" s="898"/>
      <c r="AJ15" s="898"/>
      <c r="AK15" s="926">
        <f>SUM(AK13:AK14)</f>
        <v>79350</v>
      </c>
      <c r="AL15" s="368"/>
    </row>
    <row r="19" spans="27:27" x14ac:dyDescent="0.35">
      <c r="AA19" s="117"/>
    </row>
  </sheetData>
  <mergeCells count="33">
    <mergeCell ref="AK10:AK12"/>
    <mergeCell ref="AL10:AL12"/>
    <mergeCell ref="AH10:AH12"/>
    <mergeCell ref="J11:J12"/>
    <mergeCell ref="L11:L12"/>
    <mergeCell ref="N10:N12"/>
    <mergeCell ref="AG10:AG12"/>
    <mergeCell ref="B10:B12"/>
    <mergeCell ref="A10:A12"/>
    <mergeCell ref="M11:M12"/>
    <mergeCell ref="I11:I12"/>
    <mergeCell ref="H11:H12"/>
    <mergeCell ref="E11:E12"/>
    <mergeCell ref="H10:I10"/>
    <mergeCell ref="A15:N15"/>
    <mergeCell ref="A1:AJ1"/>
    <mergeCell ref="A4:AJ4"/>
    <mergeCell ref="J10:K10"/>
    <mergeCell ref="L10:M10"/>
    <mergeCell ref="O10:AD10"/>
    <mergeCell ref="K11:K12"/>
    <mergeCell ref="E10:G10"/>
    <mergeCell ref="O11:S11"/>
    <mergeCell ref="T11:X11"/>
    <mergeCell ref="AG8:AJ8"/>
    <mergeCell ref="C10:C12"/>
    <mergeCell ref="F11:F12"/>
    <mergeCell ref="G11:G12"/>
    <mergeCell ref="D10:D12"/>
    <mergeCell ref="Y11:AD11"/>
    <mergeCell ref="AI10:AI12"/>
    <mergeCell ref="AJ10:AJ12"/>
    <mergeCell ref="AE10:AF11"/>
  </mergeCells>
  <phoneticPr fontId="11" type="noConversion"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4"/>
  <sheetViews>
    <sheetView tabSelected="1" topLeftCell="E45" zoomScale="152" zoomScaleNormal="152" workbookViewId="0">
      <selection activeCell="H14" sqref="H14"/>
    </sheetView>
  </sheetViews>
  <sheetFormatPr baseColWidth="10" defaultRowHeight="14.5" x14ac:dyDescent="0.35"/>
  <cols>
    <col min="1" max="1" width="10" style="55" customWidth="1"/>
    <col min="2" max="2" width="12.1796875" customWidth="1"/>
    <col min="3" max="3" width="14.1796875" style="71" customWidth="1"/>
    <col min="4" max="4" width="14.26953125" style="62" customWidth="1"/>
    <col min="5" max="5" width="12.453125" style="43" customWidth="1"/>
    <col min="6" max="6" width="11.81640625" style="43" customWidth="1"/>
    <col min="7" max="7" width="8.1796875" customWidth="1"/>
    <col min="8" max="8" width="11.7265625" customWidth="1"/>
    <col min="9" max="9" width="7.26953125" customWidth="1"/>
    <col min="10" max="10" width="6.81640625" customWidth="1"/>
    <col min="11" max="11" width="8" customWidth="1"/>
    <col min="12" max="12" width="6.1796875" customWidth="1"/>
    <col min="13" max="13" width="7" customWidth="1"/>
    <col min="14" max="14" width="15" style="71" customWidth="1"/>
    <col min="15" max="15" width="9.453125" style="172" customWidth="1"/>
    <col min="16" max="16" width="7.7265625" customWidth="1"/>
    <col min="17" max="17" width="8.54296875" customWidth="1"/>
    <col min="18" max="18" width="7.1796875" customWidth="1"/>
    <col min="19" max="19" width="5.81640625" customWidth="1"/>
    <col min="20" max="20" width="7.26953125" style="172" customWidth="1"/>
    <col min="21" max="21" width="7.54296875" customWidth="1"/>
    <col min="22" max="22" width="7.26953125" customWidth="1"/>
    <col min="23" max="23" width="5.1796875" customWidth="1"/>
    <col min="24" max="24" width="6.81640625" customWidth="1"/>
    <col min="25" max="26" width="8.26953125" customWidth="1"/>
    <col min="27" max="27" width="7.26953125" style="50" customWidth="1"/>
    <col min="28" max="28" width="6.26953125" customWidth="1"/>
    <col min="29" max="29" width="6.7265625" style="50" customWidth="1"/>
    <col min="30" max="30" width="10.81640625" style="172" customWidth="1"/>
    <col min="31" max="31" width="10.453125" customWidth="1"/>
    <col min="32" max="32" width="29" style="62" customWidth="1"/>
    <col min="33" max="33" width="8.7265625" customWidth="1"/>
    <col min="34" max="34" width="8.453125" customWidth="1"/>
    <col min="35" max="35" width="20.54296875" style="71" customWidth="1"/>
    <col min="36" max="36" width="14.453125" style="62" customWidth="1"/>
    <col min="37" max="37" width="17" style="168" customWidth="1"/>
    <col min="38" max="38" width="15.7265625" customWidth="1"/>
  </cols>
  <sheetData>
    <row r="1" spans="1:38" x14ac:dyDescent="0.35">
      <c r="A1" s="1082" t="s">
        <v>0</v>
      </c>
      <c r="B1" s="1082"/>
      <c r="C1" s="1082"/>
      <c r="D1" s="1082"/>
      <c r="E1" s="1082"/>
      <c r="F1" s="1082"/>
      <c r="G1" s="1082"/>
      <c r="H1" s="1082"/>
      <c r="I1" s="1082"/>
      <c r="J1" s="1082"/>
      <c r="K1" s="1082"/>
      <c r="L1" s="1082"/>
      <c r="M1" s="1082"/>
      <c r="N1" s="1082"/>
      <c r="O1" s="1082"/>
      <c r="P1" s="1082"/>
      <c r="Q1" s="1082"/>
      <c r="R1" s="1082"/>
      <c r="S1" s="1082"/>
      <c r="T1" s="1082"/>
      <c r="U1" s="1082"/>
      <c r="V1" s="1082"/>
      <c r="W1" s="1082"/>
      <c r="X1" s="1082"/>
      <c r="Y1" s="1082"/>
      <c r="Z1" s="1082"/>
      <c r="AA1" s="1082"/>
      <c r="AB1" s="1082"/>
      <c r="AC1" s="1082"/>
      <c r="AD1" s="1082"/>
      <c r="AE1" s="1082"/>
      <c r="AF1" s="1082"/>
      <c r="AG1" s="1082"/>
      <c r="AH1" s="1082"/>
      <c r="AI1" s="1083"/>
      <c r="AJ1" s="1082"/>
    </row>
    <row r="2" spans="1:38" x14ac:dyDescent="0.35">
      <c r="A2" s="330" t="s">
        <v>139</v>
      </c>
      <c r="B2" s="331"/>
      <c r="C2" s="331"/>
      <c r="D2" s="329"/>
      <c r="E2" s="332"/>
      <c r="F2" s="332"/>
      <c r="G2" s="329"/>
      <c r="H2" s="329"/>
      <c r="I2" s="328"/>
      <c r="J2" s="328"/>
      <c r="K2" s="328"/>
      <c r="L2" s="328"/>
      <c r="M2" s="328"/>
      <c r="N2" s="328"/>
      <c r="O2" s="333"/>
      <c r="P2" s="328"/>
      <c r="Q2" s="328"/>
      <c r="R2" s="328"/>
      <c r="S2" s="328"/>
      <c r="T2" s="333"/>
      <c r="U2" s="328"/>
      <c r="V2" s="328"/>
      <c r="W2" s="328"/>
      <c r="X2" s="328"/>
      <c r="Y2" s="328"/>
      <c r="Z2" s="328"/>
      <c r="AA2" s="334"/>
      <c r="AB2" s="328"/>
      <c r="AC2" s="334"/>
      <c r="AD2" s="333"/>
      <c r="AE2" s="328"/>
      <c r="AF2" s="329"/>
      <c r="AG2" s="328"/>
      <c r="AH2" s="328"/>
      <c r="AI2" s="328"/>
      <c r="AJ2" s="329"/>
      <c r="AK2" s="169"/>
      <c r="AL2" s="1"/>
    </row>
    <row r="3" spans="1:38" x14ac:dyDescent="0.35">
      <c r="A3" s="330" t="s">
        <v>123</v>
      </c>
      <c r="B3" s="329"/>
      <c r="C3" s="328"/>
      <c r="D3" s="329"/>
      <c r="E3" s="331"/>
      <c r="F3" s="331"/>
      <c r="G3" s="329"/>
      <c r="H3" s="329"/>
      <c r="I3" s="328"/>
      <c r="J3" s="328"/>
      <c r="K3" s="328"/>
      <c r="L3" s="328"/>
      <c r="M3" s="328"/>
      <c r="N3" s="328"/>
      <c r="O3" s="333"/>
      <c r="P3" s="328"/>
      <c r="Q3" s="328"/>
      <c r="R3" s="328"/>
      <c r="S3" s="328"/>
      <c r="T3" s="333"/>
      <c r="U3" s="328"/>
      <c r="V3" s="328"/>
      <c r="W3" s="328"/>
      <c r="X3" s="328"/>
      <c r="Y3" s="328"/>
      <c r="Z3" s="328"/>
      <c r="AA3" s="334"/>
      <c r="AB3" s="328"/>
      <c r="AC3" s="334"/>
      <c r="AD3" s="333"/>
      <c r="AE3" s="328"/>
      <c r="AF3" s="329"/>
      <c r="AG3" s="328"/>
      <c r="AH3" s="328"/>
      <c r="AI3" s="328"/>
      <c r="AJ3" s="329"/>
      <c r="AK3" s="169"/>
      <c r="AL3" s="1"/>
    </row>
    <row r="4" spans="1:38" x14ac:dyDescent="0.35">
      <c r="A4" s="1082" t="s">
        <v>122</v>
      </c>
      <c r="B4" s="1082"/>
      <c r="C4" s="1082"/>
      <c r="D4" s="1082"/>
      <c r="E4" s="1082"/>
      <c r="F4" s="1082"/>
      <c r="G4" s="1082"/>
      <c r="H4" s="1082"/>
      <c r="I4" s="1082"/>
      <c r="J4" s="1082"/>
      <c r="K4" s="1082"/>
      <c r="L4" s="1082"/>
      <c r="M4" s="1082"/>
      <c r="N4" s="1082"/>
      <c r="O4" s="1082"/>
      <c r="P4" s="1082"/>
      <c r="Q4" s="1082"/>
      <c r="R4" s="1082"/>
      <c r="S4" s="1082"/>
      <c r="T4" s="1082"/>
      <c r="U4" s="1082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3"/>
      <c r="AJ4" s="1082"/>
      <c r="AK4" s="169"/>
      <c r="AL4" s="1"/>
    </row>
    <row r="5" spans="1:38" ht="15.5" x14ac:dyDescent="0.35">
      <c r="A5" s="54"/>
      <c r="B5" s="4"/>
      <c r="C5" s="4"/>
      <c r="D5" s="5"/>
      <c r="E5" s="44"/>
      <c r="F5" s="44"/>
      <c r="K5" s="80"/>
      <c r="L5" s="80"/>
      <c r="M5" s="80"/>
      <c r="N5" s="4"/>
      <c r="O5" s="173"/>
      <c r="P5" s="4"/>
      <c r="Q5" s="4"/>
      <c r="R5" s="4"/>
      <c r="S5" s="4"/>
      <c r="T5" s="173"/>
      <c r="U5" s="4"/>
      <c r="V5" s="4"/>
      <c r="W5" s="4"/>
      <c r="X5" s="4"/>
      <c r="Y5" s="4"/>
      <c r="Z5" s="4"/>
      <c r="AA5" s="175"/>
      <c r="AB5" s="4"/>
      <c r="AC5" s="175"/>
      <c r="AD5" s="173"/>
      <c r="AE5" s="4"/>
      <c r="AF5" s="5"/>
      <c r="AG5" s="4"/>
      <c r="AH5" s="4"/>
      <c r="AI5" s="4"/>
      <c r="AJ5" s="5"/>
      <c r="AK5" s="170"/>
      <c r="AL5" s="1"/>
    </row>
    <row r="6" spans="1:38" ht="15.5" x14ac:dyDescent="0.35">
      <c r="A6" s="53"/>
      <c r="B6" s="1"/>
      <c r="C6" s="72"/>
      <c r="D6" s="127"/>
      <c r="E6" s="3"/>
      <c r="F6" s="44" t="s">
        <v>140</v>
      </c>
      <c r="G6" s="4"/>
      <c r="H6" s="4"/>
      <c r="K6" s="1"/>
      <c r="L6" s="1"/>
      <c r="M6" s="1"/>
      <c r="N6" s="72"/>
      <c r="O6" s="236"/>
      <c r="P6" s="90"/>
      <c r="Q6" s="1"/>
      <c r="R6" s="1"/>
      <c r="S6" s="1"/>
      <c r="T6" s="236"/>
      <c r="U6" s="1"/>
      <c r="V6" s="1"/>
      <c r="W6" s="1"/>
      <c r="X6" s="1"/>
      <c r="Y6" s="2"/>
      <c r="Z6" s="2"/>
      <c r="AA6" s="176"/>
      <c r="AB6" s="2"/>
      <c r="AC6" s="176"/>
      <c r="AD6" s="174"/>
      <c r="AE6" s="2"/>
      <c r="AF6" s="244"/>
      <c r="AG6" s="1"/>
      <c r="AH6" s="1"/>
      <c r="AI6" s="72"/>
      <c r="AJ6" s="61"/>
      <c r="AK6" s="169"/>
      <c r="AL6" s="1"/>
    </row>
    <row r="7" spans="1:38" s="62" customFormat="1" x14ac:dyDescent="0.35">
      <c r="A7" s="267"/>
      <c r="B7" s="257"/>
      <c r="C7" s="258"/>
      <c r="D7" s="257"/>
      <c r="E7" s="684"/>
      <c r="F7" s="684"/>
      <c r="G7" s="257"/>
      <c r="H7" s="253" t="s">
        <v>146</v>
      </c>
      <c r="I7" s="253"/>
      <c r="J7" s="253"/>
      <c r="K7" s="253"/>
      <c r="L7" s="257"/>
      <c r="M7" s="257"/>
      <c r="N7" s="258"/>
      <c r="O7" s="259"/>
      <c r="P7" s="257"/>
      <c r="Q7" s="257"/>
      <c r="R7" s="257"/>
      <c r="S7" s="260"/>
      <c r="T7" s="261"/>
      <c r="U7" s="260"/>
      <c r="V7" s="260"/>
      <c r="W7" s="257"/>
      <c r="X7" s="257"/>
      <c r="Y7" s="257"/>
      <c r="Z7" s="257"/>
      <c r="AA7" s="262"/>
      <c r="AB7" s="257"/>
      <c r="AC7" s="262"/>
      <c r="AD7" s="259"/>
      <c r="AE7" s="257"/>
      <c r="AF7" s="257"/>
      <c r="AG7" s="260"/>
      <c r="AH7" s="260"/>
      <c r="AI7" s="263"/>
      <c r="AJ7" s="260"/>
      <c r="AK7" s="264"/>
      <c r="AL7" s="257"/>
    </row>
    <row r="8" spans="1:38" ht="15" thickBot="1" x14ac:dyDescent="0.4">
      <c r="A8" s="1084"/>
      <c r="B8" s="1084"/>
      <c r="C8" s="1084"/>
      <c r="D8" s="1084"/>
      <c r="E8" s="1084"/>
      <c r="F8" s="1084"/>
      <c r="G8" s="1084"/>
      <c r="H8" s="1084"/>
      <c r="I8" s="1084"/>
      <c r="J8" s="1084"/>
      <c r="K8" s="1084"/>
      <c r="L8" s="1084"/>
      <c r="M8" s="1084"/>
      <c r="N8" s="1084"/>
      <c r="O8" s="1084"/>
      <c r="P8" s="1084"/>
      <c r="Q8" s="1084"/>
      <c r="R8" s="1084"/>
      <c r="S8" s="1084"/>
      <c r="T8" s="1084"/>
      <c r="U8" s="1084"/>
      <c r="V8" s="1084"/>
      <c r="W8" s="1084"/>
      <c r="X8" s="1084"/>
      <c r="Y8" s="1084"/>
      <c r="Z8" s="1084"/>
      <c r="AA8" s="1084"/>
      <c r="AB8" s="1084"/>
      <c r="AC8" s="1084"/>
      <c r="AD8" s="1084"/>
      <c r="AE8" s="1084"/>
      <c r="AF8" s="1084"/>
      <c r="AG8" s="1084"/>
      <c r="AH8" s="1084"/>
      <c r="AI8" s="1085"/>
      <c r="AJ8" s="1084"/>
      <c r="AK8" s="265"/>
      <c r="AL8" s="266"/>
    </row>
    <row r="9" spans="1:38" s="55" customFormat="1" ht="19.5" customHeight="1" thickBot="1" x14ac:dyDescent="0.4">
      <c r="A9" s="1079" t="s">
        <v>1</v>
      </c>
      <c r="B9" s="1079" t="s">
        <v>2</v>
      </c>
      <c r="C9" s="1088" t="s">
        <v>3</v>
      </c>
      <c r="D9" s="1079" t="s">
        <v>128</v>
      </c>
      <c r="E9" s="1076" t="s">
        <v>118</v>
      </c>
      <c r="F9" s="1077"/>
      <c r="G9" s="1078"/>
      <c r="H9" s="1079" t="s">
        <v>4</v>
      </c>
      <c r="I9" s="1079"/>
      <c r="J9" s="1079" t="s">
        <v>5</v>
      </c>
      <c r="K9" s="1079"/>
      <c r="L9" s="1079" t="s">
        <v>6</v>
      </c>
      <c r="M9" s="1079"/>
      <c r="N9" s="1079" t="s">
        <v>127</v>
      </c>
      <c r="O9" s="1079" t="s">
        <v>7</v>
      </c>
      <c r="P9" s="1079"/>
      <c r="Q9" s="1079"/>
      <c r="R9" s="1079"/>
      <c r="S9" s="1079"/>
      <c r="T9" s="1079"/>
      <c r="U9" s="1079"/>
      <c r="V9" s="1079"/>
      <c r="W9" s="1079"/>
      <c r="X9" s="1079"/>
      <c r="Y9" s="1079"/>
      <c r="Z9" s="1079"/>
      <c r="AA9" s="1079"/>
      <c r="AB9" s="1079"/>
      <c r="AC9" s="1079"/>
      <c r="AD9" s="1079"/>
      <c r="AE9" s="1002" t="s">
        <v>137</v>
      </c>
      <c r="AF9" s="1003"/>
      <c r="AG9" s="1079" t="s">
        <v>15</v>
      </c>
      <c r="AH9" s="1079" t="s">
        <v>96</v>
      </c>
      <c r="AI9" s="1088" t="s">
        <v>131</v>
      </c>
      <c r="AJ9" s="1079" t="s">
        <v>91</v>
      </c>
      <c r="AK9" s="1094" t="s">
        <v>132</v>
      </c>
      <c r="AL9" s="1091" t="s">
        <v>133</v>
      </c>
    </row>
    <row r="10" spans="1:38" s="55" customFormat="1" ht="19.5" customHeight="1" thickBot="1" x14ac:dyDescent="0.4">
      <c r="A10" s="1080"/>
      <c r="B10" s="1080"/>
      <c r="C10" s="1089"/>
      <c r="D10" s="1080"/>
      <c r="E10" s="1086" t="s">
        <v>119</v>
      </c>
      <c r="F10" s="1086" t="s">
        <v>120</v>
      </c>
      <c r="G10" s="1099" t="s">
        <v>117</v>
      </c>
      <c r="H10" s="1079" t="s">
        <v>11</v>
      </c>
      <c r="I10" s="1079" t="s">
        <v>12</v>
      </c>
      <c r="J10" s="1079" t="s">
        <v>11</v>
      </c>
      <c r="K10" s="1079" t="s">
        <v>12</v>
      </c>
      <c r="L10" s="1079" t="s">
        <v>11</v>
      </c>
      <c r="M10" s="1079" t="s">
        <v>12</v>
      </c>
      <c r="N10" s="1080"/>
      <c r="O10" s="1079" t="s">
        <v>13</v>
      </c>
      <c r="P10" s="1079"/>
      <c r="Q10" s="1079"/>
      <c r="R10" s="1079"/>
      <c r="S10" s="1079"/>
      <c r="T10" s="1079" t="s">
        <v>14</v>
      </c>
      <c r="U10" s="1079"/>
      <c r="V10" s="1079"/>
      <c r="W10" s="1079"/>
      <c r="X10" s="1079"/>
      <c r="Y10" s="1079" t="s">
        <v>23</v>
      </c>
      <c r="Z10" s="1079"/>
      <c r="AA10" s="1079"/>
      <c r="AB10" s="1079"/>
      <c r="AC10" s="1079"/>
      <c r="AD10" s="1079"/>
      <c r="AE10" s="1016"/>
      <c r="AF10" s="1017"/>
      <c r="AG10" s="1080"/>
      <c r="AH10" s="1080"/>
      <c r="AI10" s="1089"/>
      <c r="AJ10" s="1080"/>
      <c r="AK10" s="1095"/>
      <c r="AL10" s="1092"/>
    </row>
    <row r="11" spans="1:38" s="55" customFormat="1" ht="16.5" customHeight="1" thickBot="1" x14ac:dyDescent="0.4">
      <c r="A11" s="1081"/>
      <c r="B11" s="1081"/>
      <c r="C11" s="1090"/>
      <c r="D11" s="1081"/>
      <c r="E11" s="1087"/>
      <c r="F11" s="1087"/>
      <c r="G11" s="1100"/>
      <c r="H11" s="1081"/>
      <c r="I11" s="1081"/>
      <c r="J11" s="1081"/>
      <c r="K11" s="1081"/>
      <c r="L11" s="1081"/>
      <c r="M11" s="1081"/>
      <c r="N11" s="1081"/>
      <c r="O11" s="254" t="s">
        <v>18</v>
      </c>
      <c r="P11" s="255" t="s">
        <v>19</v>
      </c>
      <c r="Q11" s="255" t="s">
        <v>20</v>
      </c>
      <c r="R11" s="255" t="s">
        <v>21</v>
      </c>
      <c r="S11" s="255" t="s">
        <v>22</v>
      </c>
      <c r="T11" s="254" t="s">
        <v>18</v>
      </c>
      <c r="U11" s="255" t="s">
        <v>19</v>
      </c>
      <c r="V11" s="255" t="s">
        <v>20</v>
      </c>
      <c r="W11" s="255" t="s">
        <v>21</v>
      </c>
      <c r="X11" s="255" t="s">
        <v>22</v>
      </c>
      <c r="Y11" s="826" t="s">
        <v>18</v>
      </c>
      <c r="Z11" s="255" t="s">
        <v>19</v>
      </c>
      <c r="AA11" s="256" t="s">
        <v>20</v>
      </c>
      <c r="AB11" s="255" t="s">
        <v>21</v>
      </c>
      <c r="AC11" s="256" t="s">
        <v>22</v>
      </c>
      <c r="AD11" s="254" t="s">
        <v>23</v>
      </c>
      <c r="AE11" s="222" t="s">
        <v>175</v>
      </c>
      <c r="AF11" s="223" t="s">
        <v>176</v>
      </c>
      <c r="AG11" s="1081"/>
      <c r="AH11" s="1081"/>
      <c r="AI11" s="1090"/>
      <c r="AJ11" s="1081"/>
      <c r="AK11" s="1096"/>
      <c r="AL11" s="1093"/>
    </row>
    <row r="12" spans="1:38" s="321" customFormat="1" ht="15" customHeight="1" x14ac:dyDescent="0.25">
      <c r="A12" s="268">
        <v>1062419</v>
      </c>
      <c r="B12" s="269" t="s">
        <v>147</v>
      </c>
      <c r="C12" s="269" t="s">
        <v>147</v>
      </c>
      <c r="D12" s="430" t="s">
        <v>182</v>
      </c>
      <c r="E12" s="271" t="s">
        <v>183</v>
      </c>
      <c r="F12" s="271" t="s">
        <v>184</v>
      </c>
      <c r="G12" s="272" t="s">
        <v>178</v>
      </c>
      <c r="H12" s="1101">
        <v>43639</v>
      </c>
      <c r="I12" s="431">
        <v>1530</v>
      </c>
      <c r="J12" s="431">
        <v>23</v>
      </c>
      <c r="K12" s="431">
        <v>1600</v>
      </c>
      <c r="L12" s="431">
        <v>23</v>
      </c>
      <c r="M12" s="431">
        <v>1830</v>
      </c>
      <c r="N12" s="432" t="s">
        <v>19</v>
      </c>
      <c r="O12" s="433"/>
      <c r="P12" s="273"/>
      <c r="Q12" s="273"/>
      <c r="R12" s="273"/>
      <c r="S12" s="434"/>
      <c r="T12" s="433"/>
      <c r="U12" s="273">
        <v>3.5</v>
      </c>
      <c r="V12" s="273"/>
      <c r="W12" s="273"/>
      <c r="X12" s="434">
        <v>0.5</v>
      </c>
      <c r="Y12" s="435"/>
      <c r="Z12" s="274">
        <v>3.5</v>
      </c>
      <c r="AA12" s="274"/>
      <c r="AB12" s="274"/>
      <c r="AC12" s="793">
        <v>0.5</v>
      </c>
      <c r="AD12" s="794">
        <v>4</v>
      </c>
      <c r="AE12" s="436" t="s">
        <v>148</v>
      </c>
      <c r="AF12" s="275" t="s">
        <v>149</v>
      </c>
      <c r="AG12" s="301" t="s">
        <v>114</v>
      </c>
      <c r="AH12" s="437" t="s">
        <v>29</v>
      </c>
      <c r="AI12" s="438" t="s">
        <v>150</v>
      </c>
      <c r="AJ12" s="439" t="s">
        <v>165</v>
      </c>
      <c r="AK12" s="440">
        <v>235000</v>
      </c>
      <c r="AL12" s="276" t="s">
        <v>152</v>
      </c>
    </row>
    <row r="13" spans="1:38" s="321" customFormat="1" ht="15" customHeight="1" x14ac:dyDescent="0.25">
      <c r="A13" s="277">
        <v>2065219</v>
      </c>
      <c r="B13" s="278" t="s">
        <v>157</v>
      </c>
      <c r="C13" s="278" t="s">
        <v>154</v>
      </c>
      <c r="D13" s="279" t="s">
        <v>155</v>
      </c>
      <c r="E13" s="270" t="s">
        <v>185</v>
      </c>
      <c r="F13" s="270" t="s">
        <v>186</v>
      </c>
      <c r="G13" s="280" t="s">
        <v>178</v>
      </c>
      <c r="H13" s="1102">
        <v>43640</v>
      </c>
      <c r="I13" s="270">
        <v>1100</v>
      </c>
      <c r="J13" s="270">
        <v>24</v>
      </c>
      <c r="K13" s="270">
        <v>1430</v>
      </c>
      <c r="L13" s="270">
        <v>24</v>
      </c>
      <c r="M13" s="270">
        <v>1630</v>
      </c>
      <c r="N13" s="441" t="s">
        <v>45</v>
      </c>
      <c r="O13" s="442"/>
      <c r="P13" s="443"/>
      <c r="Q13" s="443"/>
      <c r="R13" s="443"/>
      <c r="S13" s="444"/>
      <c r="T13" s="445">
        <v>9</v>
      </c>
      <c r="U13" s="443"/>
      <c r="V13" s="443"/>
      <c r="W13" s="443"/>
      <c r="X13" s="364">
        <v>1</v>
      </c>
      <c r="Y13" s="445">
        <v>9</v>
      </c>
      <c r="Z13" s="282"/>
      <c r="AA13" s="282"/>
      <c r="AB13" s="282"/>
      <c r="AC13" s="952">
        <v>1</v>
      </c>
      <c r="AD13" s="627">
        <v>10</v>
      </c>
      <c r="AE13" s="446" t="s">
        <v>159</v>
      </c>
      <c r="AF13" s="446" t="s">
        <v>159</v>
      </c>
      <c r="AG13" s="447" t="s">
        <v>115</v>
      </c>
      <c r="AH13" s="448" t="s">
        <v>94</v>
      </c>
      <c r="AI13" s="362" t="s">
        <v>150</v>
      </c>
      <c r="AJ13" s="449" t="s">
        <v>156</v>
      </c>
      <c r="AK13" s="288">
        <v>1572000</v>
      </c>
      <c r="AL13" s="289"/>
    </row>
    <row r="14" spans="1:38" s="321" customFormat="1" ht="15" customHeight="1" x14ac:dyDescent="0.25">
      <c r="A14" s="450">
        <v>3062419</v>
      </c>
      <c r="B14" s="451" t="s">
        <v>147</v>
      </c>
      <c r="C14" s="451" t="s">
        <v>147</v>
      </c>
      <c r="D14" s="429" t="s">
        <v>182</v>
      </c>
      <c r="E14" s="270" t="s">
        <v>187</v>
      </c>
      <c r="F14" s="270" t="s">
        <v>188</v>
      </c>
      <c r="G14" s="280" t="s">
        <v>178</v>
      </c>
      <c r="H14" s="1103">
        <v>43641</v>
      </c>
      <c r="I14" s="291">
        <v>930</v>
      </c>
      <c r="J14" s="291">
        <v>25</v>
      </c>
      <c r="K14" s="291">
        <v>1015</v>
      </c>
      <c r="L14" s="291">
        <v>25</v>
      </c>
      <c r="M14" s="291">
        <v>1150</v>
      </c>
      <c r="N14" s="452" t="s">
        <v>19</v>
      </c>
      <c r="O14" s="445"/>
      <c r="P14" s="282"/>
      <c r="Q14" s="282"/>
      <c r="R14" s="282"/>
      <c r="S14" s="364"/>
      <c r="T14" s="445"/>
      <c r="U14" s="282">
        <v>1</v>
      </c>
      <c r="V14" s="282"/>
      <c r="W14" s="282"/>
      <c r="X14" s="364"/>
      <c r="Y14" s="445"/>
      <c r="Z14" s="282">
        <v>1</v>
      </c>
      <c r="AA14" s="282"/>
      <c r="AB14" s="282"/>
      <c r="AC14" s="952"/>
      <c r="AD14" s="957">
        <v>1</v>
      </c>
      <c r="AE14" s="453" t="s">
        <v>164</v>
      </c>
      <c r="AF14" s="454" t="s">
        <v>164</v>
      </c>
      <c r="AG14" s="447" t="s">
        <v>115</v>
      </c>
      <c r="AH14" s="448" t="s">
        <v>94</v>
      </c>
      <c r="AI14" s="362" t="s">
        <v>150</v>
      </c>
      <c r="AJ14" s="449" t="s">
        <v>156</v>
      </c>
      <c r="AK14" s="288">
        <v>50000</v>
      </c>
      <c r="AL14" s="289"/>
    </row>
    <row r="15" spans="1:38" s="321" customFormat="1" ht="15" customHeight="1" x14ac:dyDescent="0.25">
      <c r="A15" s="290">
        <v>4063819</v>
      </c>
      <c r="B15" s="281" t="s">
        <v>157</v>
      </c>
      <c r="C15" s="278" t="s">
        <v>163</v>
      </c>
      <c r="D15" s="455" t="s">
        <v>158</v>
      </c>
      <c r="E15" s="270" t="s">
        <v>189</v>
      </c>
      <c r="F15" s="270" t="s">
        <v>190</v>
      </c>
      <c r="G15" s="280" t="s">
        <v>178</v>
      </c>
      <c r="H15" s="1102">
        <v>43642</v>
      </c>
      <c r="I15" s="284">
        <v>1200</v>
      </c>
      <c r="J15" s="284">
        <v>26</v>
      </c>
      <c r="K15" s="284">
        <v>1250</v>
      </c>
      <c r="L15" s="284">
        <v>26</v>
      </c>
      <c r="M15" s="284">
        <v>1345</v>
      </c>
      <c r="N15" s="441"/>
      <c r="O15" s="456"/>
      <c r="P15" s="283"/>
      <c r="Q15" s="283"/>
      <c r="R15" s="283"/>
      <c r="S15" s="306"/>
      <c r="T15" s="456"/>
      <c r="U15" s="283"/>
      <c r="V15" s="283"/>
      <c r="W15" s="283"/>
      <c r="X15" s="306">
        <v>6</v>
      </c>
      <c r="Y15" s="456"/>
      <c r="Z15" s="283"/>
      <c r="AA15" s="283"/>
      <c r="AB15" s="283"/>
      <c r="AC15" s="457">
        <v>6</v>
      </c>
      <c r="AD15" s="627">
        <v>6</v>
      </c>
      <c r="AE15" s="458" t="s">
        <v>148</v>
      </c>
      <c r="AF15" s="311" t="s">
        <v>149</v>
      </c>
      <c r="AG15" s="447" t="s">
        <v>115</v>
      </c>
      <c r="AH15" s="287" t="s">
        <v>78</v>
      </c>
      <c r="AI15" s="362" t="s">
        <v>179</v>
      </c>
      <c r="AJ15" s="449" t="s">
        <v>156</v>
      </c>
      <c r="AK15" s="459">
        <v>615000</v>
      </c>
      <c r="AL15" s="289"/>
    </row>
    <row r="16" spans="1:38" s="321" customFormat="1" ht="15" customHeight="1" x14ac:dyDescent="0.25">
      <c r="A16" s="290">
        <v>5062619</v>
      </c>
      <c r="B16" s="460" t="s">
        <v>160</v>
      </c>
      <c r="C16" s="460" t="s">
        <v>160</v>
      </c>
      <c r="D16" s="285" t="s">
        <v>161</v>
      </c>
      <c r="E16" s="270" t="s">
        <v>177</v>
      </c>
      <c r="F16" s="270" t="s">
        <v>562</v>
      </c>
      <c r="G16" s="280" t="s">
        <v>178</v>
      </c>
      <c r="H16" s="1102">
        <v>43642</v>
      </c>
      <c r="I16" s="284">
        <v>1300</v>
      </c>
      <c r="J16" s="284">
        <v>26</v>
      </c>
      <c r="K16" s="284">
        <v>1315</v>
      </c>
      <c r="L16" s="284">
        <v>26</v>
      </c>
      <c r="M16" s="284">
        <v>2130</v>
      </c>
      <c r="N16" s="452" t="s">
        <v>19</v>
      </c>
      <c r="O16" s="456"/>
      <c r="P16" s="283"/>
      <c r="Q16" s="283"/>
      <c r="R16" s="283"/>
      <c r="S16" s="306"/>
      <c r="T16" s="456"/>
      <c r="U16" s="283">
        <v>5.5</v>
      </c>
      <c r="V16" s="283"/>
      <c r="W16" s="283"/>
      <c r="X16" s="306">
        <v>0.5</v>
      </c>
      <c r="Y16" s="456"/>
      <c r="Z16" s="283">
        <v>5.5</v>
      </c>
      <c r="AA16" s="283"/>
      <c r="AB16" s="283"/>
      <c r="AC16" s="457">
        <v>0.5</v>
      </c>
      <c r="AD16" s="627">
        <v>6</v>
      </c>
      <c r="AE16" s="446" t="s">
        <v>159</v>
      </c>
      <c r="AF16" s="446" t="s">
        <v>159</v>
      </c>
      <c r="AG16" s="447" t="s">
        <v>115</v>
      </c>
      <c r="AH16" s="287" t="s">
        <v>78</v>
      </c>
      <c r="AI16" s="362" t="s">
        <v>179</v>
      </c>
      <c r="AJ16" s="449" t="s">
        <v>156</v>
      </c>
      <c r="AK16" s="459">
        <v>75200</v>
      </c>
      <c r="AL16" s="293"/>
    </row>
    <row r="17" spans="1:38" s="321" customFormat="1" ht="16.5" customHeight="1" x14ac:dyDescent="0.25">
      <c r="A17" s="290">
        <v>6062619</v>
      </c>
      <c r="B17" s="460" t="s">
        <v>160</v>
      </c>
      <c r="C17" s="460" t="s">
        <v>160</v>
      </c>
      <c r="D17" s="285" t="s">
        <v>161</v>
      </c>
      <c r="E17" s="270" t="s">
        <v>181</v>
      </c>
      <c r="F17" s="270" t="s">
        <v>180</v>
      </c>
      <c r="G17" s="280" t="s">
        <v>178</v>
      </c>
      <c r="H17" s="1102">
        <v>43643</v>
      </c>
      <c r="I17" s="284">
        <v>1430</v>
      </c>
      <c r="J17" s="284">
        <v>27</v>
      </c>
      <c r="K17" s="284">
        <v>1530</v>
      </c>
      <c r="L17" s="284">
        <v>27</v>
      </c>
      <c r="M17" s="284">
        <v>2030</v>
      </c>
      <c r="N17" s="441" t="s">
        <v>45</v>
      </c>
      <c r="O17" s="456"/>
      <c r="P17" s="283"/>
      <c r="Q17" s="283"/>
      <c r="R17" s="283"/>
      <c r="S17" s="306"/>
      <c r="T17" s="456">
        <v>1</v>
      </c>
      <c r="U17" s="283"/>
      <c r="V17" s="283"/>
      <c r="W17" s="283"/>
      <c r="X17" s="306">
        <v>1</v>
      </c>
      <c r="Y17" s="456">
        <v>1</v>
      </c>
      <c r="Z17" s="283"/>
      <c r="AA17" s="283"/>
      <c r="AB17" s="283"/>
      <c r="AC17" s="457">
        <v>1</v>
      </c>
      <c r="AD17" s="627">
        <v>2</v>
      </c>
      <c r="AE17" s="453" t="s">
        <v>164</v>
      </c>
      <c r="AF17" s="454" t="s">
        <v>164</v>
      </c>
      <c r="AG17" s="307" t="s">
        <v>115</v>
      </c>
      <c r="AH17" s="287" t="s">
        <v>78</v>
      </c>
      <c r="AI17" s="362" t="s">
        <v>179</v>
      </c>
      <c r="AJ17" s="461" t="s">
        <v>165</v>
      </c>
      <c r="AK17" s="459">
        <v>124300</v>
      </c>
      <c r="AL17" s="293"/>
    </row>
    <row r="18" spans="1:38" s="321" customFormat="1" ht="15" customHeight="1" x14ac:dyDescent="0.25">
      <c r="A18" s="303">
        <v>7063419</v>
      </c>
      <c r="B18" s="310" t="s">
        <v>167</v>
      </c>
      <c r="C18" s="310" t="s">
        <v>167</v>
      </c>
      <c r="D18" s="362" t="s">
        <v>166</v>
      </c>
      <c r="E18" s="270" t="s">
        <v>191</v>
      </c>
      <c r="F18" s="270" t="s">
        <v>192</v>
      </c>
      <c r="G18" s="280" t="s">
        <v>178</v>
      </c>
      <c r="H18" s="1102">
        <v>43643</v>
      </c>
      <c r="I18" s="284">
        <v>1800</v>
      </c>
      <c r="J18" s="284">
        <v>27</v>
      </c>
      <c r="K18" s="284">
        <v>1840</v>
      </c>
      <c r="L18" s="284">
        <v>27</v>
      </c>
      <c r="M18" s="284">
        <v>2110</v>
      </c>
      <c r="N18" s="462" t="s">
        <v>51</v>
      </c>
      <c r="O18" s="463">
        <v>4</v>
      </c>
      <c r="P18" s="296"/>
      <c r="Q18" s="296"/>
      <c r="R18" s="296"/>
      <c r="S18" s="363"/>
      <c r="T18" s="463"/>
      <c r="U18" s="296"/>
      <c r="V18" s="296"/>
      <c r="W18" s="296"/>
      <c r="X18" s="363"/>
      <c r="Y18" s="463">
        <v>4</v>
      </c>
      <c r="Z18" s="296"/>
      <c r="AA18" s="296"/>
      <c r="AB18" s="296"/>
      <c r="AC18" s="464"/>
      <c r="AD18" s="637">
        <v>4</v>
      </c>
      <c r="AE18" s="446" t="s">
        <v>159</v>
      </c>
      <c r="AF18" s="446" t="s">
        <v>159</v>
      </c>
      <c r="AG18" s="447" t="s">
        <v>115</v>
      </c>
      <c r="AH18" s="305" t="s">
        <v>79</v>
      </c>
      <c r="AI18" s="362" t="s">
        <v>162</v>
      </c>
      <c r="AJ18" s="449" t="s">
        <v>151</v>
      </c>
      <c r="AK18" s="465">
        <v>113400</v>
      </c>
      <c r="AL18" s="299" t="s">
        <v>168</v>
      </c>
    </row>
    <row r="19" spans="1:38" s="321" customFormat="1" ht="15" customHeight="1" thickBot="1" x14ac:dyDescent="0.3">
      <c r="A19" s="466">
        <v>8061519</v>
      </c>
      <c r="B19" s="467" t="s">
        <v>169</v>
      </c>
      <c r="C19" s="467" t="s">
        <v>170</v>
      </c>
      <c r="D19" s="468" t="s">
        <v>171</v>
      </c>
      <c r="E19" s="344" t="s">
        <v>193</v>
      </c>
      <c r="F19" s="344" t="s">
        <v>194</v>
      </c>
      <c r="G19" s="469" t="s">
        <v>178</v>
      </c>
      <c r="H19" s="1104">
        <v>43645</v>
      </c>
      <c r="I19" s="345">
        <v>1125</v>
      </c>
      <c r="J19" s="345">
        <v>29</v>
      </c>
      <c r="K19" s="345">
        <v>1545</v>
      </c>
      <c r="L19" s="345">
        <v>29</v>
      </c>
      <c r="M19" s="345">
        <v>1900</v>
      </c>
      <c r="N19" s="478" t="s">
        <v>20</v>
      </c>
      <c r="O19" s="471"/>
      <c r="P19" s="313"/>
      <c r="Q19" s="313"/>
      <c r="R19" s="313"/>
      <c r="S19" s="470"/>
      <c r="T19" s="471"/>
      <c r="U19" s="313"/>
      <c r="V19" s="313">
        <v>2</v>
      </c>
      <c r="W19" s="313"/>
      <c r="X19" s="470">
        <v>1</v>
      </c>
      <c r="Y19" s="471"/>
      <c r="Z19" s="313"/>
      <c r="AA19" s="313">
        <v>2</v>
      </c>
      <c r="AB19" s="313"/>
      <c r="AC19" s="953">
        <v>1</v>
      </c>
      <c r="AD19" s="958">
        <v>3</v>
      </c>
      <c r="AE19" s="472" t="s">
        <v>148</v>
      </c>
      <c r="AF19" s="473" t="s">
        <v>149</v>
      </c>
      <c r="AG19" s="474" t="s">
        <v>115</v>
      </c>
      <c r="AH19" s="469" t="s">
        <v>80</v>
      </c>
      <c r="AI19" s="367" t="s">
        <v>179</v>
      </c>
      <c r="AJ19" s="475" t="s">
        <v>156</v>
      </c>
      <c r="AK19" s="476">
        <v>120600</v>
      </c>
      <c r="AL19" s="477"/>
    </row>
    <row r="20" spans="1:38" s="360" customFormat="1" ht="15" customHeight="1" x14ac:dyDescent="0.25">
      <c r="A20" s="791">
        <v>9061519</v>
      </c>
      <c r="B20" s="792" t="s">
        <v>169</v>
      </c>
      <c r="C20" s="792" t="s">
        <v>172</v>
      </c>
      <c r="D20" s="750" t="s">
        <v>286</v>
      </c>
      <c r="E20" s="271" t="s">
        <v>195</v>
      </c>
      <c r="F20" s="271" t="s">
        <v>196</v>
      </c>
      <c r="G20" s="300" t="s">
        <v>117</v>
      </c>
      <c r="H20" s="1101">
        <v>43647</v>
      </c>
      <c r="I20" s="300">
        <v>100</v>
      </c>
      <c r="J20" s="300">
        <v>1</v>
      </c>
      <c r="K20" s="300">
        <v>200</v>
      </c>
      <c r="L20" s="300">
        <v>1</v>
      </c>
      <c r="M20" s="300">
        <v>930</v>
      </c>
      <c r="N20" s="432" t="s">
        <v>19</v>
      </c>
      <c r="O20" s="435"/>
      <c r="P20" s="274">
        <v>2</v>
      </c>
      <c r="Q20" s="274"/>
      <c r="R20" s="274"/>
      <c r="S20" s="302"/>
      <c r="T20" s="435"/>
      <c r="U20" s="274"/>
      <c r="V20" s="274"/>
      <c r="W20" s="274"/>
      <c r="X20" s="302"/>
      <c r="Y20" s="435"/>
      <c r="Z20" s="274">
        <v>2</v>
      </c>
      <c r="AA20" s="274"/>
      <c r="AB20" s="274"/>
      <c r="AC20" s="793"/>
      <c r="AD20" s="794">
        <v>2</v>
      </c>
      <c r="AE20" s="795" t="s">
        <v>159</v>
      </c>
      <c r="AF20" s="796" t="s">
        <v>159</v>
      </c>
      <c r="AG20" s="797" t="s">
        <v>115</v>
      </c>
      <c r="AH20" s="798" t="s">
        <v>78</v>
      </c>
      <c r="AI20" s="751" t="s">
        <v>150</v>
      </c>
      <c r="AJ20" s="752" t="s">
        <v>156</v>
      </c>
      <c r="AK20" s="799">
        <v>3900</v>
      </c>
      <c r="AL20" s="302" t="s">
        <v>168</v>
      </c>
    </row>
    <row r="21" spans="1:38" s="360" customFormat="1" ht="15" customHeight="1" x14ac:dyDescent="0.25">
      <c r="A21" s="277">
        <v>10065019</v>
      </c>
      <c r="B21" s="278" t="s">
        <v>173</v>
      </c>
      <c r="C21" s="278" t="s">
        <v>551</v>
      </c>
      <c r="D21" s="285" t="s">
        <v>174</v>
      </c>
      <c r="E21" s="625" t="s">
        <v>307</v>
      </c>
      <c r="F21" s="270" t="s">
        <v>306</v>
      </c>
      <c r="G21" s="284" t="s">
        <v>117</v>
      </c>
      <c r="H21" s="1102">
        <v>43647</v>
      </c>
      <c r="I21" s="284">
        <v>1510</v>
      </c>
      <c r="J21" s="284">
        <v>1</v>
      </c>
      <c r="K21" s="284">
        <v>1550</v>
      </c>
      <c r="L21" s="284">
        <v>1</v>
      </c>
      <c r="M21" s="284">
        <v>2330</v>
      </c>
      <c r="N21" s="626"/>
      <c r="O21" s="456"/>
      <c r="P21" s="283"/>
      <c r="Q21" s="283"/>
      <c r="R21" s="283"/>
      <c r="S21" s="306"/>
      <c r="T21" s="456"/>
      <c r="U21" s="283"/>
      <c r="V21" s="283"/>
      <c r="W21" s="283"/>
      <c r="X21" s="306">
        <v>8.5</v>
      </c>
      <c r="Y21" s="456"/>
      <c r="Z21" s="283"/>
      <c r="AA21" s="283"/>
      <c r="AB21" s="283"/>
      <c r="AC21" s="457">
        <v>8.5</v>
      </c>
      <c r="AD21" s="627">
        <v>8.5</v>
      </c>
      <c r="AE21" s="628" t="s">
        <v>148</v>
      </c>
      <c r="AF21" s="285" t="s">
        <v>149</v>
      </c>
      <c r="AG21" s="447" t="s">
        <v>115</v>
      </c>
      <c r="AH21" s="629" t="s">
        <v>78</v>
      </c>
      <c r="AI21" s="362" t="s">
        <v>150</v>
      </c>
      <c r="AJ21" s="449" t="s">
        <v>156</v>
      </c>
      <c r="AK21" s="292">
        <v>430000</v>
      </c>
      <c r="AL21" s="306"/>
    </row>
    <row r="22" spans="1:38" s="360" customFormat="1" ht="15" customHeight="1" x14ac:dyDescent="0.25">
      <c r="A22" s="303">
        <v>11062019</v>
      </c>
      <c r="B22" s="304" t="s">
        <v>197</v>
      </c>
      <c r="C22" s="304" t="s">
        <v>197</v>
      </c>
      <c r="D22" s="615" t="s">
        <v>198</v>
      </c>
      <c r="E22" s="630" t="s">
        <v>379</v>
      </c>
      <c r="F22" s="270" t="s">
        <v>380</v>
      </c>
      <c r="G22" s="295" t="s">
        <v>117</v>
      </c>
      <c r="H22" s="1105">
        <v>43650</v>
      </c>
      <c r="I22" s="631">
        <v>1500</v>
      </c>
      <c r="J22" s="631">
        <v>4</v>
      </c>
      <c r="K22" s="631">
        <v>1520</v>
      </c>
      <c r="L22" s="631">
        <v>4</v>
      </c>
      <c r="M22" s="631">
        <v>2040</v>
      </c>
      <c r="N22" s="632" t="s">
        <v>45</v>
      </c>
      <c r="O22" s="456">
        <v>30</v>
      </c>
      <c r="P22" s="283"/>
      <c r="Q22" s="283">
        <v>13</v>
      </c>
      <c r="R22" s="283"/>
      <c r="S22" s="306">
        <v>2</v>
      </c>
      <c r="T22" s="456"/>
      <c r="U22" s="283"/>
      <c r="V22" s="283"/>
      <c r="W22" s="283"/>
      <c r="X22" s="306"/>
      <c r="Y22" s="456">
        <v>30</v>
      </c>
      <c r="Z22" s="283"/>
      <c r="AA22" s="283">
        <v>13</v>
      </c>
      <c r="AB22" s="283"/>
      <c r="AC22" s="457">
        <v>2</v>
      </c>
      <c r="AD22" s="627">
        <v>45</v>
      </c>
      <c r="AE22" s="446" t="s">
        <v>159</v>
      </c>
      <c r="AF22" s="446" t="s">
        <v>159</v>
      </c>
      <c r="AG22" s="447" t="s">
        <v>115</v>
      </c>
      <c r="AH22" s="305" t="s">
        <v>79</v>
      </c>
      <c r="AI22" s="362" t="s">
        <v>162</v>
      </c>
      <c r="AJ22" s="449" t="s">
        <v>156</v>
      </c>
      <c r="AK22" s="292">
        <v>203900</v>
      </c>
      <c r="AL22" s="306" t="s">
        <v>168</v>
      </c>
    </row>
    <row r="23" spans="1:38" s="904" customFormat="1" ht="15" customHeight="1" x14ac:dyDescent="0.25">
      <c r="A23" s="303">
        <v>12062519</v>
      </c>
      <c r="B23" s="650" t="s">
        <v>169</v>
      </c>
      <c r="C23" s="903" t="s">
        <v>199</v>
      </c>
      <c r="D23" s="285" t="s">
        <v>200</v>
      </c>
      <c r="E23" s="748" t="s">
        <v>407</v>
      </c>
      <c r="F23" s="638" t="s">
        <v>210</v>
      </c>
      <c r="G23" s="284" t="s">
        <v>117</v>
      </c>
      <c r="H23" s="1105">
        <v>43652</v>
      </c>
      <c r="I23" s="631">
        <v>1200</v>
      </c>
      <c r="J23" s="631">
        <v>6</v>
      </c>
      <c r="K23" s="631">
        <v>1245</v>
      </c>
      <c r="L23" s="631">
        <v>8</v>
      </c>
      <c r="M23" s="631">
        <v>1000</v>
      </c>
      <c r="N23" s="664" t="s">
        <v>201</v>
      </c>
      <c r="O23" s="456"/>
      <c r="P23" s="283"/>
      <c r="Q23" s="283"/>
      <c r="R23" s="283"/>
      <c r="S23" s="306"/>
      <c r="T23" s="456">
        <v>70</v>
      </c>
      <c r="U23" s="283"/>
      <c r="V23" s="283">
        <v>10</v>
      </c>
      <c r="W23" s="283"/>
      <c r="X23" s="306"/>
      <c r="Y23" s="456">
        <v>70</v>
      </c>
      <c r="Z23" s="283"/>
      <c r="AA23" s="283">
        <v>10</v>
      </c>
      <c r="AB23" s="283"/>
      <c r="AC23" s="457"/>
      <c r="AD23" s="627">
        <v>80</v>
      </c>
      <c r="AE23" s="622" t="s">
        <v>202</v>
      </c>
      <c r="AF23" s="622" t="s">
        <v>203</v>
      </c>
      <c r="AG23" s="638" t="s">
        <v>115</v>
      </c>
      <c r="AH23" s="305" t="s">
        <v>80</v>
      </c>
      <c r="AI23" s="362" t="s">
        <v>179</v>
      </c>
      <c r="AJ23" s="449" t="s">
        <v>156</v>
      </c>
      <c r="AK23" s="292">
        <v>19520300</v>
      </c>
      <c r="AL23" s="306" t="s">
        <v>204</v>
      </c>
    </row>
    <row r="24" spans="1:38" s="360" customFormat="1" ht="15" customHeight="1" x14ac:dyDescent="0.25">
      <c r="A24" s="309">
        <v>13061919</v>
      </c>
      <c r="B24" s="304" t="s">
        <v>205</v>
      </c>
      <c r="C24" s="308" t="s">
        <v>206</v>
      </c>
      <c r="D24" s="285" t="s">
        <v>207</v>
      </c>
      <c r="E24" s="270" t="s">
        <v>402</v>
      </c>
      <c r="F24" s="270" t="s">
        <v>401</v>
      </c>
      <c r="G24" s="284" t="s">
        <v>367</v>
      </c>
      <c r="H24" s="1105">
        <v>43654</v>
      </c>
      <c r="I24" s="631">
        <v>2000</v>
      </c>
      <c r="J24" s="631">
        <v>8</v>
      </c>
      <c r="K24" s="631">
        <v>2100</v>
      </c>
      <c r="L24" s="631">
        <v>8</v>
      </c>
      <c r="M24" s="631">
        <v>2250</v>
      </c>
      <c r="N24" s="632" t="s">
        <v>20</v>
      </c>
      <c r="O24" s="456"/>
      <c r="P24" s="283"/>
      <c r="Q24" s="283">
        <v>1</v>
      </c>
      <c r="R24" s="283"/>
      <c r="S24" s="306"/>
      <c r="T24" s="456"/>
      <c r="U24" s="283"/>
      <c r="V24" s="283"/>
      <c r="W24" s="283"/>
      <c r="X24" s="306"/>
      <c r="Y24" s="456"/>
      <c r="Z24" s="283"/>
      <c r="AA24" s="283">
        <v>1</v>
      </c>
      <c r="AB24" s="283"/>
      <c r="AC24" s="457"/>
      <c r="AD24" s="627">
        <v>1</v>
      </c>
      <c r="AE24" s="628" t="s">
        <v>148</v>
      </c>
      <c r="AF24" s="633" t="s">
        <v>209</v>
      </c>
      <c r="AG24" s="447" t="s">
        <v>115</v>
      </c>
      <c r="AH24" s="305" t="s">
        <v>79</v>
      </c>
      <c r="AI24" s="362" t="s">
        <v>162</v>
      </c>
      <c r="AJ24" s="449" t="s">
        <v>208</v>
      </c>
      <c r="AK24" s="292">
        <v>300</v>
      </c>
      <c r="AL24" s="306"/>
    </row>
    <row r="25" spans="1:38" s="360" customFormat="1" ht="15" customHeight="1" x14ac:dyDescent="0.25">
      <c r="A25" s="634">
        <v>14061719</v>
      </c>
      <c r="B25" s="635" t="s">
        <v>211</v>
      </c>
      <c r="C25" s="635" t="s">
        <v>211</v>
      </c>
      <c r="D25" s="429" t="s">
        <v>212</v>
      </c>
      <c r="E25" s="808" t="s">
        <v>408</v>
      </c>
      <c r="F25" s="447" t="s">
        <v>287</v>
      </c>
      <c r="G25" s="284" t="s">
        <v>117</v>
      </c>
      <c r="H25" s="1105">
        <v>43657</v>
      </c>
      <c r="I25" s="631">
        <v>1650</v>
      </c>
      <c r="J25" s="631">
        <v>11</v>
      </c>
      <c r="K25" s="631">
        <v>1730</v>
      </c>
      <c r="L25" s="631">
        <v>11</v>
      </c>
      <c r="M25" s="631">
        <v>2030</v>
      </c>
      <c r="N25" s="452" t="s">
        <v>19</v>
      </c>
      <c r="O25" s="456"/>
      <c r="P25" s="283">
        <v>1.5</v>
      </c>
      <c r="Q25" s="283"/>
      <c r="R25" s="283"/>
      <c r="S25" s="306"/>
      <c r="T25" s="456"/>
      <c r="U25" s="283"/>
      <c r="V25" s="283"/>
      <c r="W25" s="283"/>
      <c r="X25" s="306">
        <v>0.5</v>
      </c>
      <c r="Y25" s="456"/>
      <c r="Z25" s="283">
        <v>1.5</v>
      </c>
      <c r="AA25" s="283"/>
      <c r="AB25" s="283"/>
      <c r="AC25" s="457">
        <v>0.5</v>
      </c>
      <c r="AD25" s="627">
        <v>2</v>
      </c>
      <c r="AE25" s="622" t="s">
        <v>409</v>
      </c>
      <c r="AF25" s="623" t="s">
        <v>410</v>
      </c>
      <c r="AG25" s="447" t="s">
        <v>114</v>
      </c>
      <c r="AH25" s="629" t="s">
        <v>78</v>
      </c>
      <c r="AI25" s="362" t="s">
        <v>162</v>
      </c>
      <c r="AJ25" s="449" t="s">
        <v>151</v>
      </c>
      <c r="AK25" s="292">
        <v>25400</v>
      </c>
      <c r="AL25" s="306" t="s">
        <v>168</v>
      </c>
    </row>
    <row r="26" spans="1:38" s="360" customFormat="1" ht="15" customHeight="1" x14ac:dyDescent="0.25">
      <c r="A26" s="290">
        <v>15063519</v>
      </c>
      <c r="B26" s="281" t="s">
        <v>213</v>
      </c>
      <c r="C26" s="281" t="s">
        <v>214</v>
      </c>
      <c r="D26" s="636" t="s">
        <v>215</v>
      </c>
      <c r="E26" s="270" t="s">
        <v>326</v>
      </c>
      <c r="F26" s="270" t="s">
        <v>327</v>
      </c>
      <c r="G26" s="284" t="s">
        <v>117</v>
      </c>
      <c r="H26" s="1105">
        <v>43658</v>
      </c>
      <c r="I26" s="631">
        <v>1800</v>
      </c>
      <c r="J26" s="631">
        <v>12</v>
      </c>
      <c r="K26" s="631">
        <v>1900</v>
      </c>
      <c r="L26" s="631">
        <v>12</v>
      </c>
      <c r="M26" s="631">
        <v>2000</v>
      </c>
      <c r="N26" s="632" t="s">
        <v>20</v>
      </c>
      <c r="O26" s="456"/>
      <c r="P26" s="283"/>
      <c r="Q26" s="283">
        <v>3</v>
      </c>
      <c r="R26" s="283"/>
      <c r="S26" s="306"/>
      <c r="T26" s="463"/>
      <c r="U26" s="296"/>
      <c r="V26" s="296"/>
      <c r="W26" s="296"/>
      <c r="X26" s="363"/>
      <c r="Y26" s="463"/>
      <c r="Z26" s="296"/>
      <c r="AA26" s="296">
        <v>3</v>
      </c>
      <c r="AB26" s="296"/>
      <c r="AC26" s="464"/>
      <c r="AD26" s="637">
        <v>3</v>
      </c>
      <c r="AE26" s="622" t="s">
        <v>159</v>
      </c>
      <c r="AF26" s="623" t="s">
        <v>159</v>
      </c>
      <c r="AG26" s="447" t="s">
        <v>115</v>
      </c>
      <c r="AH26" s="629" t="s">
        <v>78</v>
      </c>
      <c r="AI26" s="362" t="s">
        <v>150</v>
      </c>
      <c r="AJ26" s="449" t="s">
        <v>216</v>
      </c>
      <c r="AK26" s="292">
        <v>900</v>
      </c>
      <c r="AL26" s="306" t="s">
        <v>168</v>
      </c>
    </row>
    <row r="27" spans="1:38" s="360" customFormat="1" ht="15" customHeight="1" x14ac:dyDescent="0.25">
      <c r="A27" s="634">
        <v>16061719</v>
      </c>
      <c r="B27" s="635" t="s">
        <v>211</v>
      </c>
      <c r="C27" s="635" t="s">
        <v>211</v>
      </c>
      <c r="D27" s="429" t="s">
        <v>212</v>
      </c>
      <c r="E27" s="638" t="s">
        <v>419</v>
      </c>
      <c r="F27" s="638" t="s">
        <v>287</v>
      </c>
      <c r="G27" s="284" t="s">
        <v>117</v>
      </c>
      <c r="H27" s="1105">
        <v>43658</v>
      </c>
      <c r="I27" s="631">
        <v>1100</v>
      </c>
      <c r="J27" s="631">
        <v>12</v>
      </c>
      <c r="K27" s="631">
        <v>1700</v>
      </c>
      <c r="L27" s="631">
        <v>13</v>
      </c>
      <c r="M27" s="631">
        <v>1200</v>
      </c>
      <c r="N27" s="639" t="s">
        <v>45</v>
      </c>
      <c r="O27" s="456">
        <v>1.5</v>
      </c>
      <c r="P27" s="283">
        <v>4</v>
      </c>
      <c r="Q27" s="283">
        <v>0.5</v>
      </c>
      <c r="R27" s="283"/>
      <c r="S27" s="306"/>
      <c r="T27" s="463"/>
      <c r="U27" s="296"/>
      <c r="V27" s="296"/>
      <c r="W27" s="296"/>
      <c r="X27" s="363"/>
      <c r="Y27" s="463">
        <v>1.5</v>
      </c>
      <c r="Z27" s="296">
        <v>4</v>
      </c>
      <c r="AA27" s="296">
        <v>0.5</v>
      </c>
      <c r="AB27" s="296"/>
      <c r="AC27" s="464"/>
      <c r="AD27" s="637">
        <v>6</v>
      </c>
      <c r="AE27" s="622" t="s">
        <v>159</v>
      </c>
      <c r="AF27" s="623" t="s">
        <v>159</v>
      </c>
      <c r="AG27" s="638" t="s">
        <v>115</v>
      </c>
      <c r="AH27" s="640" t="s">
        <v>78</v>
      </c>
      <c r="AI27" s="362" t="s">
        <v>150</v>
      </c>
      <c r="AJ27" s="449" t="s">
        <v>151</v>
      </c>
      <c r="AK27" s="292">
        <v>305980</v>
      </c>
      <c r="AL27" s="306" t="s">
        <v>168</v>
      </c>
    </row>
    <row r="28" spans="1:38" s="360" customFormat="1" ht="15" customHeight="1" x14ac:dyDescent="0.25">
      <c r="A28" s="634">
        <v>17061719</v>
      </c>
      <c r="B28" s="635" t="s">
        <v>211</v>
      </c>
      <c r="C28" s="635" t="s">
        <v>211</v>
      </c>
      <c r="D28" s="429" t="s">
        <v>224</v>
      </c>
      <c r="E28" s="748" t="s">
        <v>418</v>
      </c>
      <c r="F28" s="638" t="s">
        <v>288</v>
      </c>
      <c r="G28" s="284" t="s">
        <v>117</v>
      </c>
      <c r="H28" s="1105">
        <v>43659</v>
      </c>
      <c r="I28" s="631">
        <v>1300</v>
      </c>
      <c r="J28" s="631">
        <v>13</v>
      </c>
      <c r="K28" s="631">
        <v>1305</v>
      </c>
      <c r="L28" s="631">
        <v>13</v>
      </c>
      <c r="M28" s="631">
        <v>2100</v>
      </c>
      <c r="N28" s="639" t="s">
        <v>19</v>
      </c>
      <c r="O28" s="456"/>
      <c r="P28" s="283">
        <v>1</v>
      </c>
      <c r="Q28" s="283"/>
      <c r="R28" s="283"/>
      <c r="S28" s="306"/>
      <c r="T28" s="463"/>
      <c r="U28" s="296"/>
      <c r="V28" s="296"/>
      <c r="W28" s="296"/>
      <c r="X28" s="363"/>
      <c r="Y28" s="463"/>
      <c r="Z28" s="296">
        <v>1</v>
      </c>
      <c r="AA28" s="296"/>
      <c r="AB28" s="296"/>
      <c r="AC28" s="464"/>
      <c r="AD28" s="637">
        <v>1</v>
      </c>
      <c r="AE28" s="622" t="s">
        <v>159</v>
      </c>
      <c r="AF28" s="623" t="s">
        <v>159</v>
      </c>
      <c r="AG28" s="638" t="s">
        <v>115</v>
      </c>
      <c r="AH28" s="640" t="s">
        <v>78</v>
      </c>
      <c r="AI28" s="362" t="s">
        <v>150</v>
      </c>
      <c r="AJ28" s="449" t="s">
        <v>151</v>
      </c>
      <c r="AK28" s="292">
        <v>3900</v>
      </c>
      <c r="AL28" s="306" t="s">
        <v>168</v>
      </c>
    </row>
    <row r="29" spans="1:38" s="360" customFormat="1" ht="15" customHeight="1" x14ac:dyDescent="0.25">
      <c r="A29" s="290">
        <v>18061819</v>
      </c>
      <c r="B29" s="278" t="s">
        <v>205</v>
      </c>
      <c r="C29" s="286" t="s">
        <v>217</v>
      </c>
      <c r="D29" s="641" t="s">
        <v>218</v>
      </c>
      <c r="E29" s="748" t="s">
        <v>417</v>
      </c>
      <c r="F29" s="638" t="s">
        <v>368</v>
      </c>
      <c r="G29" s="284" t="s">
        <v>367</v>
      </c>
      <c r="H29" s="1105">
        <v>43659</v>
      </c>
      <c r="I29" s="631">
        <v>1210</v>
      </c>
      <c r="J29" s="631">
        <v>13</v>
      </c>
      <c r="K29" s="631">
        <v>1230</v>
      </c>
      <c r="L29" s="631">
        <v>13</v>
      </c>
      <c r="M29" s="631">
        <v>1500</v>
      </c>
      <c r="N29" s="632" t="s">
        <v>20</v>
      </c>
      <c r="O29" s="456"/>
      <c r="P29" s="283"/>
      <c r="Q29" s="283"/>
      <c r="R29" s="283"/>
      <c r="S29" s="306"/>
      <c r="T29" s="463"/>
      <c r="U29" s="296"/>
      <c r="V29" s="296">
        <v>2</v>
      </c>
      <c r="W29" s="296"/>
      <c r="X29" s="363">
        <v>1</v>
      </c>
      <c r="Y29" s="463"/>
      <c r="Z29" s="296"/>
      <c r="AA29" s="296">
        <v>2</v>
      </c>
      <c r="AB29" s="296"/>
      <c r="AC29" s="464">
        <v>1</v>
      </c>
      <c r="AD29" s="637">
        <v>3</v>
      </c>
      <c r="AE29" s="622" t="s">
        <v>159</v>
      </c>
      <c r="AF29" s="622" t="s">
        <v>159</v>
      </c>
      <c r="AG29" s="447" t="s">
        <v>115</v>
      </c>
      <c r="AH29" s="629" t="s">
        <v>78</v>
      </c>
      <c r="AI29" s="362" t="s">
        <v>150</v>
      </c>
      <c r="AJ29" s="449" t="s">
        <v>151</v>
      </c>
      <c r="AK29" s="292">
        <v>100600</v>
      </c>
      <c r="AL29" s="306"/>
    </row>
    <row r="30" spans="1:38" s="905" customFormat="1" ht="15" customHeight="1" x14ac:dyDescent="0.25">
      <c r="A30" s="303">
        <v>19064819</v>
      </c>
      <c r="B30" s="650" t="s">
        <v>219</v>
      </c>
      <c r="C30" s="650" t="s">
        <v>220</v>
      </c>
      <c r="D30" s="662" t="s">
        <v>257</v>
      </c>
      <c r="E30" s="270" t="s">
        <v>580</v>
      </c>
      <c r="F30" s="270" t="s">
        <v>581</v>
      </c>
      <c r="G30" s="284" t="s">
        <v>117</v>
      </c>
      <c r="H30" s="1105">
        <v>43659</v>
      </c>
      <c r="I30" s="631">
        <v>1450</v>
      </c>
      <c r="J30" s="631">
        <v>13</v>
      </c>
      <c r="K30" s="631">
        <v>1450</v>
      </c>
      <c r="L30" s="631">
        <v>13</v>
      </c>
      <c r="M30" s="631">
        <v>2130</v>
      </c>
      <c r="N30" s="664" t="s">
        <v>20</v>
      </c>
      <c r="O30" s="456"/>
      <c r="P30" s="283"/>
      <c r="Q30" s="283">
        <v>5</v>
      </c>
      <c r="R30" s="283"/>
      <c r="S30" s="306"/>
      <c r="T30" s="463"/>
      <c r="U30" s="296"/>
      <c r="V30" s="296">
        <v>3</v>
      </c>
      <c r="W30" s="296"/>
      <c r="X30" s="363"/>
      <c r="Y30" s="463"/>
      <c r="Z30" s="296"/>
      <c r="AA30" s="296">
        <v>8</v>
      </c>
      <c r="AB30" s="296"/>
      <c r="AC30" s="464"/>
      <c r="AD30" s="637">
        <v>8</v>
      </c>
      <c r="AE30" s="628" t="s">
        <v>148</v>
      </c>
      <c r="AF30" s="458" t="s">
        <v>149</v>
      </c>
      <c r="AG30" s="638" t="s">
        <v>115</v>
      </c>
      <c r="AH30" s="640" t="s">
        <v>29</v>
      </c>
      <c r="AI30" s="362" t="s">
        <v>150</v>
      </c>
      <c r="AJ30" s="449" t="s">
        <v>151</v>
      </c>
      <c r="AK30" s="292">
        <v>2400</v>
      </c>
      <c r="AL30" s="306" t="s">
        <v>168</v>
      </c>
    </row>
    <row r="31" spans="1:38" s="312" customFormat="1" ht="13.5" customHeight="1" x14ac:dyDescent="0.35">
      <c r="A31" s="277">
        <v>20064219</v>
      </c>
      <c r="B31" s="278" t="s">
        <v>221</v>
      </c>
      <c r="C31" s="278" t="s">
        <v>222</v>
      </c>
      <c r="D31" s="641" t="s">
        <v>223</v>
      </c>
      <c r="E31" s="630" t="s">
        <v>304</v>
      </c>
      <c r="F31" s="270" t="s">
        <v>305</v>
      </c>
      <c r="G31" s="284" t="s">
        <v>117</v>
      </c>
      <c r="H31" s="1105">
        <v>43659</v>
      </c>
      <c r="I31" s="631">
        <v>1600</v>
      </c>
      <c r="J31" s="631">
        <v>13</v>
      </c>
      <c r="K31" s="631">
        <v>1620</v>
      </c>
      <c r="L31" s="631">
        <v>13</v>
      </c>
      <c r="M31" s="631">
        <v>2100</v>
      </c>
      <c r="N31" s="632" t="s">
        <v>20</v>
      </c>
      <c r="O31" s="456"/>
      <c r="P31" s="283"/>
      <c r="Q31" s="283"/>
      <c r="R31" s="283"/>
      <c r="S31" s="306"/>
      <c r="T31" s="463"/>
      <c r="U31" s="296"/>
      <c r="V31" s="296">
        <v>8</v>
      </c>
      <c r="W31" s="296"/>
      <c r="X31" s="363"/>
      <c r="Y31" s="463"/>
      <c r="Z31" s="296"/>
      <c r="AA31" s="296">
        <v>8</v>
      </c>
      <c r="AB31" s="296"/>
      <c r="AC31" s="464"/>
      <c r="AD31" s="637">
        <v>8</v>
      </c>
      <c r="AE31" s="628" t="s">
        <v>148</v>
      </c>
      <c r="AF31" s="458" t="s">
        <v>149</v>
      </c>
      <c r="AG31" s="447" t="s">
        <v>115</v>
      </c>
      <c r="AH31" s="305" t="s">
        <v>79</v>
      </c>
      <c r="AI31" s="362" t="s">
        <v>150</v>
      </c>
      <c r="AJ31" s="449" t="s">
        <v>156</v>
      </c>
      <c r="AK31" s="292">
        <v>2400</v>
      </c>
      <c r="AL31" s="306"/>
    </row>
    <row r="32" spans="1:38" ht="13.5" customHeight="1" x14ac:dyDescent="0.35">
      <c r="A32" s="277">
        <v>21064919</v>
      </c>
      <c r="B32" s="278" t="s">
        <v>225</v>
      </c>
      <c r="C32" s="278" t="s">
        <v>226</v>
      </c>
      <c r="D32" s="361" t="s">
        <v>227</v>
      </c>
      <c r="E32" s="270" t="s">
        <v>339</v>
      </c>
      <c r="F32" s="270" t="s">
        <v>340</v>
      </c>
      <c r="G32" s="284" t="s">
        <v>117</v>
      </c>
      <c r="H32" s="1105">
        <v>43660</v>
      </c>
      <c r="I32" s="631">
        <v>1600</v>
      </c>
      <c r="J32" s="631">
        <v>14</v>
      </c>
      <c r="K32" s="631"/>
      <c r="L32" s="631">
        <v>14</v>
      </c>
      <c r="M32" s="631">
        <v>2340</v>
      </c>
      <c r="N32" s="632" t="s">
        <v>233</v>
      </c>
      <c r="O32" s="456">
        <v>5</v>
      </c>
      <c r="P32" s="283"/>
      <c r="Q32" s="283">
        <v>4</v>
      </c>
      <c r="R32" s="283"/>
      <c r="S32" s="306"/>
      <c r="T32" s="463"/>
      <c r="U32" s="296"/>
      <c r="V32" s="296"/>
      <c r="W32" s="296"/>
      <c r="X32" s="363"/>
      <c r="Y32" s="463">
        <v>5</v>
      </c>
      <c r="Z32" s="296"/>
      <c r="AA32" s="296">
        <v>4</v>
      </c>
      <c r="AB32" s="296"/>
      <c r="AC32" s="464"/>
      <c r="AD32" s="637">
        <v>9</v>
      </c>
      <c r="AE32" s="622" t="s">
        <v>202</v>
      </c>
      <c r="AF32" s="622" t="s">
        <v>228</v>
      </c>
      <c r="AG32" s="447" t="s">
        <v>115</v>
      </c>
      <c r="AH32" s="305" t="s">
        <v>79</v>
      </c>
      <c r="AI32" s="362" t="s">
        <v>150</v>
      </c>
      <c r="AJ32" s="449" t="s">
        <v>151</v>
      </c>
      <c r="AK32" s="292">
        <v>27200</v>
      </c>
      <c r="AL32" s="306" t="s">
        <v>168</v>
      </c>
    </row>
    <row r="33" spans="1:38" ht="13.5" customHeight="1" x14ac:dyDescent="0.35">
      <c r="A33" s="642">
        <v>22064919</v>
      </c>
      <c r="B33" s="278" t="s">
        <v>225</v>
      </c>
      <c r="C33" s="278" t="s">
        <v>226</v>
      </c>
      <c r="D33" s="361" t="s">
        <v>227</v>
      </c>
      <c r="E33" s="270" t="s">
        <v>341</v>
      </c>
      <c r="F33" s="270" t="s">
        <v>342</v>
      </c>
      <c r="G33" s="295" t="s">
        <v>117</v>
      </c>
      <c r="H33" s="1106">
        <v>43660</v>
      </c>
      <c r="I33" s="617">
        <v>2000</v>
      </c>
      <c r="J33" s="617">
        <v>14</v>
      </c>
      <c r="K33" s="617">
        <v>2140</v>
      </c>
      <c r="L33" s="617">
        <v>14</v>
      </c>
      <c r="M33" s="617">
        <v>420</v>
      </c>
      <c r="N33" s="452" t="s">
        <v>234</v>
      </c>
      <c r="O33" s="456"/>
      <c r="P33" s="283">
        <v>40</v>
      </c>
      <c r="Q33" s="283">
        <v>10</v>
      </c>
      <c r="R33" s="283"/>
      <c r="S33" s="306"/>
      <c r="T33" s="463"/>
      <c r="U33" s="296"/>
      <c r="V33" s="296"/>
      <c r="W33" s="296"/>
      <c r="X33" s="363"/>
      <c r="Y33" s="463"/>
      <c r="Z33" s="296">
        <v>40</v>
      </c>
      <c r="AA33" s="296">
        <v>10</v>
      </c>
      <c r="AB33" s="296"/>
      <c r="AC33" s="464"/>
      <c r="AD33" s="637">
        <v>50</v>
      </c>
      <c r="AE33" s="622" t="s">
        <v>202</v>
      </c>
      <c r="AF33" s="623" t="s">
        <v>228</v>
      </c>
      <c r="AG33" s="643" t="s">
        <v>115</v>
      </c>
      <c r="AH33" s="644" t="s">
        <v>79</v>
      </c>
      <c r="AI33" s="645" t="s">
        <v>150</v>
      </c>
      <c r="AJ33" s="461" t="s">
        <v>216</v>
      </c>
      <c r="AK33" s="298">
        <v>211000</v>
      </c>
      <c r="AL33" s="363" t="s">
        <v>168</v>
      </c>
    </row>
    <row r="34" spans="1:38" ht="13.5" customHeight="1" x14ac:dyDescent="0.35">
      <c r="A34" s="303">
        <v>23062419</v>
      </c>
      <c r="B34" s="365" t="s">
        <v>160</v>
      </c>
      <c r="C34" s="365" t="s">
        <v>230</v>
      </c>
      <c r="D34" s="361" t="s">
        <v>248</v>
      </c>
      <c r="E34" s="270" t="s">
        <v>309</v>
      </c>
      <c r="F34" s="270" t="s">
        <v>308</v>
      </c>
      <c r="G34" s="284" t="s">
        <v>117</v>
      </c>
      <c r="H34" s="1102">
        <v>43663</v>
      </c>
      <c r="I34" s="284">
        <v>1300</v>
      </c>
      <c r="J34" s="284">
        <v>17</v>
      </c>
      <c r="K34" s="284">
        <v>1330</v>
      </c>
      <c r="L34" s="284">
        <v>17</v>
      </c>
      <c r="M34" s="284">
        <v>1440</v>
      </c>
      <c r="N34" s="452" t="s">
        <v>19</v>
      </c>
      <c r="O34" s="456"/>
      <c r="P34" s="283"/>
      <c r="Q34" s="283"/>
      <c r="R34" s="283"/>
      <c r="S34" s="306"/>
      <c r="T34" s="456"/>
      <c r="U34" s="283">
        <v>3</v>
      </c>
      <c r="V34" s="283"/>
      <c r="W34" s="283"/>
      <c r="X34" s="306"/>
      <c r="Y34" s="456"/>
      <c r="Z34" s="283">
        <v>3</v>
      </c>
      <c r="AA34" s="283"/>
      <c r="AB34" s="283"/>
      <c r="AC34" s="457"/>
      <c r="AD34" s="627">
        <v>3</v>
      </c>
      <c r="AE34" s="622" t="s">
        <v>202</v>
      </c>
      <c r="AF34" s="622" t="s">
        <v>238</v>
      </c>
      <c r="AG34" s="643" t="s">
        <v>115</v>
      </c>
      <c r="AH34" s="629" t="s">
        <v>78</v>
      </c>
      <c r="AI34" s="645" t="s">
        <v>150</v>
      </c>
      <c r="AJ34" s="449" t="s">
        <v>29</v>
      </c>
      <c r="AK34" s="292">
        <v>6500</v>
      </c>
      <c r="AL34" s="306"/>
    </row>
    <row r="35" spans="1:38" ht="13.5" customHeight="1" x14ac:dyDescent="0.35">
      <c r="A35" s="277">
        <v>24062319</v>
      </c>
      <c r="B35" s="278" t="s">
        <v>231</v>
      </c>
      <c r="C35" s="278" t="s">
        <v>232</v>
      </c>
      <c r="D35" s="641" t="s">
        <v>235</v>
      </c>
      <c r="E35" s="270" t="s">
        <v>404</v>
      </c>
      <c r="F35" s="270" t="s">
        <v>403</v>
      </c>
      <c r="G35" s="284" t="s">
        <v>367</v>
      </c>
      <c r="H35" s="1102">
        <v>43663</v>
      </c>
      <c r="I35" s="284">
        <v>1200</v>
      </c>
      <c r="J35" s="284">
        <v>17</v>
      </c>
      <c r="K35" s="284">
        <v>1430</v>
      </c>
      <c r="L35" s="284">
        <v>17</v>
      </c>
      <c r="M35" s="284">
        <v>1600</v>
      </c>
      <c r="N35" s="462"/>
      <c r="O35" s="456"/>
      <c r="P35" s="283"/>
      <c r="Q35" s="283"/>
      <c r="R35" s="283"/>
      <c r="S35" s="306"/>
      <c r="T35" s="456"/>
      <c r="U35" s="283"/>
      <c r="V35" s="283"/>
      <c r="W35" s="283"/>
      <c r="X35" s="306">
        <v>1.5</v>
      </c>
      <c r="Y35" s="456"/>
      <c r="Z35" s="283"/>
      <c r="AA35" s="283"/>
      <c r="AB35" s="283"/>
      <c r="AC35" s="457">
        <v>1.5</v>
      </c>
      <c r="AD35" s="627">
        <v>1.5</v>
      </c>
      <c r="AE35" s="628" t="s">
        <v>148</v>
      </c>
      <c r="AF35" s="458" t="s">
        <v>149</v>
      </c>
      <c r="AG35" s="447" t="s">
        <v>115</v>
      </c>
      <c r="AH35" s="629" t="s">
        <v>29</v>
      </c>
      <c r="AI35" s="645" t="s">
        <v>150</v>
      </c>
      <c r="AJ35" s="449" t="s">
        <v>156</v>
      </c>
      <c r="AK35" s="292">
        <v>160000</v>
      </c>
      <c r="AL35" s="306"/>
    </row>
    <row r="36" spans="1:38" ht="13.5" customHeight="1" x14ac:dyDescent="0.35">
      <c r="A36" s="309">
        <v>25063319</v>
      </c>
      <c r="B36" s="646" t="s">
        <v>219</v>
      </c>
      <c r="C36" s="646" t="s">
        <v>236</v>
      </c>
      <c r="D36" s="641" t="s">
        <v>237</v>
      </c>
      <c r="E36" s="270" t="s">
        <v>343</v>
      </c>
      <c r="F36" s="270" t="s">
        <v>344</v>
      </c>
      <c r="G36" s="284" t="s">
        <v>117</v>
      </c>
      <c r="H36" s="1102">
        <v>43663</v>
      </c>
      <c r="I36" s="284">
        <v>1515</v>
      </c>
      <c r="J36" s="284">
        <v>17</v>
      </c>
      <c r="K36" s="284">
        <v>1600</v>
      </c>
      <c r="L36" s="284">
        <v>17</v>
      </c>
      <c r="M36" s="284">
        <v>1900</v>
      </c>
      <c r="N36" s="632" t="s">
        <v>20</v>
      </c>
      <c r="O36" s="456"/>
      <c r="P36" s="283"/>
      <c r="Q36" s="283"/>
      <c r="R36" s="283"/>
      <c r="S36" s="306"/>
      <c r="T36" s="456"/>
      <c r="U36" s="283"/>
      <c r="V36" s="283">
        <v>4</v>
      </c>
      <c r="W36" s="283"/>
      <c r="X36" s="306">
        <v>2</v>
      </c>
      <c r="Y36" s="456"/>
      <c r="Z36" s="283"/>
      <c r="AA36" s="283">
        <v>4</v>
      </c>
      <c r="AB36" s="283"/>
      <c r="AC36" s="457">
        <v>2</v>
      </c>
      <c r="AD36" s="627">
        <v>6</v>
      </c>
      <c r="AE36" s="622" t="s">
        <v>202</v>
      </c>
      <c r="AF36" s="622" t="s">
        <v>239</v>
      </c>
      <c r="AG36" s="447" t="s">
        <v>115</v>
      </c>
      <c r="AH36" s="644" t="s">
        <v>79</v>
      </c>
      <c r="AI36" s="645" t="s">
        <v>150</v>
      </c>
      <c r="AJ36" s="449" t="s">
        <v>151</v>
      </c>
      <c r="AK36" s="292">
        <v>71500</v>
      </c>
      <c r="AL36" s="306"/>
    </row>
    <row r="37" spans="1:38" ht="13.5" customHeight="1" x14ac:dyDescent="0.35">
      <c r="A37" s="642">
        <v>26062419</v>
      </c>
      <c r="B37" s="294" t="s">
        <v>213</v>
      </c>
      <c r="C37" s="294" t="s">
        <v>213</v>
      </c>
      <c r="D37" s="361" t="s">
        <v>240</v>
      </c>
      <c r="E37" s="270" t="s">
        <v>328</v>
      </c>
      <c r="F37" s="270" t="s">
        <v>329</v>
      </c>
      <c r="G37" s="295" t="s">
        <v>117</v>
      </c>
      <c r="H37" s="1107">
        <v>43663</v>
      </c>
      <c r="I37" s="295">
        <v>1520</v>
      </c>
      <c r="J37" s="295">
        <v>17</v>
      </c>
      <c r="K37" s="295">
        <v>1520</v>
      </c>
      <c r="L37" s="295">
        <v>18</v>
      </c>
      <c r="M37" s="295">
        <v>630</v>
      </c>
      <c r="N37" s="647" t="s">
        <v>241</v>
      </c>
      <c r="O37" s="456">
        <v>0.5</v>
      </c>
      <c r="P37" s="283"/>
      <c r="Q37" s="283">
        <v>5.5</v>
      </c>
      <c r="R37" s="283"/>
      <c r="S37" s="306"/>
      <c r="T37" s="463"/>
      <c r="U37" s="296"/>
      <c r="V37" s="296"/>
      <c r="W37" s="296"/>
      <c r="X37" s="363"/>
      <c r="Y37" s="463">
        <v>0.5</v>
      </c>
      <c r="Z37" s="296"/>
      <c r="AA37" s="296">
        <v>5.5</v>
      </c>
      <c r="AB37" s="296"/>
      <c r="AC37" s="464"/>
      <c r="AD37" s="637">
        <v>6</v>
      </c>
      <c r="AE37" s="628" t="s">
        <v>148</v>
      </c>
      <c r="AF37" s="628" t="s">
        <v>242</v>
      </c>
      <c r="AG37" s="643" t="s">
        <v>115</v>
      </c>
      <c r="AH37" s="644" t="s">
        <v>79</v>
      </c>
      <c r="AI37" s="645" t="s">
        <v>150</v>
      </c>
      <c r="AJ37" s="461" t="s">
        <v>151</v>
      </c>
      <c r="AK37" s="298">
        <v>8850</v>
      </c>
      <c r="AL37" s="363" t="s">
        <v>168</v>
      </c>
    </row>
    <row r="38" spans="1:38" ht="13.5" customHeight="1" x14ac:dyDescent="0.35">
      <c r="A38" s="642">
        <v>27062019</v>
      </c>
      <c r="B38" s="294" t="s">
        <v>243</v>
      </c>
      <c r="C38" s="294" t="s">
        <v>243</v>
      </c>
      <c r="D38" s="361" t="s">
        <v>244</v>
      </c>
      <c r="E38" s="270" t="s">
        <v>381</v>
      </c>
      <c r="F38" s="270" t="s">
        <v>382</v>
      </c>
      <c r="G38" s="295" t="s">
        <v>117</v>
      </c>
      <c r="H38" s="1107">
        <v>43664</v>
      </c>
      <c r="I38" s="295">
        <v>1940</v>
      </c>
      <c r="J38" s="295">
        <v>18</v>
      </c>
      <c r="K38" s="295">
        <v>2000</v>
      </c>
      <c r="L38" s="295">
        <v>19</v>
      </c>
      <c r="M38" s="295">
        <v>100</v>
      </c>
      <c r="N38" s="452" t="s">
        <v>234</v>
      </c>
      <c r="O38" s="463"/>
      <c r="P38" s="296">
        <v>0.2</v>
      </c>
      <c r="Q38" s="296">
        <v>0.3</v>
      </c>
      <c r="R38" s="296"/>
      <c r="S38" s="363"/>
      <c r="T38" s="463"/>
      <c r="U38" s="296"/>
      <c r="V38" s="296"/>
      <c r="W38" s="296"/>
      <c r="X38" s="363"/>
      <c r="Y38" s="463"/>
      <c r="Z38" s="296">
        <v>0.2</v>
      </c>
      <c r="AA38" s="296">
        <v>0.3</v>
      </c>
      <c r="AB38" s="296"/>
      <c r="AC38" s="464"/>
      <c r="AD38" s="637">
        <v>0.5</v>
      </c>
      <c r="AE38" s="622" t="s">
        <v>202</v>
      </c>
      <c r="AF38" s="622" t="s">
        <v>228</v>
      </c>
      <c r="AG38" s="447" t="s">
        <v>115</v>
      </c>
      <c r="AH38" s="305" t="s">
        <v>79</v>
      </c>
      <c r="AI38" s="362" t="s">
        <v>150</v>
      </c>
      <c r="AJ38" s="461" t="s">
        <v>151</v>
      </c>
      <c r="AK38" s="298">
        <v>900</v>
      </c>
      <c r="AL38" s="363" t="s">
        <v>168</v>
      </c>
    </row>
    <row r="39" spans="1:38" ht="13.5" customHeight="1" x14ac:dyDescent="0.35">
      <c r="A39" s="642">
        <v>28062019</v>
      </c>
      <c r="B39" s="294" t="s">
        <v>243</v>
      </c>
      <c r="C39" s="294" t="s">
        <v>243</v>
      </c>
      <c r="D39" s="361" t="s">
        <v>244</v>
      </c>
      <c r="E39" s="270" t="s">
        <v>383</v>
      </c>
      <c r="F39" s="270" t="s">
        <v>384</v>
      </c>
      <c r="G39" s="295" t="s">
        <v>117</v>
      </c>
      <c r="H39" s="1107">
        <v>43665</v>
      </c>
      <c r="I39" s="295">
        <v>1430</v>
      </c>
      <c r="J39" s="295">
        <v>19</v>
      </c>
      <c r="K39" s="295">
        <v>1445</v>
      </c>
      <c r="L39" s="295">
        <v>19</v>
      </c>
      <c r="M39" s="295">
        <v>1630</v>
      </c>
      <c r="N39" s="632" t="s">
        <v>20</v>
      </c>
      <c r="O39" s="463"/>
      <c r="P39" s="296"/>
      <c r="Q39" s="296">
        <v>1.5</v>
      </c>
      <c r="R39" s="296"/>
      <c r="S39" s="363"/>
      <c r="T39" s="463"/>
      <c r="U39" s="296"/>
      <c r="V39" s="296"/>
      <c r="W39" s="296"/>
      <c r="X39" s="363"/>
      <c r="Y39" s="463"/>
      <c r="Z39" s="296"/>
      <c r="AA39" s="296">
        <v>1.5</v>
      </c>
      <c r="AB39" s="296"/>
      <c r="AC39" s="464"/>
      <c r="AD39" s="637">
        <v>1.5</v>
      </c>
      <c r="AE39" s="622" t="s">
        <v>202</v>
      </c>
      <c r="AF39" s="622" t="s">
        <v>228</v>
      </c>
      <c r="AG39" s="447" t="s">
        <v>115</v>
      </c>
      <c r="AH39" s="629" t="s">
        <v>78</v>
      </c>
      <c r="AI39" s="362" t="s">
        <v>150</v>
      </c>
      <c r="AJ39" s="461" t="s">
        <v>151</v>
      </c>
      <c r="AK39" s="298">
        <v>450</v>
      </c>
      <c r="AL39" s="363"/>
    </row>
    <row r="40" spans="1:38" ht="13.5" customHeight="1" x14ac:dyDescent="0.35">
      <c r="A40" s="642">
        <v>29064919</v>
      </c>
      <c r="B40" s="278" t="s">
        <v>225</v>
      </c>
      <c r="C40" s="278" t="s">
        <v>226</v>
      </c>
      <c r="D40" s="361" t="s">
        <v>227</v>
      </c>
      <c r="E40" s="270" t="s">
        <v>345</v>
      </c>
      <c r="F40" s="270" t="s">
        <v>346</v>
      </c>
      <c r="G40" s="295" t="s">
        <v>117</v>
      </c>
      <c r="H40" s="1107">
        <v>43665</v>
      </c>
      <c r="I40" s="295">
        <v>1200</v>
      </c>
      <c r="J40" s="295">
        <v>19</v>
      </c>
      <c r="K40" s="295">
        <v>1300</v>
      </c>
      <c r="L40" s="295">
        <v>19</v>
      </c>
      <c r="M40" s="295">
        <v>1930</v>
      </c>
      <c r="N40" s="632" t="s">
        <v>233</v>
      </c>
      <c r="O40" s="463">
        <v>1</v>
      </c>
      <c r="P40" s="296"/>
      <c r="Q40" s="296">
        <v>2</v>
      </c>
      <c r="R40" s="296"/>
      <c r="S40" s="363"/>
      <c r="T40" s="463"/>
      <c r="U40" s="296"/>
      <c r="V40" s="296"/>
      <c r="W40" s="296"/>
      <c r="X40" s="363"/>
      <c r="Y40" s="463">
        <v>1</v>
      </c>
      <c r="Z40" s="296"/>
      <c r="AA40" s="296">
        <v>2</v>
      </c>
      <c r="AB40" s="296"/>
      <c r="AC40" s="464"/>
      <c r="AD40" s="637">
        <v>3</v>
      </c>
      <c r="AE40" s="622" t="s">
        <v>202</v>
      </c>
      <c r="AF40" s="622" t="s">
        <v>228</v>
      </c>
      <c r="AG40" s="447" t="s">
        <v>115</v>
      </c>
      <c r="AH40" s="305" t="s">
        <v>79</v>
      </c>
      <c r="AI40" s="362" t="s">
        <v>150</v>
      </c>
      <c r="AJ40" s="461" t="s">
        <v>216</v>
      </c>
      <c r="AK40" s="298">
        <v>20600</v>
      </c>
      <c r="AL40" s="363" t="s">
        <v>168</v>
      </c>
    </row>
    <row r="41" spans="1:38" ht="13.5" customHeight="1" x14ac:dyDescent="0.35">
      <c r="A41" s="642">
        <v>30062419</v>
      </c>
      <c r="B41" s="294" t="s">
        <v>213</v>
      </c>
      <c r="C41" s="294" t="s">
        <v>213</v>
      </c>
      <c r="D41" s="361" t="s">
        <v>245</v>
      </c>
      <c r="E41" s="270" t="s">
        <v>330</v>
      </c>
      <c r="F41" s="270" t="s">
        <v>331</v>
      </c>
      <c r="G41" s="295" t="s">
        <v>117</v>
      </c>
      <c r="H41" s="1107">
        <v>43666</v>
      </c>
      <c r="I41" s="295">
        <v>1450</v>
      </c>
      <c r="J41" s="295">
        <v>20</v>
      </c>
      <c r="K41" s="295">
        <v>1450</v>
      </c>
      <c r="L41" s="295">
        <v>20</v>
      </c>
      <c r="M41" s="295">
        <v>1800</v>
      </c>
      <c r="N41" s="632" t="s">
        <v>20</v>
      </c>
      <c r="O41" s="463"/>
      <c r="P41" s="296"/>
      <c r="Q41" s="296"/>
      <c r="R41" s="296"/>
      <c r="S41" s="363"/>
      <c r="T41" s="463"/>
      <c r="U41" s="296"/>
      <c r="V41" s="296">
        <v>1.5</v>
      </c>
      <c r="W41" s="296"/>
      <c r="X41" s="363"/>
      <c r="Y41" s="463"/>
      <c r="Z41" s="296"/>
      <c r="AA41" s="296">
        <v>1.5</v>
      </c>
      <c r="AB41" s="296"/>
      <c r="AC41" s="464"/>
      <c r="AD41" s="637">
        <v>1.5</v>
      </c>
      <c r="AE41" s="622" t="s">
        <v>202</v>
      </c>
      <c r="AF41" s="622" t="s">
        <v>228</v>
      </c>
      <c r="AG41" s="447" t="s">
        <v>115</v>
      </c>
      <c r="AH41" s="629" t="s">
        <v>29</v>
      </c>
      <c r="AI41" s="362" t="s">
        <v>150</v>
      </c>
      <c r="AJ41" s="449" t="s">
        <v>156</v>
      </c>
      <c r="AK41" s="298">
        <v>450</v>
      </c>
      <c r="AL41" s="363"/>
    </row>
    <row r="42" spans="1:38" s="172" customFormat="1" ht="13.5" customHeight="1" x14ac:dyDescent="0.35">
      <c r="A42" s="303">
        <v>31064819</v>
      </c>
      <c r="B42" s="650" t="s">
        <v>219</v>
      </c>
      <c r="C42" s="650" t="s">
        <v>220</v>
      </c>
      <c r="D42" s="662" t="s">
        <v>246</v>
      </c>
      <c r="E42" s="270" t="s">
        <v>348</v>
      </c>
      <c r="F42" s="270" t="s">
        <v>347</v>
      </c>
      <c r="G42" s="295" t="s">
        <v>117</v>
      </c>
      <c r="H42" s="1107">
        <v>43666</v>
      </c>
      <c r="I42" s="295">
        <v>930</v>
      </c>
      <c r="J42" s="295">
        <v>20</v>
      </c>
      <c r="K42" s="295">
        <v>1000</v>
      </c>
      <c r="L42" s="295">
        <v>20</v>
      </c>
      <c r="M42" s="295">
        <v>1900</v>
      </c>
      <c r="N42" s="647" t="s">
        <v>241</v>
      </c>
      <c r="O42" s="463"/>
      <c r="P42" s="296"/>
      <c r="Q42" s="296"/>
      <c r="R42" s="296"/>
      <c r="S42" s="363"/>
      <c r="T42" s="463"/>
      <c r="U42" s="296">
        <v>5</v>
      </c>
      <c r="V42" s="296">
        <v>20</v>
      </c>
      <c r="W42" s="296"/>
      <c r="X42" s="363"/>
      <c r="Y42" s="463"/>
      <c r="Z42" s="296">
        <v>5</v>
      </c>
      <c r="AA42" s="296">
        <v>20</v>
      </c>
      <c r="AB42" s="296"/>
      <c r="AC42" s="464"/>
      <c r="AD42" s="637">
        <v>25</v>
      </c>
      <c r="AE42" s="622" t="s">
        <v>202</v>
      </c>
      <c r="AF42" s="622" t="s">
        <v>228</v>
      </c>
      <c r="AG42" s="638" t="s">
        <v>115</v>
      </c>
      <c r="AH42" s="640" t="s">
        <v>29</v>
      </c>
      <c r="AI42" s="362" t="s">
        <v>150</v>
      </c>
      <c r="AJ42" s="461" t="s">
        <v>151</v>
      </c>
      <c r="AK42" s="298">
        <v>32000</v>
      </c>
      <c r="AL42" s="363"/>
    </row>
    <row r="43" spans="1:38" ht="13.5" customHeight="1" x14ac:dyDescent="0.35">
      <c r="A43" s="642">
        <v>32062419</v>
      </c>
      <c r="B43" s="294" t="s">
        <v>213</v>
      </c>
      <c r="C43" s="294" t="s">
        <v>213</v>
      </c>
      <c r="D43" s="361" t="s">
        <v>247</v>
      </c>
      <c r="E43" s="270" t="s">
        <v>332</v>
      </c>
      <c r="F43" s="270" t="s">
        <v>333</v>
      </c>
      <c r="G43" s="295" t="s">
        <v>117</v>
      </c>
      <c r="H43" s="1107">
        <v>43666</v>
      </c>
      <c r="I43" s="295">
        <v>1230</v>
      </c>
      <c r="J43" s="295">
        <v>20</v>
      </c>
      <c r="K43" s="295">
        <v>1245</v>
      </c>
      <c r="L43" s="295">
        <v>20</v>
      </c>
      <c r="M43" s="295">
        <v>1900</v>
      </c>
      <c r="N43" s="632" t="s">
        <v>20</v>
      </c>
      <c r="O43" s="463"/>
      <c r="P43" s="296"/>
      <c r="Q43" s="296">
        <v>3.5</v>
      </c>
      <c r="R43" s="296"/>
      <c r="S43" s="363"/>
      <c r="T43" s="463"/>
      <c r="U43" s="296"/>
      <c r="V43" s="296"/>
      <c r="W43" s="296"/>
      <c r="X43" s="363"/>
      <c r="Y43" s="463"/>
      <c r="Z43" s="296"/>
      <c r="AA43" s="296">
        <v>3.5</v>
      </c>
      <c r="AB43" s="296"/>
      <c r="AC43" s="464"/>
      <c r="AD43" s="637">
        <v>3.5</v>
      </c>
      <c r="AE43" s="622" t="s">
        <v>202</v>
      </c>
      <c r="AF43" s="622" t="s">
        <v>228</v>
      </c>
      <c r="AG43" s="447" t="s">
        <v>115</v>
      </c>
      <c r="AH43" s="629" t="s">
        <v>78</v>
      </c>
      <c r="AI43" s="362" t="s">
        <v>150</v>
      </c>
      <c r="AJ43" s="449" t="s">
        <v>156</v>
      </c>
      <c r="AK43" s="298">
        <v>1050</v>
      </c>
      <c r="AL43" s="363"/>
    </row>
    <row r="44" spans="1:38" ht="13.5" customHeight="1" x14ac:dyDescent="0.35">
      <c r="A44" s="309">
        <v>33061519</v>
      </c>
      <c r="B44" s="310" t="s">
        <v>169</v>
      </c>
      <c r="C44" s="310" t="s">
        <v>170</v>
      </c>
      <c r="D44" s="361" t="s">
        <v>248</v>
      </c>
      <c r="E44" s="748" t="s">
        <v>416</v>
      </c>
      <c r="F44" s="638" t="s">
        <v>289</v>
      </c>
      <c r="G44" s="295" t="s">
        <v>117</v>
      </c>
      <c r="H44" s="1107">
        <v>43666</v>
      </c>
      <c r="I44" s="295">
        <v>900</v>
      </c>
      <c r="J44" s="295">
        <v>20</v>
      </c>
      <c r="K44" s="295">
        <v>1000</v>
      </c>
      <c r="L44" s="295">
        <v>20</v>
      </c>
      <c r="M44" s="295">
        <v>2100</v>
      </c>
      <c r="N44" s="639" t="s">
        <v>234</v>
      </c>
      <c r="O44" s="463"/>
      <c r="P44" s="296"/>
      <c r="Q44" s="296"/>
      <c r="R44" s="296"/>
      <c r="S44" s="363"/>
      <c r="T44" s="463"/>
      <c r="U44" s="296">
        <v>20</v>
      </c>
      <c r="V44" s="296">
        <v>19</v>
      </c>
      <c r="W44" s="296"/>
      <c r="X44" s="363">
        <v>11</v>
      </c>
      <c r="Y44" s="463"/>
      <c r="Z44" s="296">
        <v>20</v>
      </c>
      <c r="AA44" s="296">
        <v>19</v>
      </c>
      <c r="AB44" s="296"/>
      <c r="AC44" s="464">
        <v>11</v>
      </c>
      <c r="AD44" s="637">
        <v>50</v>
      </c>
      <c r="AE44" s="622" t="s">
        <v>202</v>
      </c>
      <c r="AF44" s="622" t="s">
        <v>259</v>
      </c>
      <c r="AG44" s="638" t="s">
        <v>115</v>
      </c>
      <c r="AH44" s="305" t="s">
        <v>80</v>
      </c>
      <c r="AI44" s="362" t="s">
        <v>150</v>
      </c>
      <c r="AJ44" s="449" t="s">
        <v>156</v>
      </c>
      <c r="AK44" s="298">
        <v>1403700</v>
      </c>
      <c r="AL44" s="363"/>
    </row>
    <row r="45" spans="1:38" ht="13.5" customHeight="1" x14ac:dyDescent="0.35">
      <c r="A45" s="769">
        <v>34062019</v>
      </c>
      <c r="B45" s="648" t="s">
        <v>243</v>
      </c>
      <c r="C45" s="648" t="s">
        <v>243</v>
      </c>
      <c r="D45" s="361" t="s">
        <v>249</v>
      </c>
      <c r="E45" s="270" t="s">
        <v>420</v>
      </c>
      <c r="F45" s="270" t="s">
        <v>385</v>
      </c>
      <c r="G45" s="295" t="s">
        <v>117</v>
      </c>
      <c r="H45" s="1107">
        <v>43666</v>
      </c>
      <c r="I45" s="295">
        <v>1550</v>
      </c>
      <c r="J45" s="295">
        <v>20</v>
      </c>
      <c r="K45" s="295">
        <v>1525</v>
      </c>
      <c r="L45" s="295">
        <v>20</v>
      </c>
      <c r="M45" s="295">
        <v>2400</v>
      </c>
      <c r="N45" s="647" t="s">
        <v>51</v>
      </c>
      <c r="O45" s="463">
        <v>3</v>
      </c>
      <c r="P45" s="296"/>
      <c r="Q45" s="296"/>
      <c r="R45" s="296"/>
      <c r="S45" s="363"/>
      <c r="T45" s="456"/>
      <c r="U45" s="296"/>
      <c r="V45" s="296"/>
      <c r="W45" s="296"/>
      <c r="X45" s="363"/>
      <c r="Y45" s="463">
        <v>3</v>
      </c>
      <c r="Z45" s="296"/>
      <c r="AA45" s="296"/>
      <c r="AB45" s="296"/>
      <c r="AC45" s="464"/>
      <c r="AD45" s="637">
        <v>3</v>
      </c>
      <c r="AE45" s="622" t="s">
        <v>202</v>
      </c>
      <c r="AF45" s="622" t="s">
        <v>238</v>
      </c>
      <c r="AG45" s="638" t="s">
        <v>115</v>
      </c>
      <c r="AH45" s="640" t="s">
        <v>29</v>
      </c>
      <c r="AI45" s="362" t="s">
        <v>150</v>
      </c>
      <c r="AJ45" s="461" t="s">
        <v>151</v>
      </c>
      <c r="AK45" s="298">
        <v>780</v>
      </c>
      <c r="AL45" s="363"/>
    </row>
    <row r="46" spans="1:38" ht="13.5" customHeight="1" x14ac:dyDescent="0.35">
      <c r="A46" s="303">
        <v>35060719</v>
      </c>
      <c r="B46" s="304" t="s">
        <v>250</v>
      </c>
      <c r="C46" s="304" t="s">
        <v>250</v>
      </c>
      <c r="D46" s="649" t="s">
        <v>251</v>
      </c>
      <c r="E46" s="366" t="s">
        <v>421</v>
      </c>
      <c r="F46" s="366" t="s">
        <v>310</v>
      </c>
      <c r="G46" s="295" t="s">
        <v>117</v>
      </c>
      <c r="H46" s="1107">
        <v>43667</v>
      </c>
      <c r="I46" s="295">
        <v>1000</v>
      </c>
      <c r="J46" s="295">
        <v>21</v>
      </c>
      <c r="K46" s="295">
        <v>1030</v>
      </c>
      <c r="L46" s="295">
        <v>21</v>
      </c>
      <c r="M46" s="295">
        <v>1530</v>
      </c>
      <c r="N46" s="647" t="s">
        <v>241</v>
      </c>
      <c r="O46" s="463">
        <v>2</v>
      </c>
      <c r="P46" s="296"/>
      <c r="Q46" s="296"/>
      <c r="R46" s="296"/>
      <c r="S46" s="363"/>
      <c r="T46" s="827"/>
      <c r="U46" s="283"/>
      <c r="V46" s="296">
        <v>3</v>
      </c>
      <c r="W46" s="296"/>
      <c r="X46" s="363"/>
      <c r="Y46" s="463">
        <v>2</v>
      </c>
      <c r="Z46" s="296"/>
      <c r="AA46" s="296">
        <v>3</v>
      </c>
      <c r="AB46" s="296"/>
      <c r="AC46" s="464"/>
      <c r="AD46" s="637">
        <v>5</v>
      </c>
      <c r="AE46" s="628" t="s">
        <v>148</v>
      </c>
      <c r="AF46" s="458" t="s">
        <v>149</v>
      </c>
      <c r="AG46" s="638" t="s">
        <v>115</v>
      </c>
      <c r="AH46" s="640" t="s">
        <v>29</v>
      </c>
      <c r="AI46" s="362" t="s">
        <v>150</v>
      </c>
      <c r="AJ46" s="461" t="s">
        <v>29</v>
      </c>
      <c r="AK46" s="298">
        <v>24950</v>
      </c>
      <c r="AL46" s="363" t="s">
        <v>168</v>
      </c>
    </row>
    <row r="47" spans="1:38" ht="13.5" customHeight="1" x14ac:dyDescent="0.35">
      <c r="A47" s="769">
        <v>36062919</v>
      </c>
      <c r="B47" s="648" t="s">
        <v>221</v>
      </c>
      <c r="C47" s="648" t="s">
        <v>221</v>
      </c>
      <c r="D47" s="361" t="s">
        <v>240</v>
      </c>
      <c r="E47" s="366" t="s">
        <v>422</v>
      </c>
      <c r="F47" s="366" t="s">
        <v>311</v>
      </c>
      <c r="G47" s="295" t="s">
        <v>117</v>
      </c>
      <c r="H47" s="1107">
        <v>43667</v>
      </c>
      <c r="I47" s="295">
        <v>1135</v>
      </c>
      <c r="J47" s="295">
        <v>21</v>
      </c>
      <c r="K47" s="295">
        <v>1200</v>
      </c>
      <c r="L47" s="295">
        <v>21</v>
      </c>
      <c r="M47" s="295">
        <v>1530</v>
      </c>
      <c r="N47" s="647" t="s">
        <v>593</v>
      </c>
      <c r="O47" s="463">
        <v>8</v>
      </c>
      <c r="P47" s="296">
        <v>2</v>
      </c>
      <c r="Q47" s="296"/>
      <c r="R47" s="296"/>
      <c r="S47" s="363"/>
      <c r="T47" s="463"/>
      <c r="U47" s="296"/>
      <c r="V47" s="296"/>
      <c r="W47" s="296"/>
      <c r="X47" s="363"/>
      <c r="Y47" s="463">
        <v>8</v>
      </c>
      <c r="Z47" s="296">
        <v>2</v>
      </c>
      <c r="AA47" s="296"/>
      <c r="AB47" s="296"/>
      <c r="AC47" s="464"/>
      <c r="AD47" s="637">
        <v>10</v>
      </c>
      <c r="AE47" s="622" t="s">
        <v>202</v>
      </c>
      <c r="AF47" s="622" t="s">
        <v>228</v>
      </c>
      <c r="AG47" s="638" t="s">
        <v>115</v>
      </c>
      <c r="AH47" s="640" t="s">
        <v>78</v>
      </c>
      <c r="AI47" s="362" t="s">
        <v>150</v>
      </c>
      <c r="AJ47" s="461" t="s">
        <v>29</v>
      </c>
      <c r="AK47" s="298">
        <v>66600</v>
      </c>
      <c r="AL47" s="363" t="s">
        <v>168</v>
      </c>
    </row>
    <row r="48" spans="1:38" ht="13.5" customHeight="1" x14ac:dyDescent="0.35">
      <c r="A48" s="303">
        <v>37064219</v>
      </c>
      <c r="B48" s="650" t="s">
        <v>221</v>
      </c>
      <c r="C48" s="650" t="s">
        <v>222</v>
      </c>
      <c r="D48" s="361" t="s">
        <v>253</v>
      </c>
      <c r="E48" s="270" t="s">
        <v>312</v>
      </c>
      <c r="F48" s="366" t="s">
        <v>313</v>
      </c>
      <c r="G48" s="295" t="s">
        <v>117</v>
      </c>
      <c r="H48" s="1107">
        <v>43667</v>
      </c>
      <c r="I48" s="295">
        <v>1225</v>
      </c>
      <c r="J48" s="295">
        <v>21</v>
      </c>
      <c r="K48" s="295">
        <v>1245</v>
      </c>
      <c r="L48" s="295">
        <v>21</v>
      </c>
      <c r="M48" s="295">
        <v>2100</v>
      </c>
      <c r="N48" s="639" t="s">
        <v>19</v>
      </c>
      <c r="O48" s="463"/>
      <c r="P48" s="296"/>
      <c r="Q48" s="296"/>
      <c r="R48" s="296"/>
      <c r="S48" s="363"/>
      <c r="T48" s="463"/>
      <c r="U48" s="296">
        <v>6</v>
      </c>
      <c r="V48" s="296"/>
      <c r="W48" s="296"/>
      <c r="X48" s="363"/>
      <c r="Y48" s="463"/>
      <c r="Z48" s="296">
        <v>6</v>
      </c>
      <c r="AA48" s="296"/>
      <c r="AB48" s="296"/>
      <c r="AC48" s="464"/>
      <c r="AD48" s="637">
        <v>6</v>
      </c>
      <c r="AE48" s="628" t="s">
        <v>148</v>
      </c>
      <c r="AF48" s="633" t="s">
        <v>254</v>
      </c>
      <c r="AG48" s="638" t="s">
        <v>115</v>
      </c>
      <c r="AH48" s="640" t="s">
        <v>78</v>
      </c>
      <c r="AI48" s="362" t="s">
        <v>150</v>
      </c>
      <c r="AJ48" s="449" t="s">
        <v>156</v>
      </c>
      <c r="AK48" s="298">
        <v>18720</v>
      </c>
      <c r="AL48" s="363"/>
    </row>
    <row r="49" spans="1:38" ht="13.5" customHeight="1" x14ac:dyDescent="0.35">
      <c r="A49" s="634">
        <v>38062419</v>
      </c>
      <c r="B49" s="635" t="s">
        <v>147</v>
      </c>
      <c r="C49" s="635" t="s">
        <v>147</v>
      </c>
      <c r="D49" s="361" t="s">
        <v>255</v>
      </c>
      <c r="E49" s="748" t="s">
        <v>416</v>
      </c>
      <c r="F49" s="638" t="s">
        <v>290</v>
      </c>
      <c r="G49" s="295" t="s">
        <v>117</v>
      </c>
      <c r="H49" s="1107">
        <v>43667</v>
      </c>
      <c r="I49" s="295">
        <v>1500</v>
      </c>
      <c r="J49" s="295">
        <v>21</v>
      </c>
      <c r="K49" s="295">
        <v>1600</v>
      </c>
      <c r="L49" s="295">
        <v>21</v>
      </c>
      <c r="M49" s="295">
        <v>2400</v>
      </c>
      <c r="N49" s="647" t="s">
        <v>252</v>
      </c>
      <c r="O49" s="463">
        <v>6</v>
      </c>
      <c r="P49" s="296">
        <v>5</v>
      </c>
      <c r="Q49" s="296">
        <v>4</v>
      </c>
      <c r="R49" s="296"/>
      <c r="S49" s="363"/>
      <c r="T49" s="463"/>
      <c r="U49" s="296"/>
      <c r="V49" s="296"/>
      <c r="W49" s="296"/>
      <c r="X49" s="363"/>
      <c r="Y49" s="463">
        <v>6</v>
      </c>
      <c r="Z49" s="296">
        <v>5</v>
      </c>
      <c r="AA49" s="296">
        <v>4</v>
      </c>
      <c r="AB49" s="296"/>
      <c r="AC49" s="464"/>
      <c r="AD49" s="637">
        <v>15</v>
      </c>
      <c r="AE49" s="622" t="s">
        <v>202</v>
      </c>
      <c r="AF49" s="622" t="s">
        <v>228</v>
      </c>
      <c r="AG49" s="638" t="s">
        <v>115</v>
      </c>
      <c r="AH49" s="640" t="s">
        <v>78</v>
      </c>
      <c r="AI49" s="362" t="s">
        <v>150</v>
      </c>
      <c r="AJ49" s="449" t="s">
        <v>208</v>
      </c>
      <c r="AK49" s="298">
        <v>68200</v>
      </c>
      <c r="AL49" s="363" t="s">
        <v>168</v>
      </c>
    </row>
    <row r="50" spans="1:38" ht="13.5" customHeight="1" x14ac:dyDescent="0.35">
      <c r="A50" s="800">
        <v>39062919</v>
      </c>
      <c r="B50" s="651" t="s">
        <v>221</v>
      </c>
      <c r="C50" s="651" t="s">
        <v>221</v>
      </c>
      <c r="D50" s="652" t="s">
        <v>256</v>
      </c>
      <c r="E50" s="653" t="s">
        <v>315</v>
      </c>
      <c r="F50" s="653" t="s">
        <v>314</v>
      </c>
      <c r="G50" s="654" t="s">
        <v>117</v>
      </c>
      <c r="H50" s="1108">
        <v>43668</v>
      </c>
      <c r="I50" s="654">
        <v>1245</v>
      </c>
      <c r="J50" s="654">
        <v>22</v>
      </c>
      <c r="K50" s="654">
        <v>1300</v>
      </c>
      <c r="L50" s="654">
        <v>22</v>
      </c>
      <c r="M50" s="654">
        <v>1830</v>
      </c>
      <c r="N50" s="639" t="s">
        <v>19</v>
      </c>
      <c r="O50" s="655"/>
      <c r="P50" s="297"/>
      <c r="Q50" s="297"/>
      <c r="R50" s="297"/>
      <c r="S50" s="656"/>
      <c r="T50" s="655"/>
      <c r="U50" s="297">
        <v>4</v>
      </c>
      <c r="V50" s="297"/>
      <c r="W50" s="297"/>
      <c r="X50" s="656">
        <v>6</v>
      </c>
      <c r="Y50" s="655"/>
      <c r="Z50" s="297">
        <v>4</v>
      </c>
      <c r="AA50" s="297"/>
      <c r="AB50" s="297"/>
      <c r="AC50" s="657">
        <v>6</v>
      </c>
      <c r="AD50" s="658">
        <v>10</v>
      </c>
      <c r="AE50" s="622" t="s">
        <v>202</v>
      </c>
      <c r="AF50" s="622" t="s">
        <v>238</v>
      </c>
      <c r="AG50" s="638" t="s">
        <v>115</v>
      </c>
      <c r="AH50" s="640" t="s">
        <v>78</v>
      </c>
      <c r="AI50" s="659" t="s">
        <v>150</v>
      </c>
      <c r="AJ50" s="660" t="s">
        <v>156</v>
      </c>
      <c r="AK50" s="661">
        <v>94290</v>
      </c>
      <c r="AL50" s="656"/>
    </row>
    <row r="51" spans="1:38" s="172" customFormat="1" ht="13.5" customHeight="1" x14ac:dyDescent="0.35">
      <c r="A51" s="303">
        <v>40064819</v>
      </c>
      <c r="B51" s="650" t="s">
        <v>219</v>
      </c>
      <c r="C51" s="650" t="s">
        <v>220</v>
      </c>
      <c r="D51" s="662" t="s">
        <v>257</v>
      </c>
      <c r="E51" s="270" t="s">
        <v>349</v>
      </c>
      <c r="F51" s="270" t="s">
        <v>350</v>
      </c>
      <c r="G51" s="295" t="s">
        <v>117</v>
      </c>
      <c r="H51" s="1107">
        <v>43668</v>
      </c>
      <c r="I51" s="295">
        <v>1215</v>
      </c>
      <c r="J51" s="295">
        <v>22</v>
      </c>
      <c r="K51" s="295">
        <v>1235</v>
      </c>
      <c r="L51" s="295">
        <v>22</v>
      </c>
      <c r="M51" s="295">
        <v>1900</v>
      </c>
      <c r="N51" s="639" t="s">
        <v>234</v>
      </c>
      <c r="O51" s="463"/>
      <c r="P51" s="296">
        <v>2</v>
      </c>
      <c r="Q51" s="296"/>
      <c r="R51" s="296"/>
      <c r="S51" s="363"/>
      <c r="T51" s="463"/>
      <c r="U51" s="296"/>
      <c r="V51" s="296">
        <v>3</v>
      </c>
      <c r="W51" s="296"/>
      <c r="X51" s="363"/>
      <c r="Y51" s="463"/>
      <c r="Z51" s="296">
        <v>2</v>
      </c>
      <c r="AA51" s="296">
        <v>3</v>
      </c>
      <c r="AB51" s="296"/>
      <c r="AC51" s="464"/>
      <c r="AD51" s="637">
        <v>5</v>
      </c>
      <c r="AE51" s="622" t="s">
        <v>202</v>
      </c>
      <c r="AF51" s="622" t="s">
        <v>238</v>
      </c>
      <c r="AG51" s="638" t="s">
        <v>115</v>
      </c>
      <c r="AH51" s="305" t="s">
        <v>79</v>
      </c>
      <c r="AI51" s="362" t="s">
        <v>150</v>
      </c>
      <c r="AJ51" s="461" t="s">
        <v>151</v>
      </c>
      <c r="AK51" s="298">
        <v>11300</v>
      </c>
      <c r="AL51" s="363" t="s">
        <v>168</v>
      </c>
    </row>
    <row r="52" spans="1:38" ht="13.5" customHeight="1" x14ac:dyDescent="0.35">
      <c r="A52" s="303">
        <v>41064219</v>
      </c>
      <c r="B52" s="650" t="s">
        <v>221</v>
      </c>
      <c r="C52" s="650" t="s">
        <v>222</v>
      </c>
      <c r="D52" s="663" t="s">
        <v>258</v>
      </c>
      <c r="E52" s="366" t="s">
        <v>317</v>
      </c>
      <c r="F52" s="366" t="s">
        <v>316</v>
      </c>
      <c r="G52" s="295" t="s">
        <v>117</v>
      </c>
      <c r="H52" s="1107">
        <v>43669</v>
      </c>
      <c r="I52" s="295">
        <v>1330</v>
      </c>
      <c r="J52" s="295">
        <v>23</v>
      </c>
      <c r="K52" s="295">
        <v>1400</v>
      </c>
      <c r="L52" s="295">
        <v>23</v>
      </c>
      <c r="M52" s="295">
        <v>1900</v>
      </c>
      <c r="N52" s="639" t="s">
        <v>234</v>
      </c>
      <c r="O52" s="463"/>
      <c r="P52" s="296"/>
      <c r="Q52" s="296"/>
      <c r="R52" s="296"/>
      <c r="S52" s="363"/>
      <c r="T52" s="463"/>
      <c r="U52" s="296">
        <v>3</v>
      </c>
      <c r="V52" s="296">
        <v>2</v>
      </c>
      <c r="W52" s="296"/>
      <c r="X52" s="363"/>
      <c r="Y52" s="463"/>
      <c r="Z52" s="296">
        <v>3</v>
      </c>
      <c r="AA52" s="296">
        <v>2</v>
      </c>
      <c r="AB52" s="296"/>
      <c r="AC52" s="464"/>
      <c r="AD52" s="637">
        <v>5</v>
      </c>
      <c r="AE52" s="622" t="s">
        <v>202</v>
      </c>
      <c r="AF52" s="622" t="s">
        <v>228</v>
      </c>
      <c r="AG52" s="638" t="s">
        <v>115</v>
      </c>
      <c r="AH52" s="640" t="s">
        <v>29</v>
      </c>
      <c r="AI52" s="362" t="s">
        <v>162</v>
      </c>
      <c r="AJ52" s="461" t="s">
        <v>151</v>
      </c>
      <c r="AK52" s="298">
        <v>9960</v>
      </c>
      <c r="AL52" s="363"/>
    </row>
    <row r="53" spans="1:38" ht="13.5" customHeight="1" x14ac:dyDescent="0.35">
      <c r="A53" s="303">
        <v>42064919</v>
      </c>
      <c r="B53" s="650" t="s">
        <v>225</v>
      </c>
      <c r="C53" s="650" t="s">
        <v>226</v>
      </c>
      <c r="D53" s="361" t="s">
        <v>227</v>
      </c>
      <c r="E53" s="270" t="s">
        <v>351</v>
      </c>
      <c r="F53" s="270" t="s">
        <v>352</v>
      </c>
      <c r="G53" s="295" t="s">
        <v>117</v>
      </c>
      <c r="H53" s="1107">
        <v>43669</v>
      </c>
      <c r="I53" s="295">
        <v>1400</v>
      </c>
      <c r="J53" s="295">
        <v>23</v>
      </c>
      <c r="K53" s="295">
        <v>1430</v>
      </c>
      <c r="L53" s="295">
        <v>23</v>
      </c>
      <c r="M53" s="295">
        <v>2145</v>
      </c>
      <c r="N53" s="647" t="s">
        <v>233</v>
      </c>
      <c r="O53" s="463">
        <v>1</v>
      </c>
      <c r="P53" s="296"/>
      <c r="Q53" s="296">
        <v>4</v>
      </c>
      <c r="R53" s="296"/>
      <c r="S53" s="363"/>
      <c r="T53" s="463"/>
      <c r="U53" s="296"/>
      <c r="V53" s="296"/>
      <c r="W53" s="296"/>
      <c r="X53" s="363"/>
      <c r="Y53" s="463">
        <v>1</v>
      </c>
      <c r="Z53" s="296"/>
      <c r="AA53" s="296">
        <v>4</v>
      </c>
      <c r="AB53" s="296"/>
      <c r="AC53" s="464"/>
      <c r="AD53" s="637">
        <v>5</v>
      </c>
      <c r="AE53" s="622" t="s">
        <v>202</v>
      </c>
      <c r="AF53" s="622" t="s">
        <v>228</v>
      </c>
      <c r="AG53" s="638" t="s">
        <v>115</v>
      </c>
      <c r="AH53" s="305" t="s">
        <v>79</v>
      </c>
      <c r="AI53" s="362" t="s">
        <v>162</v>
      </c>
      <c r="AJ53" s="461" t="s">
        <v>216</v>
      </c>
      <c r="AK53" s="298">
        <v>21200</v>
      </c>
      <c r="AL53" s="363" t="s">
        <v>168</v>
      </c>
    </row>
    <row r="54" spans="1:38" ht="13.5" customHeight="1" x14ac:dyDescent="0.35">
      <c r="A54" s="303">
        <v>43064919</v>
      </c>
      <c r="B54" s="650" t="s">
        <v>225</v>
      </c>
      <c r="C54" s="650" t="s">
        <v>226</v>
      </c>
      <c r="D54" s="361" t="s">
        <v>261</v>
      </c>
      <c r="E54" s="270" t="s">
        <v>353</v>
      </c>
      <c r="F54" s="270" t="s">
        <v>354</v>
      </c>
      <c r="G54" s="295" t="s">
        <v>117</v>
      </c>
      <c r="H54" s="1107">
        <v>43669</v>
      </c>
      <c r="I54" s="295">
        <v>1645</v>
      </c>
      <c r="J54" s="295">
        <v>23</v>
      </c>
      <c r="K54" s="295">
        <v>1655</v>
      </c>
      <c r="L54" s="295">
        <v>24</v>
      </c>
      <c r="M54" s="295">
        <v>410</v>
      </c>
      <c r="N54" s="664" t="s">
        <v>20</v>
      </c>
      <c r="O54" s="463"/>
      <c r="P54" s="296"/>
      <c r="Q54" s="296"/>
      <c r="R54" s="296"/>
      <c r="S54" s="363"/>
      <c r="T54" s="463"/>
      <c r="U54" s="296"/>
      <c r="V54" s="296">
        <v>8</v>
      </c>
      <c r="W54" s="296"/>
      <c r="X54" s="363"/>
      <c r="Y54" s="463"/>
      <c r="Z54" s="296"/>
      <c r="AA54" s="296">
        <v>8</v>
      </c>
      <c r="AB54" s="296"/>
      <c r="AC54" s="464"/>
      <c r="AD54" s="637">
        <v>8</v>
      </c>
      <c r="AE54" s="622" t="s">
        <v>202</v>
      </c>
      <c r="AF54" s="622" t="s">
        <v>228</v>
      </c>
      <c r="AG54" s="638" t="s">
        <v>115</v>
      </c>
      <c r="AH54" s="305" t="s">
        <v>79</v>
      </c>
      <c r="AI54" s="362" t="s">
        <v>162</v>
      </c>
      <c r="AJ54" s="461" t="s">
        <v>151</v>
      </c>
      <c r="AK54" s="298">
        <v>2400</v>
      </c>
      <c r="AL54" s="363"/>
    </row>
    <row r="55" spans="1:38" ht="13.5" customHeight="1" x14ac:dyDescent="0.35">
      <c r="A55" s="303">
        <v>44064219</v>
      </c>
      <c r="B55" s="650" t="s">
        <v>221</v>
      </c>
      <c r="C55" s="650" t="s">
        <v>222</v>
      </c>
      <c r="D55" s="361" t="s">
        <v>240</v>
      </c>
      <c r="E55" s="366" t="s">
        <v>319</v>
      </c>
      <c r="F55" s="366" t="s">
        <v>318</v>
      </c>
      <c r="G55" s="295" t="s">
        <v>117</v>
      </c>
      <c r="H55" s="1107">
        <v>43669</v>
      </c>
      <c r="I55" s="295">
        <v>1030</v>
      </c>
      <c r="J55" s="295">
        <v>23</v>
      </c>
      <c r="K55" s="295">
        <v>1130</v>
      </c>
      <c r="L55" s="295">
        <v>24</v>
      </c>
      <c r="M55" s="295">
        <v>600</v>
      </c>
      <c r="N55" s="647" t="s">
        <v>260</v>
      </c>
      <c r="O55" s="463">
        <v>10</v>
      </c>
      <c r="P55" s="296"/>
      <c r="Q55" s="296"/>
      <c r="R55" s="296"/>
      <c r="S55" s="363"/>
      <c r="T55" s="463"/>
      <c r="U55" s="296">
        <v>5</v>
      </c>
      <c r="V55" s="296"/>
      <c r="W55" s="296"/>
      <c r="X55" s="363"/>
      <c r="Y55" s="463">
        <v>10</v>
      </c>
      <c r="Z55" s="296">
        <v>5</v>
      </c>
      <c r="AA55" s="296"/>
      <c r="AB55" s="296"/>
      <c r="AC55" s="464"/>
      <c r="AD55" s="637">
        <v>15</v>
      </c>
      <c r="AE55" s="622" t="s">
        <v>202</v>
      </c>
      <c r="AF55" s="622" t="s">
        <v>228</v>
      </c>
      <c r="AG55" s="638" t="s">
        <v>115</v>
      </c>
      <c r="AH55" s="640" t="s">
        <v>29</v>
      </c>
      <c r="AI55" s="362" t="s">
        <v>162</v>
      </c>
      <c r="AJ55" s="461" t="s">
        <v>151</v>
      </c>
      <c r="AK55" s="298">
        <v>70800</v>
      </c>
      <c r="AL55" s="363" t="s">
        <v>168</v>
      </c>
    </row>
    <row r="56" spans="1:38" ht="13.5" customHeight="1" x14ac:dyDescent="0.35">
      <c r="A56" s="303">
        <v>45064919</v>
      </c>
      <c r="B56" s="650" t="s">
        <v>225</v>
      </c>
      <c r="C56" s="650" t="s">
        <v>226</v>
      </c>
      <c r="D56" s="641" t="s">
        <v>227</v>
      </c>
      <c r="E56" s="270" t="s">
        <v>355</v>
      </c>
      <c r="F56" s="270" t="s">
        <v>356</v>
      </c>
      <c r="G56" s="295" t="s">
        <v>117</v>
      </c>
      <c r="H56" s="1107">
        <v>43670</v>
      </c>
      <c r="I56" s="295">
        <v>1500</v>
      </c>
      <c r="J56" s="295">
        <v>24</v>
      </c>
      <c r="K56" s="295">
        <v>900</v>
      </c>
      <c r="L56" s="295">
        <v>24</v>
      </c>
      <c r="M56" s="295">
        <v>1620</v>
      </c>
      <c r="N56" s="647" t="s">
        <v>233</v>
      </c>
      <c r="O56" s="463">
        <v>2</v>
      </c>
      <c r="P56" s="296"/>
      <c r="Q56" s="296">
        <v>10</v>
      </c>
      <c r="R56" s="296"/>
      <c r="S56" s="363"/>
      <c r="T56" s="463"/>
      <c r="U56" s="296"/>
      <c r="V56" s="296"/>
      <c r="W56" s="296"/>
      <c r="X56" s="363"/>
      <c r="Y56" s="463">
        <v>2</v>
      </c>
      <c r="Z56" s="296"/>
      <c r="AA56" s="296">
        <v>10</v>
      </c>
      <c r="AB56" s="296"/>
      <c r="AC56" s="464"/>
      <c r="AD56" s="637">
        <v>12</v>
      </c>
      <c r="AE56" s="622" t="s">
        <v>164</v>
      </c>
      <c r="AF56" s="622" t="s">
        <v>164</v>
      </c>
      <c r="AG56" s="638" t="s">
        <v>115</v>
      </c>
      <c r="AH56" s="305" t="s">
        <v>79</v>
      </c>
      <c r="AI56" s="362" t="s">
        <v>162</v>
      </c>
      <c r="AJ56" s="461" t="s">
        <v>216</v>
      </c>
      <c r="AK56" s="298">
        <v>43000</v>
      </c>
      <c r="AL56" s="363"/>
    </row>
    <row r="57" spans="1:38" ht="13.5" customHeight="1" x14ac:dyDescent="0.35">
      <c r="A57" s="634">
        <v>46062419</v>
      </c>
      <c r="B57" s="635" t="s">
        <v>147</v>
      </c>
      <c r="C57" s="635" t="s">
        <v>147</v>
      </c>
      <c r="D57" s="429" t="s">
        <v>182</v>
      </c>
      <c r="E57" s="748" t="s">
        <v>415</v>
      </c>
      <c r="F57" s="638" t="s">
        <v>292</v>
      </c>
      <c r="G57" s="295" t="s">
        <v>117</v>
      </c>
      <c r="H57" s="1107">
        <v>43670</v>
      </c>
      <c r="I57" s="295">
        <v>1100</v>
      </c>
      <c r="J57" s="295">
        <v>24</v>
      </c>
      <c r="K57" s="295">
        <v>1200</v>
      </c>
      <c r="L57" s="295">
        <v>24</v>
      </c>
      <c r="M57" s="295">
        <v>2100</v>
      </c>
      <c r="N57" s="647" t="s">
        <v>241</v>
      </c>
      <c r="O57" s="463"/>
      <c r="P57" s="296"/>
      <c r="Q57" s="296"/>
      <c r="R57" s="296"/>
      <c r="S57" s="363"/>
      <c r="T57" s="463">
        <v>7</v>
      </c>
      <c r="U57" s="296"/>
      <c r="V57" s="296">
        <v>8</v>
      </c>
      <c r="W57" s="296"/>
      <c r="X57" s="363">
        <v>3</v>
      </c>
      <c r="Y57" s="463">
        <v>7</v>
      </c>
      <c r="Z57" s="296"/>
      <c r="AA57" s="296">
        <v>8</v>
      </c>
      <c r="AB57" s="296"/>
      <c r="AC57" s="464">
        <v>3</v>
      </c>
      <c r="AD57" s="637">
        <v>18</v>
      </c>
      <c r="AE57" s="628" t="s">
        <v>148</v>
      </c>
      <c r="AF57" s="458" t="s">
        <v>149</v>
      </c>
      <c r="AG57" s="638" t="s">
        <v>115</v>
      </c>
      <c r="AH57" s="640" t="s">
        <v>78</v>
      </c>
      <c r="AI57" s="362" t="s">
        <v>150</v>
      </c>
      <c r="AJ57" s="449" t="s">
        <v>156</v>
      </c>
      <c r="AK57" s="298">
        <v>1062400</v>
      </c>
      <c r="AL57" s="363"/>
    </row>
    <row r="58" spans="1:38" ht="13.5" customHeight="1" x14ac:dyDescent="0.35">
      <c r="A58" s="769">
        <v>47062019</v>
      </c>
      <c r="B58" s="648" t="s">
        <v>243</v>
      </c>
      <c r="C58" s="648" t="s">
        <v>243</v>
      </c>
      <c r="D58" s="361" t="s">
        <v>244</v>
      </c>
      <c r="E58" s="366" t="s">
        <v>386</v>
      </c>
      <c r="F58" s="366" t="s">
        <v>387</v>
      </c>
      <c r="G58" s="295" t="s">
        <v>117</v>
      </c>
      <c r="H58" s="1107">
        <v>43670</v>
      </c>
      <c r="I58" s="295">
        <v>1600</v>
      </c>
      <c r="J58" s="295">
        <v>24</v>
      </c>
      <c r="K58" s="295">
        <v>1610</v>
      </c>
      <c r="L58" s="295">
        <v>24</v>
      </c>
      <c r="M58" s="295">
        <v>2100</v>
      </c>
      <c r="N58" s="639" t="s">
        <v>19</v>
      </c>
      <c r="O58" s="463"/>
      <c r="P58" s="296">
        <v>0.5</v>
      </c>
      <c r="Q58" s="296">
        <v>0.5</v>
      </c>
      <c r="R58" s="296"/>
      <c r="S58" s="363"/>
      <c r="T58" s="463"/>
      <c r="U58" s="296"/>
      <c r="V58" s="296"/>
      <c r="W58" s="296"/>
      <c r="X58" s="363"/>
      <c r="Y58" s="463"/>
      <c r="Z58" s="296">
        <v>0.5</v>
      </c>
      <c r="AA58" s="296">
        <v>0.5</v>
      </c>
      <c r="AB58" s="296"/>
      <c r="AC58" s="464"/>
      <c r="AD58" s="637">
        <v>1</v>
      </c>
      <c r="AE58" s="628" t="s">
        <v>148</v>
      </c>
      <c r="AF58" s="633" t="s">
        <v>209</v>
      </c>
      <c r="AG58" s="638" t="s">
        <v>115</v>
      </c>
      <c r="AH58" s="305" t="s">
        <v>79</v>
      </c>
      <c r="AI58" s="362" t="s">
        <v>150</v>
      </c>
      <c r="AJ58" s="449" t="s">
        <v>208</v>
      </c>
      <c r="AK58" s="298">
        <v>1350</v>
      </c>
      <c r="AL58" s="363" t="s">
        <v>168</v>
      </c>
    </row>
    <row r="59" spans="1:38" ht="13.5" customHeight="1" x14ac:dyDescent="0.35">
      <c r="A59" s="769">
        <v>48061319</v>
      </c>
      <c r="B59" s="648" t="s">
        <v>167</v>
      </c>
      <c r="C59" s="648" t="s">
        <v>262</v>
      </c>
      <c r="D59" s="361" t="s">
        <v>263</v>
      </c>
      <c r="E59" s="270" t="s">
        <v>406</v>
      </c>
      <c r="F59" s="270" t="s">
        <v>405</v>
      </c>
      <c r="G59" s="295" t="s">
        <v>367</v>
      </c>
      <c r="H59" s="1107">
        <v>43670</v>
      </c>
      <c r="I59" s="295">
        <v>1800</v>
      </c>
      <c r="J59" s="295">
        <v>24</v>
      </c>
      <c r="K59" s="295">
        <v>1935</v>
      </c>
      <c r="L59" s="295">
        <v>24</v>
      </c>
      <c r="M59" s="295">
        <v>2230</v>
      </c>
      <c r="N59" s="664" t="s">
        <v>20</v>
      </c>
      <c r="O59" s="463"/>
      <c r="P59" s="296"/>
      <c r="Q59" s="296"/>
      <c r="R59" s="296"/>
      <c r="S59" s="363"/>
      <c r="T59" s="463"/>
      <c r="U59" s="296"/>
      <c r="V59" s="296">
        <v>1.5</v>
      </c>
      <c r="W59" s="296"/>
      <c r="X59" s="363"/>
      <c r="Y59" s="463"/>
      <c r="Z59" s="296"/>
      <c r="AA59" s="296">
        <v>1.5</v>
      </c>
      <c r="AB59" s="296"/>
      <c r="AC59" s="464"/>
      <c r="AD59" s="637">
        <v>1.5</v>
      </c>
      <c r="AE59" s="622" t="s">
        <v>159</v>
      </c>
      <c r="AF59" s="623" t="s">
        <v>159</v>
      </c>
      <c r="AG59" s="638" t="s">
        <v>115</v>
      </c>
      <c r="AH59" s="305" t="s">
        <v>79</v>
      </c>
      <c r="AI59" s="362" t="s">
        <v>150</v>
      </c>
      <c r="AJ59" s="449" t="s">
        <v>156</v>
      </c>
      <c r="AK59" s="298">
        <v>450</v>
      </c>
      <c r="AL59" s="363"/>
    </row>
    <row r="60" spans="1:38" ht="13.5" customHeight="1" x14ac:dyDescent="0.35">
      <c r="A60" s="303">
        <v>49064919</v>
      </c>
      <c r="B60" s="650" t="s">
        <v>225</v>
      </c>
      <c r="C60" s="650" t="s">
        <v>226</v>
      </c>
      <c r="D60" s="361" t="s">
        <v>264</v>
      </c>
      <c r="E60" s="270" t="s">
        <v>357</v>
      </c>
      <c r="F60" s="270" t="s">
        <v>358</v>
      </c>
      <c r="G60" s="295" t="s">
        <v>117</v>
      </c>
      <c r="H60" s="1107">
        <v>43671</v>
      </c>
      <c r="I60" s="295">
        <v>1230</v>
      </c>
      <c r="J60" s="295">
        <v>25</v>
      </c>
      <c r="K60" s="295"/>
      <c r="L60" s="295">
        <v>25</v>
      </c>
      <c r="M60" s="295">
        <v>1830</v>
      </c>
      <c r="N60" s="664" t="s">
        <v>20</v>
      </c>
      <c r="O60" s="463"/>
      <c r="P60" s="296"/>
      <c r="Q60" s="296"/>
      <c r="R60" s="296"/>
      <c r="S60" s="363"/>
      <c r="T60" s="463"/>
      <c r="U60" s="296"/>
      <c r="V60" s="296">
        <v>5</v>
      </c>
      <c r="W60" s="296"/>
      <c r="X60" s="363"/>
      <c r="Y60" s="463"/>
      <c r="Z60" s="296"/>
      <c r="AA60" s="296">
        <v>5</v>
      </c>
      <c r="AB60" s="296"/>
      <c r="AC60" s="464"/>
      <c r="AD60" s="637">
        <v>5</v>
      </c>
      <c r="AE60" s="622" t="s">
        <v>202</v>
      </c>
      <c r="AF60" s="622" t="s">
        <v>228</v>
      </c>
      <c r="AG60" s="638" t="s">
        <v>115</v>
      </c>
      <c r="AH60" s="305" t="s">
        <v>79</v>
      </c>
      <c r="AI60" s="362" t="s">
        <v>150</v>
      </c>
      <c r="AJ60" s="461"/>
      <c r="AK60" s="298">
        <v>1500</v>
      </c>
      <c r="AL60" s="363"/>
    </row>
    <row r="61" spans="1:38" ht="13.5" customHeight="1" x14ac:dyDescent="0.35">
      <c r="A61" s="303">
        <v>50064219</v>
      </c>
      <c r="B61" s="650" t="s">
        <v>221</v>
      </c>
      <c r="C61" s="650" t="s">
        <v>221</v>
      </c>
      <c r="D61" s="662" t="s">
        <v>272</v>
      </c>
      <c r="E61" s="270" t="s">
        <v>321</v>
      </c>
      <c r="F61" s="270" t="s">
        <v>320</v>
      </c>
      <c r="G61" s="284" t="s">
        <v>117</v>
      </c>
      <c r="H61" s="1102">
        <v>43671</v>
      </c>
      <c r="I61" s="284">
        <v>1510</v>
      </c>
      <c r="J61" s="284">
        <v>25</v>
      </c>
      <c r="K61" s="284">
        <v>1525</v>
      </c>
      <c r="L61" s="284">
        <v>25</v>
      </c>
      <c r="M61" s="284">
        <v>2310</v>
      </c>
      <c r="N61" s="639" t="s">
        <v>19</v>
      </c>
      <c r="O61" s="456"/>
      <c r="P61" s="283"/>
      <c r="Q61" s="283"/>
      <c r="R61" s="283"/>
      <c r="S61" s="306"/>
      <c r="T61" s="456"/>
      <c r="U61" s="283">
        <v>9</v>
      </c>
      <c r="V61" s="283"/>
      <c r="W61" s="283"/>
      <c r="X61" s="306">
        <v>5</v>
      </c>
      <c r="Y61" s="456"/>
      <c r="Z61" s="283">
        <v>9</v>
      </c>
      <c r="AA61" s="283"/>
      <c r="AB61" s="283"/>
      <c r="AC61" s="457">
        <v>5</v>
      </c>
      <c r="AD61" s="627">
        <v>14</v>
      </c>
      <c r="AE61" s="622" t="s">
        <v>202</v>
      </c>
      <c r="AF61" s="622" t="s">
        <v>238</v>
      </c>
      <c r="AG61" s="638" t="s">
        <v>115</v>
      </c>
      <c r="AH61" s="640" t="s">
        <v>78</v>
      </c>
      <c r="AI61" s="362" t="s">
        <v>162</v>
      </c>
      <c r="AJ61" s="449" t="s">
        <v>151</v>
      </c>
      <c r="AK61" s="292">
        <v>183940</v>
      </c>
      <c r="AL61" s="306"/>
    </row>
    <row r="62" spans="1:38" ht="13.5" customHeight="1" x14ac:dyDescent="0.35">
      <c r="A62" s="634">
        <v>51062419</v>
      </c>
      <c r="B62" s="635" t="s">
        <v>147</v>
      </c>
      <c r="C62" s="635" t="s">
        <v>147</v>
      </c>
      <c r="D62" s="429" t="s">
        <v>265</v>
      </c>
      <c r="E62" s="748" t="s">
        <v>414</v>
      </c>
      <c r="F62" s="638" t="s">
        <v>291</v>
      </c>
      <c r="G62" s="631" t="s">
        <v>117</v>
      </c>
      <c r="H62" s="1106">
        <v>43671</v>
      </c>
      <c r="I62" s="665">
        <v>1600</v>
      </c>
      <c r="J62" s="665">
        <v>25</v>
      </c>
      <c r="K62" s="665">
        <v>1630</v>
      </c>
      <c r="L62" s="665">
        <v>25</v>
      </c>
      <c r="M62" s="665">
        <v>2300</v>
      </c>
      <c r="N62" s="639" t="s">
        <v>427</v>
      </c>
      <c r="O62" s="666">
        <v>10</v>
      </c>
      <c r="P62" s="667">
        <v>5</v>
      </c>
      <c r="Q62" s="667"/>
      <c r="R62" s="667"/>
      <c r="S62" s="668"/>
      <c r="T62" s="666"/>
      <c r="U62" s="667"/>
      <c r="V62" s="667">
        <v>3</v>
      </c>
      <c r="W62" s="667"/>
      <c r="X62" s="668">
        <v>7</v>
      </c>
      <c r="Y62" s="618">
        <v>10</v>
      </c>
      <c r="Z62" s="619">
        <v>5</v>
      </c>
      <c r="AA62" s="619">
        <v>3</v>
      </c>
      <c r="AB62" s="619"/>
      <c r="AC62" s="620">
        <v>7</v>
      </c>
      <c r="AD62" s="621">
        <v>25</v>
      </c>
      <c r="AE62" s="622" t="s">
        <v>202</v>
      </c>
      <c r="AF62" s="622" t="s">
        <v>238</v>
      </c>
      <c r="AG62" s="669" t="s">
        <v>115</v>
      </c>
      <c r="AH62" s="670" t="s">
        <v>29</v>
      </c>
      <c r="AI62" s="671" t="s">
        <v>150</v>
      </c>
      <c r="AJ62" s="672" t="s">
        <v>156</v>
      </c>
      <c r="AK62" s="673">
        <v>1360900</v>
      </c>
      <c r="AL62" s="674" t="s">
        <v>168</v>
      </c>
    </row>
    <row r="63" spans="1:38" ht="13.5" customHeight="1" x14ac:dyDescent="0.35">
      <c r="A63" s="642">
        <v>52062019</v>
      </c>
      <c r="B63" s="294" t="s">
        <v>243</v>
      </c>
      <c r="C63" s="294" t="s">
        <v>266</v>
      </c>
      <c r="D63" s="361" t="s">
        <v>273</v>
      </c>
      <c r="E63" s="366" t="s">
        <v>388</v>
      </c>
      <c r="F63" s="366" t="s">
        <v>389</v>
      </c>
      <c r="G63" s="295" t="s">
        <v>117</v>
      </c>
      <c r="H63" s="1107">
        <v>43671</v>
      </c>
      <c r="I63" s="295">
        <v>1720</v>
      </c>
      <c r="J63" s="295">
        <v>25</v>
      </c>
      <c r="K63" s="295">
        <v>1830</v>
      </c>
      <c r="L63" s="295">
        <v>25</v>
      </c>
      <c r="M63" s="295">
        <v>2330</v>
      </c>
      <c r="N63" s="632" t="s">
        <v>20</v>
      </c>
      <c r="O63" s="463"/>
      <c r="P63" s="296"/>
      <c r="Q63" s="296">
        <v>1</v>
      </c>
      <c r="R63" s="296"/>
      <c r="S63" s="363">
        <v>2</v>
      </c>
      <c r="T63" s="463"/>
      <c r="U63" s="296"/>
      <c r="V63" s="296"/>
      <c r="W63" s="296"/>
      <c r="X63" s="363"/>
      <c r="Y63" s="463"/>
      <c r="Z63" s="296"/>
      <c r="AA63" s="296">
        <v>1</v>
      </c>
      <c r="AB63" s="296"/>
      <c r="AC63" s="464">
        <v>2</v>
      </c>
      <c r="AD63" s="637">
        <v>3</v>
      </c>
      <c r="AE63" s="622" t="s">
        <v>202</v>
      </c>
      <c r="AF63" s="622" t="s">
        <v>228</v>
      </c>
      <c r="AG63" s="447" t="s">
        <v>115</v>
      </c>
      <c r="AH63" s="305" t="s">
        <v>79</v>
      </c>
      <c r="AI63" s="362" t="s">
        <v>150</v>
      </c>
      <c r="AJ63" s="461" t="s">
        <v>151</v>
      </c>
      <c r="AK63" s="298">
        <v>240000</v>
      </c>
      <c r="AL63" s="363" t="s">
        <v>168</v>
      </c>
    </row>
    <row r="64" spans="1:38" ht="13.5" customHeight="1" x14ac:dyDescent="0.35">
      <c r="A64" s="277">
        <v>53064219</v>
      </c>
      <c r="B64" s="278" t="s">
        <v>221</v>
      </c>
      <c r="C64" s="278" t="s">
        <v>267</v>
      </c>
      <c r="D64" s="675" t="s">
        <v>274</v>
      </c>
      <c r="E64" s="366" t="s">
        <v>323</v>
      </c>
      <c r="F64" s="366" t="s">
        <v>322</v>
      </c>
      <c r="G64" s="295" t="s">
        <v>117</v>
      </c>
      <c r="H64" s="1107">
        <v>43672</v>
      </c>
      <c r="I64" s="295">
        <v>2345</v>
      </c>
      <c r="J64" s="295">
        <v>26</v>
      </c>
      <c r="K64" s="295">
        <v>2425</v>
      </c>
      <c r="L64" s="295">
        <v>26</v>
      </c>
      <c r="M64" s="295">
        <v>600</v>
      </c>
      <c r="N64" s="452" t="s">
        <v>234</v>
      </c>
      <c r="O64" s="463"/>
      <c r="P64" s="296"/>
      <c r="Q64" s="296"/>
      <c r="R64" s="296"/>
      <c r="S64" s="363"/>
      <c r="T64" s="463"/>
      <c r="U64" s="296">
        <v>2</v>
      </c>
      <c r="V64" s="296">
        <v>8</v>
      </c>
      <c r="W64" s="296"/>
      <c r="X64" s="363"/>
      <c r="Y64" s="463"/>
      <c r="Z64" s="296">
        <v>2</v>
      </c>
      <c r="AA64" s="296">
        <v>8</v>
      </c>
      <c r="AB64" s="296"/>
      <c r="AC64" s="464"/>
      <c r="AD64" s="637">
        <v>10</v>
      </c>
      <c r="AE64" s="622" t="s">
        <v>202</v>
      </c>
      <c r="AF64" s="622" t="s">
        <v>228</v>
      </c>
      <c r="AG64" s="624" t="s">
        <v>115</v>
      </c>
      <c r="AH64" s="305" t="s">
        <v>79</v>
      </c>
      <c r="AI64" s="362" t="s">
        <v>162</v>
      </c>
      <c r="AJ64" s="461" t="s">
        <v>151</v>
      </c>
      <c r="AK64" s="298">
        <v>14880</v>
      </c>
      <c r="AL64" s="363"/>
    </row>
    <row r="65" spans="1:38" ht="13.5" customHeight="1" x14ac:dyDescent="0.35">
      <c r="A65" s="642">
        <v>54062419</v>
      </c>
      <c r="B65" s="294" t="s">
        <v>213</v>
      </c>
      <c r="C65" s="294" t="s">
        <v>213</v>
      </c>
      <c r="D65" s="361" t="s">
        <v>268</v>
      </c>
      <c r="E65" s="270" t="s">
        <v>334</v>
      </c>
      <c r="F65" s="270" t="s">
        <v>335</v>
      </c>
      <c r="G65" s="295" t="s">
        <v>117</v>
      </c>
      <c r="H65" s="1107">
        <v>43671</v>
      </c>
      <c r="I65" s="295">
        <v>1145</v>
      </c>
      <c r="J65" s="295">
        <v>25</v>
      </c>
      <c r="K65" s="295">
        <v>1200</v>
      </c>
      <c r="L65" s="295">
        <v>26</v>
      </c>
      <c r="M65" s="295">
        <v>1700</v>
      </c>
      <c r="N65" s="632" t="s">
        <v>233</v>
      </c>
      <c r="O65" s="463">
        <v>3</v>
      </c>
      <c r="P65" s="296"/>
      <c r="Q65" s="296">
        <v>5</v>
      </c>
      <c r="R65" s="296"/>
      <c r="S65" s="363"/>
      <c r="T65" s="463"/>
      <c r="U65" s="296"/>
      <c r="V65" s="296"/>
      <c r="W65" s="296"/>
      <c r="X65" s="363"/>
      <c r="Y65" s="463">
        <v>3</v>
      </c>
      <c r="Z65" s="296"/>
      <c r="AA65" s="296">
        <v>5</v>
      </c>
      <c r="AB65" s="296"/>
      <c r="AC65" s="464"/>
      <c r="AD65" s="637">
        <v>8</v>
      </c>
      <c r="AE65" s="622" t="s">
        <v>202</v>
      </c>
      <c r="AF65" s="622" t="s">
        <v>228</v>
      </c>
      <c r="AG65" s="447" t="s">
        <v>115</v>
      </c>
      <c r="AH65" s="305" t="s">
        <v>79</v>
      </c>
      <c r="AI65" s="362" t="s">
        <v>150</v>
      </c>
      <c r="AJ65" s="449" t="s">
        <v>275</v>
      </c>
      <c r="AK65" s="298">
        <v>2400</v>
      </c>
      <c r="AL65" s="363" t="s">
        <v>168</v>
      </c>
    </row>
    <row r="66" spans="1:38" ht="13.5" customHeight="1" x14ac:dyDescent="0.35">
      <c r="A66" s="642">
        <v>55061318</v>
      </c>
      <c r="B66" s="294" t="s">
        <v>167</v>
      </c>
      <c r="C66" s="294" t="s">
        <v>262</v>
      </c>
      <c r="D66" s="361" t="s">
        <v>166</v>
      </c>
      <c r="E66" s="638" t="s">
        <v>413</v>
      </c>
      <c r="F66" s="638" t="s">
        <v>369</v>
      </c>
      <c r="G66" s="295" t="s">
        <v>367</v>
      </c>
      <c r="H66" s="1107">
        <v>43672</v>
      </c>
      <c r="I66" s="295">
        <v>1215</v>
      </c>
      <c r="J66" s="295">
        <v>26</v>
      </c>
      <c r="K66" s="295">
        <v>1230</v>
      </c>
      <c r="L66" s="295">
        <v>26</v>
      </c>
      <c r="M66" s="295">
        <v>1920</v>
      </c>
      <c r="N66" s="647" t="s">
        <v>276</v>
      </c>
      <c r="O66" s="463">
        <v>2</v>
      </c>
      <c r="P66" s="296"/>
      <c r="Q66" s="296">
        <v>4</v>
      </c>
      <c r="R66" s="296"/>
      <c r="S66" s="363"/>
      <c r="T66" s="463"/>
      <c r="U66" s="296"/>
      <c r="V66" s="296"/>
      <c r="W66" s="296"/>
      <c r="X66" s="363"/>
      <c r="Y66" s="463">
        <v>2</v>
      </c>
      <c r="Z66" s="296"/>
      <c r="AA66" s="296">
        <v>4</v>
      </c>
      <c r="AB66" s="296"/>
      <c r="AC66" s="464"/>
      <c r="AD66" s="637">
        <v>6</v>
      </c>
      <c r="AE66" s="628" t="s">
        <v>148</v>
      </c>
      <c r="AF66" s="458" t="s">
        <v>149</v>
      </c>
      <c r="AG66" s="447" t="s">
        <v>115</v>
      </c>
      <c r="AH66" s="305" t="s">
        <v>94</v>
      </c>
      <c r="AI66" s="362" t="s">
        <v>150</v>
      </c>
      <c r="AJ66" s="449" t="s">
        <v>156</v>
      </c>
      <c r="AK66" s="298">
        <v>24200</v>
      </c>
      <c r="AL66" s="363" t="s">
        <v>168</v>
      </c>
    </row>
    <row r="67" spans="1:38" ht="13.5" customHeight="1" x14ac:dyDescent="0.35">
      <c r="A67" s="642">
        <v>56062419</v>
      </c>
      <c r="B67" s="294" t="s">
        <v>213</v>
      </c>
      <c r="C67" s="294" t="s">
        <v>213</v>
      </c>
      <c r="D67" s="361" t="s">
        <v>240</v>
      </c>
      <c r="E67" s="270" t="s">
        <v>336</v>
      </c>
      <c r="F67" s="270" t="s">
        <v>327</v>
      </c>
      <c r="G67" s="295" t="s">
        <v>117</v>
      </c>
      <c r="H67" s="1107">
        <v>43671</v>
      </c>
      <c r="I67" s="295">
        <v>2400</v>
      </c>
      <c r="J67" s="295">
        <v>25</v>
      </c>
      <c r="K67" s="295"/>
      <c r="L67" s="295">
        <v>26</v>
      </c>
      <c r="M67" s="295">
        <v>1930</v>
      </c>
      <c r="N67" s="647" t="s">
        <v>277</v>
      </c>
      <c r="O67" s="463">
        <v>1</v>
      </c>
      <c r="P67" s="296"/>
      <c r="Q67" s="296">
        <v>45</v>
      </c>
      <c r="R67" s="296"/>
      <c r="S67" s="363"/>
      <c r="T67" s="463"/>
      <c r="U67" s="296"/>
      <c r="V67" s="296"/>
      <c r="W67" s="296"/>
      <c r="X67" s="363"/>
      <c r="Y67" s="463">
        <v>1</v>
      </c>
      <c r="Z67" s="296"/>
      <c r="AA67" s="296">
        <v>45</v>
      </c>
      <c r="AB67" s="296"/>
      <c r="AC67" s="464"/>
      <c r="AD67" s="637">
        <v>46</v>
      </c>
      <c r="AE67" s="622" t="s">
        <v>202</v>
      </c>
      <c r="AF67" s="622" t="s">
        <v>228</v>
      </c>
      <c r="AG67" s="447" t="s">
        <v>115</v>
      </c>
      <c r="AH67" s="305" t="s">
        <v>94</v>
      </c>
      <c r="AI67" s="362" t="s">
        <v>162</v>
      </c>
      <c r="AJ67" s="449" t="s">
        <v>278</v>
      </c>
      <c r="AK67" s="298">
        <v>13800</v>
      </c>
      <c r="AL67" s="363" t="s">
        <v>168</v>
      </c>
    </row>
    <row r="68" spans="1:38" ht="13.5" customHeight="1" x14ac:dyDescent="0.35">
      <c r="A68" s="642">
        <v>57062019</v>
      </c>
      <c r="B68" s="278" t="s">
        <v>243</v>
      </c>
      <c r="C68" s="294" t="s">
        <v>269</v>
      </c>
      <c r="D68" s="361" t="s">
        <v>270</v>
      </c>
      <c r="E68" s="366" t="s">
        <v>390</v>
      </c>
      <c r="F68" s="366" t="s">
        <v>391</v>
      </c>
      <c r="G68" s="295" t="s">
        <v>117</v>
      </c>
      <c r="H68" s="1107">
        <v>43672</v>
      </c>
      <c r="I68" s="295">
        <v>1540</v>
      </c>
      <c r="J68" s="295">
        <v>26</v>
      </c>
      <c r="K68" s="295">
        <v>1610</v>
      </c>
      <c r="L68" s="295">
        <v>26</v>
      </c>
      <c r="M68" s="295">
        <v>1655</v>
      </c>
      <c r="N68" s="632" t="s">
        <v>20</v>
      </c>
      <c r="O68" s="463"/>
      <c r="P68" s="296"/>
      <c r="Q68" s="296"/>
      <c r="R68" s="296"/>
      <c r="S68" s="363"/>
      <c r="T68" s="463"/>
      <c r="U68" s="296"/>
      <c r="V68" s="296">
        <v>0.5</v>
      </c>
      <c r="W68" s="296"/>
      <c r="X68" s="363">
        <v>0.4</v>
      </c>
      <c r="Y68" s="463"/>
      <c r="Z68" s="296"/>
      <c r="AA68" s="296">
        <v>0.5</v>
      </c>
      <c r="AB68" s="296"/>
      <c r="AC68" s="464">
        <v>0.4</v>
      </c>
      <c r="AD68" s="637">
        <v>0.9</v>
      </c>
      <c r="AE68" s="628" t="s">
        <v>148</v>
      </c>
      <c r="AF68" s="458" t="s">
        <v>149</v>
      </c>
      <c r="AG68" s="447" t="s">
        <v>115</v>
      </c>
      <c r="AH68" s="676" t="s">
        <v>29</v>
      </c>
      <c r="AI68" s="362" t="s">
        <v>150</v>
      </c>
      <c r="AJ68" s="449" t="s">
        <v>156</v>
      </c>
      <c r="AK68" s="298">
        <v>48150</v>
      </c>
      <c r="AL68" s="363"/>
    </row>
    <row r="69" spans="1:38" ht="13.5" customHeight="1" x14ac:dyDescent="0.35">
      <c r="A69" s="277">
        <v>58064219</v>
      </c>
      <c r="B69" s="278" t="s">
        <v>221</v>
      </c>
      <c r="C69" s="278" t="s">
        <v>221</v>
      </c>
      <c r="D69" s="675" t="s">
        <v>271</v>
      </c>
      <c r="E69" s="366" t="s">
        <v>325</v>
      </c>
      <c r="F69" s="366" t="s">
        <v>324</v>
      </c>
      <c r="G69" s="295" t="s">
        <v>117</v>
      </c>
      <c r="H69" s="1107">
        <v>43672</v>
      </c>
      <c r="I69" s="295">
        <v>2100</v>
      </c>
      <c r="J69" s="295">
        <v>26</v>
      </c>
      <c r="K69" s="295">
        <v>2115</v>
      </c>
      <c r="L69" s="295">
        <v>27</v>
      </c>
      <c r="M69" s="295">
        <v>310</v>
      </c>
      <c r="N69" s="452" t="s">
        <v>234</v>
      </c>
      <c r="O69" s="463"/>
      <c r="P69" s="296"/>
      <c r="Q69" s="296"/>
      <c r="R69" s="296"/>
      <c r="S69" s="363"/>
      <c r="T69" s="463"/>
      <c r="U69" s="296">
        <v>5</v>
      </c>
      <c r="V69" s="296">
        <v>7</v>
      </c>
      <c r="W69" s="296"/>
      <c r="X69" s="363"/>
      <c r="Y69" s="463"/>
      <c r="Z69" s="296">
        <v>5</v>
      </c>
      <c r="AA69" s="296">
        <v>7</v>
      </c>
      <c r="AB69" s="296"/>
      <c r="AC69" s="464"/>
      <c r="AD69" s="637">
        <v>12</v>
      </c>
      <c r="AE69" s="622" t="s">
        <v>202</v>
      </c>
      <c r="AF69" s="622" t="s">
        <v>228</v>
      </c>
      <c r="AG69" s="447" t="s">
        <v>115</v>
      </c>
      <c r="AH69" s="305" t="s">
        <v>79</v>
      </c>
      <c r="AI69" s="362" t="s">
        <v>162</v>
      </c>
      <c r="AJ69" s="461" t="s">
        <v>151</v>
      </c>
      <c r="AK69" s="298">
        <v>18480</v>
      </c>
      <c r="AL69" s="363"/>
    </row>
    <row r="70" spans="1:38" ht="11.25" customHeight="1" x14ac:dyDescent="0.35">
      <c r="A70" s="642">
        <v>59062419</v>
      </c>
      <c r="B70" s="294" t="s">
        <v>213</v>
      </c>
      <c r="C70" s="294" t="s">
        <v>213</v>
      </c>
      <c r="D70" s="361" t="s">
        <v>279</v>
      </c>
      <c r="E70" s="270" t="s">
        <v>337</v>
      </c>
      <c r="F70" s="270" t="s">
        <v>338</v>
      </c>
      <c r="G70" s="295" t="s">
        <v>117</v>
      </c>
      <c r="H70" s="1107">
        <v>43673</v>
      </c>
      <c r="I70" s="295">
        <v>1620</v>
      </c>
      <c r="J70" s="295">
        <v>27</v>
      </c>
      <c r="K70" s="295">
        <v>1640</v>
      </c>
      <c r="L70" s="295">
        <v>27</v>
      </c>
      <c r="M70" s="295">
        <v>1800</v>
      </c>
      <c r="N70" s="632" t="s">
        <v>20</v>
      </c>
      <c r="O70" s="463"/>
      <c r="P70" s="296"/>
      <c r="Q70" s="296"/>
      <c r="R70" s="296"/>
      <c r="S70" s="363"/>
      <c r="T70" s="463"/>
      <c r="U70" s="296"/>
      <c r="V70" s="296">
        <v>2</v>
      </c>
      <c r="W70" s="296"/>
      <c r="X70" s="363"/>
      <c r="Y70" s="463"/>
      <c r="Z70" s="296"/>
      <c r="AA70" s="296">
        <v>2</v>
      </c>
      <c r="AB70" s="296"/>
      <c r="AC70" s="464"/>
      <c r="AD70" s="637">
        <v>2</v>
      </c>
      <c r="AE70" s="622" t="s">
        <v>202</v>
      </c>
      <c r="AF70" s="622" t="s">
        <v>228</v>
      </c>
      <c r="AG70" s="447" t="s">
        <v>115</v>
      </c>
      <c r="AH70" s="305" t="s">
        <v>79</v>
      </c>
      <c r="AI70" s="362" t="s">
        <v>162</v>
      </c>
      <c r="AJ70" s="449" t="s">
        <v>156</v>
      </c>
      <c r="AK70" s="298">
        <v>600</v>
      </c>
      <c r="AL70" s="363"/>
    </row>
    <row r="71" spans="1:38" ht="13.5" customHeight="1" x14ac:dyDescent="0.35">
      <c r="A71" s="277">
        <v>60064819</v>
      </c>
      <c r="B71" s="278" t="s">
        <v>219</v>
      </c>
      <c r="C71" s="278" t="s">
        <v>220</v>
      </c>
      <c r="D71" s="455" t="s">
        <v>257</v>
      </c>
      <c r="E71" s="270" t="s">
        <v>359</v>
      </c>
      <c r="F71" s="270" t="s">
        <v>358</v>
      </c>
      <c r="G71" s="295" t="s">
        <v>117</v>
      </c>
      <c r="H71" s="1107">
        <v>43673</v>
      </c>
      <c r="I71" s="295">
        <v>1230</v>
      </c>
      <c r="J71" s="295">
        <v>27</v>
      </c>
      <c r="K71" s="295">
        <v>1300</v>
      </c>
      <c r="L71" s="295">
        <v>27</v>
      </c>
      <c r="M71" s="295">
        <v>2015</v>
      </c>
      <c r="N71" s="452" t="s">
        <v>234</v>
      </c>
      <c r="O71" s="463"/>
      <c r="P71" s="296"/>
      <c r="Q71" s="296"/>
      <c r="R71" s="296"/>
      <c r="S71" s="363"/>
      <c r="T71" s="463"/>
      <c r="U71" s="296">
        <v>0.5</v>
      </c>
      <c r="V71" s="296">
        <v>1</v>
      </c>
      <c r="W71" s="296"/>
      <c r="X71" s="363"/>
      <c r="Y71" s="463"/>
      <c r="Z71" s="296">
        <v>0.5</v>
      </c>
      <c r="AA71" s="296">
        <v>1</v>
      </c>
      <c r="AB71" s="296"/>
      <c r="AC71" s="464"/>
      <c r="AD71" s="637">
        <v>1.5</v>
      </c>
      <c r="AE71" s="622" t="s">
        <v>202</v>
      </c>
      <c r="AF71" s="754" t="s">
        <v>228</v>
      </c>
      <c r="AG71" s="447" t="s">
        <v>115</v>
      </c>
      <c r="AH71" s="305" t="s">
        <v>80</v>
      </c>
      <c r="AI71" s="362" t="s">
        <v>162</v>
      </c>
      <c r="AJ71" s="461" t="s">
        <v>151</v>
      </c>
      <c r="AK71" s="298">
        <v>60300</v>
      </c>
      <c r="AL71" s="363" t="s">
        <v>168</v>
      </c>
    </row>
    <row r="72" spans="1:38" ht="12.75" customHeight="1" x14ac:dyDescent="0.35">
      <c r="A72" s="277">
        <v>61061819</v>
      </c>
      <c r="B72" s="278" t="s">
        <v>205</v>
      </c>
      <c r="C72" s="278" t="s">
        <v>217</v>
      </c>
      <c r="D72" s="675" t="s">
        <v>366</v>
      </c>
      <c r="E72" s="748" t="s">
        <v>412</v>
      </c>
      <c r="F72" s="638" t="s">
        <v>398</v>
      </c>
      <c r="G72" s="295" t="s">
        <v>367</v>
      </c>
      <c r="H72" s="1107">
        <v>43673</v>
      </c>
      <c r="I72" s="295">
        <v>1635</v>
      </c>
      <c r="J72" s="295">
        <v>27</v>
      </c>
      <c r="K72" s="295">
        <v>1650</v>
      </c>
      <c r="L72" s="295">
        <v>27</v>
      </c>
      <c r="M72" s="295">
        <v>2100</v>
      </c>
      <c r="N72" s="677"/>
      <c r="O72" s="463"/>
      <c r="P72" s="296"/>
      <c r="Q72" s="296"/>
      <c r="R72" s="296"/>
      <c r="S72" s="363"/>
      <c r="T72" s="463"/>
      <c r="U72" s="296"/>
      <c r="V72" s="296"/>
      <c r="W72" s="296"/>
      <c r="X72" s="363">
        <v>3</v>
      </c>
      <c r="Y72" s="463"/>
      <c r="Z72" s="296"/>
      <c r="AA72" s="296"/>
      <c r="AB72" s="296"/>
      <c r="AC72" s="464">
        <v>3</v>
      </c>
      <c r="AD72" s="637">
        <v>3</v>
      </c>
      <c r="AE72" s="628" t="s">
        <v>148</v>
      </c>
      <c r="AF72" s="458" t="s">
        <v>149</v>
      </c>
      <c r="AG72" s="447" t="s">
        <v>115</v>
      </c>
      <c r="AH72" s="305" t="s">
        <v>94</v>
      </c>
      <c r="AI72" s="362" t="s">
        <v>150</v>
      </c>
      <c r="AJ72" s="449" t="s">
        <v>165</v>
      </c>
      <c r="AK72" s="298">
        <v>360000</v>
      </c>
      <c r="AL72" s="363"/>
    </row>
    <row r="73" spans="1:38" ht="12.75" customHeight="1" x14ac:dyDescent="0.35">
      <c r="A73" s="825">
        <v>62062419</v>
      </c>
      <c r="B73" s="278" t="s">
        <v>213</v>
      </c>
      <c r="C73" s="278" t="s">
        <v>213</v>
      </c>
      <c r="D73" s="361" t="s">
        <v>280</v>
      </c>
      <c r="E73" s="270" t="s">
        <v>360</v>
      </c>
      <c r="F73" s="270" t="s">
        <v>361</v>
      </c>
      <c r="G73" s="295" t="s">
        <v>117</v>
      </c>
      <c r="H73" s="1107">
        <v>43673</v>
      </c>
      <c r="I73" s="295">
        <v>1330</v>
      </c>
      <c r="J73" s="295">
        <v>27</v>
      </c>
      <c r="K73" s="295">
        <v>1340</v>
      </c>
      <c r="L73" s="295">
        <v>27</v>
      </c>
      <c r="M73" s="295">
        <v>2220</v>
      </c>
      <c r="N73" s="632" t="s">
        <v>20</v>
      </c>
      <c r="O73" s="463"/>
      <c r="P73" s="296"/>
      <c r="Q73" s="296">
        <v>55</v>
      </c>
      <c r="R73" s="296"/>
      <c r="S73" s="363"/>
      <c r="T73" s="463"/>
      <c r="U73" s="296"/>
      <c r="V73" s="296"/>
      <c r="W73" s="296"/>
      <c r="X73" s="363"/>
      <c r="Y73" s="463"/>
      <c r="Z73" s="296"/>
      <c r="AA73" s="296">
        <v>55</v>
      </c>
      <c r="AB73" s="296"/>
      <c r="AC73" s="464"/>
      <c r="AD73" s="637">
        <v>55</v>
      </c>
      <c r="AE73" s="622" t="s">
        <v>202</v>
      </c>
      <c r="AF73" s="622" t="s">
        <v>228</v>
      </c>
      <c r="AG73" s="447" t="s">
        <v>115</v>
      </c>
      <c r="AH73" s="629" t="s">
        <v>78</v>
      </c>
      <c r="AI73" s="362" t="s">
        <v>150</v>
      </c>
      <c r="AJ73" s="461" t="s">
        <v>151</v>
      </c>
      <c r="AK73" s="298">
        <v>16500</v>
      </c>
      <c r="AL73" s="363"/>
    </row>
    <row r="74" spans="1:38" ht="12.75" customHeight="1" x14ac:dyDescent="0.35">
      <c r="A74" s="270">
        <v>63061519</v>
      </c>
      <c r="B74" s="646" t="s">
        <v>169</v>
      </c>
      <c r="C74" s="646" t="s">
        <v>172</v>
      </c>
      <c r="D74" s="663" t="s">
        <v>281</v>
      </c>
      <c r="E74" s="748" t="s">
        <v>411</v>
      </c>
      <c r="F74" s="638" t="s">
        <v>399</v>
      </c>
      <c r="G74" s="295" t="s">
        <v>117</v>
      </c>
      <c r="H74" s="1107">
        <v>43673</v>
      </c>
      <c r="I74" s="295">
        <v>1945</v>
      </c>
      <c r="J74" s="295">
        <v>27</v>
      </c>
      <c r="K74" s="295">
        <v>2015</v>
      </c>
      <c r="L74" s="295">
        <v>28</v>
      </c>
      <c r="M74" s="295">
        <v>130</v>
      </c>
      <c r="N74" s="639" t="s">
        <v>234</v>
      </c>
      <c r="O74" s="463"/>
      <c r="P74" s="296"/>
      <c r="Q74" s="296"/>
      <c r="R74" s="296"/>
      <c r="S74" s="363"/>
      <c r="T74" s="463"/>
      <c r="U74" s="296">
        <v>7</v>
      </c>
      <c r="V74" s="296">
        <v>8</v>
      </c>
      <c r="W74" s="296"/>
      <c r="X74" s="363">
        <v>10</v>
      </c>
      <c r="Y74" s="463"/>
      <c r="Z74" s="296">
        <v>7</v>
      </c>
      <c r="AA74" s="296">
        <v>8</v>
      </c>
      <c r="AB74" s="296"/>
      <c r="AC74" s="464">
        <v>10</v>
      </c>
      <c r="AD74" s="637">
        <v>25</v>
      </c>
      <c r="AE74" s="622" t="s">
        <v>202</v>
      </c>
      <c r="AF74" s="622" t="s">
        <v>238</v>
      </c>
      <c r="AG74" s="669" t="s">
        <v>115</v>
      </c>
      <c r="AH74" s="305" t="s">
        <v>94</v>
      </c>
      <c r="AI74" s="362" t="s">
        <v>150</v>
      </c>
      <c r="AJ74" s="461" t="s">
        <v>151</v>
      </c>
      <c r="AK74" s="298">
        <v>1229700</v>
      </c>
      <c r="AL74" s="363"/>
    </row>
    <row r="75" spans="1:38" ht="12.75" customHeight="1" x14ac:dyDescent="0.35">
      <c r="A75" s="642">
        <v>64062419</v>
      </c>
      <c r="B75" s="278" t="s">
        <v>213</v>
      </c>
      <c r="C75" s="294" t="s">
        <v>213</v>
      </c>
      <c r="D75" s="361" t="s">
        <v>240</v>
      </c>
      <c r="E75" s="270" t="s">
        <v>363</v>
      </c>
      <c r="F75" s="270" t="s">
        <v>362</v>
      </c>
      <c r="G75" s="295" t="s">
        <v>117</v>
      </c>
      <c r="H75" s="1107">
        <v>43673</v>
      </c>
      <c r="I75" s="295">
        <v>1910</v>
      </c>
      <c r="J75" s="295">
        <v>27</v>
      </c>
      <c r="K75" s="295">
        <v>1940</v>
      </c>
      <c r="L75" s="295">
        <v>28</v>
      </c>
      <c r="M75" s="295">
        <v>1035</v>
      </c>
      <c r="N75" s="632" t="s">
        <v>20</v>
      </c>
      <c r="O75" s="463"/>
      <c r="P75" s="296"/>
      <c r="Q75" s="296">
        <v>15</v>
      </c>
      <c r="R75" s="296"/>
      <c r="S75" s="363"/>
      <c r="T75" s="463"/>
      <c r="U75" s="296"/>
      <c r="V75" s="296"/>
      <c r="W75" s="296"/>
      <c r="X75" s="363"/>
      <c r="Y75" s="463"/>
      <c r="Z75" s="296"/>
      <c r="AA75" s="296">
        <v>15</v>
      </c>
      <c r="AB75" s="296"/>
      <c r="AC75" s="464"/>
      <c r="AD75" s="637">
        <v>15</v>
      </c>
      <c r="AE75" s="622" t="s">
        <v>164</v>
      </c>
      <c r="AF75" s="622" t="s">
        <v>164</v>
      </c>
      <c r="AG75" s="447" t="s">
        <v>115</v>
      </c>
      <c r="AH75" s="305" t="s">
        <v>79</v>
      </c>
      <c r="AI75" s="362" t="s">
        <v>150</v>
      </c>
      <c r="AJ75" s="461" t="s">
        <v>151</v>
      </c>
      <c r="AK75" s="298">
        <v>4500</v>
      </c>
      <c r="AL75" s="363"/>
    </row>
    <row r="76" spans="1:38" x14ac:dyDescent="0.35">
      <c r="A76" s="309">
        <v>65064619</v>
      </c>
      <c r="B76" s="365" t="s">
        <v>282</v>
      </c>
      <c r="C76" s="641" t="s">
        <v>283</v>
      </c>
      <c r="D76" s="649" t="s">
        <v>284</v>
      </c>
      <c r="E76" s="366" t="s">
        <v>392</v>
      </c>
      <c r="F76" s="366" t="s">
        <v>393</v>
      </c>
      <c r="G76" s="295" t="s">
        <v>117</v>
      </c>
      <c r="H76" s="1107">
        <v>43674</v>
      </c>
      <c r="I76" s="295">
        <v>1630</v>
      </c>
      <c r="J76" s="295">
        <v>28</v>
      </c>
      <c r="K76" s="295">
        <v>1650</v>
      </c>
      <c r="L76" s="295">
        <v>28</v>
      </c>
      <c r="M76" s="295">
        <v>1920</v>
      </c>
      <c r="N76" s="647" t="s">
        <v>51</v>
      </c>
      <c r="O76" s="463"/>
      <c r="P76" s="296">
        <v>2</v>
      </c>
      <c r="Q76" s="296"/>
      <c r="R76" s="296"/>
      <c r="S76" s="363"/>
      <c r="T76" s="463"/>
      <c r="U76" s="296"/>
      <c r="V76" s="296"/>
      <c r="W76" s="296"/>
      <c r="X76" s="363"/>
      <c r="Y76" s="463"/>
      <c r="Z76" s="296">
        <v>2</v>
      </c>
      <c r="AA76" s="296"/>
      <c r="AB76" s="296"/>
      <c r="AC76" s="464"/>
      <c r="AD76" s="637">
        <v>2</v>
      </c>
      <c r="AE76" s="622" t="s">
        <v>202</v>
      </c>
      <c r="AF76" s="622" t="s">
        <v>228</v>
      </c>
      <c r="AG76" s="447" t="s">
        <v>115</v>
      </c>
      <c r="AH76" s="629" t="s">
        <v>78</v>
      </c>
      <c r="AI76" s="362" t="s">
        <v>150</v>
      </c>
      <c r="AJ76" s="461" t="s">
        <v>216</v>
      </c>
      <c r="AK76" s="298">
        <v>1800</v>
      </c>
      <c r="AL76" s="363" t="s">
        <v>168</v>
      </c>
    </row>
    <row r="77" spans="1:38" ht="12.75" customHeight="1" x14ac:dyDescent="0.35">
      <c r="A77" s="642">
        <v>66062019</v>
      </c>
      <c r="B77" s="278" t="s">
        <v>243</v>
      </c>
      <c r="C77" s="294" t="s">
        <v>243</v>
      </c>
      <c r="D77" s="361" t="s">
        <v>244</v>
      </c>
      <c r="E77" s="366" t="s">
        <v>394</v>
      </c>
      <c r="F77" s="366" t="s">
        <v>395</v>
      </c>
      <c r="G77" s="295" t="s">
        <v>117</v>
      </c>
      <c r="H77" s="1107">
        <v>43676</v>
      </c>
      <c r="I77" s="295">
        <v>1915</v>
      </c>
      <c r="J77" s="295">
        <v>30</v>
      </c>
      <c r="K77" s="295">
        <v>1930</v>
      </c>
      <c r="L77" s="295">
        <v>30</v>
      </c>
      <c r="M77" s="295">
        <v>2135</v>
      </c>
      <c r="N77" s="632" t="s">
        <v>20</v>
      </c>
      <c r="O77" s="463"/>
      <c r="P77" s="296"/>
      <c r="Q77" s="296">
        <v>0.2</v>
      </c>
      <c r="R77" s="296"/>
      <c r="S77" s="363"/>
      <c r="T77" s="463"/>
      <c r="U77" s="296"/>
      <c r="V77" s="296"/>
      <c r="W77" s="296"/>
      <c r="X77" s="363"/>
      <c r="Y77" s="463"/>
      <c r="Z77" s="296"/>
      <c r="AA77" s="296">
        <v>0.2</v>
      </c>
      <c r="AB77" s="296"/>
      <c r="AC77" s="464"/>
      <c r="AD77" s="637">
        <v>0.2</v>
      </c>
      <c r="AE77" s="622" t="s">
        <v>159</v>
      </c>
      <c r="AF77" s="622" t="s">
        <v>159</v>
      </c>
      <c r="AG77" s="447" t="s">
        <v>115</v>
      </c>
      <c r="AH77" s="676" t="s">
        <v>29</v>
      </c>
      <c r="AI77" s="362" t="s">
        <v>285</v>
      </c>
      <c r="AJ77" s="449" t="s">
        <v>156</v>
      </c>
      <c r="AK77" s="298">
        <v>60</v>
      </c>
      <c r="AL77" s="363" t="s">
        <v>168</v>
      </c>
    </row>
    <row r="78" spans="1:38" ht="12.75" customHeight="1" x14ac:dyDescent="0.35">
      <c r="A78" s="642">
        <v>67062019</v>
      </c>
      <c r="B78" s="278" t="s">
        <v>243</v>
      </c>
      <c r="C78" s="294" t="s">
        <v>243</v>
      </c>
      <c r="D78" s="361" t="s">
        <v>284</v>
      </c>
      <c r="E78" s="270" t="s">
        <v>396</v>
      </c>
      <c r="F78" s="366" t="s">
        <v>397</v>
      </c>
      <c r="G78" s="295" t="s">
        <v>117</v>
      </c>
      <c r="H78" s="1107">
        <v>43676</v>
      </c>
      <c r="I78" s="295">
        <v>1730</v>
      </c>
      <c r="J78" s="295">
        <v>30</v>
      </c>
      <c r="K78" s="295">
        <v>1830</v>
      </c>
      <c r="L78" s="295">
        <v>30</v>
      </c>
      <c r="M78" s="295">
        <v>2200</v>
      </c>
      <c r="N78" s="647" t="s">
        <v>241</v>
      </c>
      <c r="O78" s="463">
        <v>2</v>
      </c>
      <c r="P78" s="296"/>
      <c r="Q78" s="296">
        <v>3</v>
      </c>
      <c r="R78" s="296"/>
      <c r="S78" s="363"/>
      <c r="T78" s="463"/>
      <c r="U78" s="296"/>
      <c r="V78" s="296"/>
      <c r="W78" s="296"/>
      <c r="X78" s="363"/>
      <c r="Y78" s="463">
        <v>2</v>
      </c>
      <c r="Z78" s="296"/>
      <c r="AA78" s="296">
        <v>3</v>
      </c>
      <c r="AB78" s="296"/>
      <c r="AC78" s="464"/>
      <c r="AD78" s="637">
        <v>5</v>
      </c>
      <c r="AE78" s="622" t="s">
        <v>202</v>
      </c>
      <c r="AF78" s="622" t="s">
        <v>228</v>
      </c>
      <c r="AG78" s="447" t="s">
        <v>115</v>
      </c>
      <c r="AH78" s="629" t="s">
        <v>78</v>
      </c>
      <c r="AI78" s="362" t="s">
        <v>285</v>
      </c>
      <c r="AJ78" s="461" t="s">
        <v>216</v>
      </c>
      <c r="AK78" s="298">
        <v>4200</v>
      </c>
      <c r="AL78" s="363" t="s">
        <v>168</v>
      </c>
    </row>
    <row r="79" spans="1:38" s="683" customFormat="1" ht="12" customHeight="1" thickBot="1" x14ac:dyDescent="0.3">
      <c r="A79" s="801">
        <v>68061319</v>
      </c>
      <c r="B79" s="802" t="s">
        <v>167</v>
      </c>
      <c r="C79" s="802" t="s">
        <v>262</v>
      </c>
      <c r="D79" s="803" t="s">
        <v>571</v>
      </c>
      <c r="E79" s="809" t="s">
        <v>423</v>
      </c>
      <c r="F79" s="804" t="s">
        <v>400</v>
      </c>
      <c r="G79" s="679" t="s">
        <v>367</v>
      </c>
      <c r="H79" s="1104">
        <v>43677</v>
      </c>
      <c r="I79" s="805">
        <v>1200</v>
      </c>
      <c r="J79" s="345">
        <v>31</v>
      </c>
      <c r="K79" s="805">
        <v>1300</v>
      </c>
      <c r="L79" s="345">
        <v>31</v>
      </c>
      <c r="M79" s="805">
        <v>2100</v>
      </c>
      <c r="N79" s="478" t="s">
        <v>276</v>
      </c>
      <c r="O79" s="678"/>
      <c r="P79" s="679"/>
      <c r="Q79" s="679"/>
      <c r="R79" s="679"/>
      <c r="S79" s="680"/>
      <c r="T79" s="678"/>
      <c r="U79" s="679">
        <v>19.5</v>
      </c>
      <c r="V79" s="679">
        <v>10</v>
      </c>
      <c r="W79" s="679"/>
      <c r="X79" s="680">
        <v>0.5</v>
      </c>
      <c r="Y79" s="678"/>
      <c r="Z79" s="679">
        <v>19.5</v>
      </c>
      <c r="AA79" s="679">
        <v>10</v>
      </c>
      <c r="AB79" s="679"/>
      <c r="AC79" s="954">
        <v>0.5</v>
      </c>
      <c r="AD79" s="681">
        <v>30</v>
      </c>
      <c r="AE79" s="806" t="s">
        <v>159</v>
      </c>
      <c r="AF79" s="806" t="s">
        <v>159</v>
      </c>
      <c r="AG79" s="474" t="s">
        <v>115</v>
      </c>
      <c r="AH79" s="807" t="s">
        <v>94</v>
      </c>
      <c r="AI79" s="367" t="s">
        <v>162</v>
      </c>
      <c r="AJ79" s="475" t="s">
        <v>156</v>
      </c>
      <c r="AK79" s="682">
        <v>1728616</v>
      </c>
      <c r="AL79" s="680"/>
    </row>
    <row r="80" spans="1:38" s="360" customFormat="1" ht="12" customHeight="1" x14ac:dyDescent="0.25">
      <c r="A80" s="810">
        <v>69061319</v>
      </c>
      <c r="B80" s="811" t="s">
        <v>167</v>
      </c>
      <c r="C80" s="811" t="s">
        <v>262</v>
      </c>
      <c r="D80" s="812" t="s">
        <v>293</v>
      </c>
      <c r="E80" s="813" t="s">
        <v>494</v>
      </c>
      <c r="F80" s="271" t="s">
        <v>495</v>
      </c>
      <c r="G80" s="300" t="s">
        <v>367</v>
      </c>
      <c r="H80" s="1101">
        <v>43678</v>
      </c>
      <c r="I80" s="300">
        <v>930</v>
      </c>
      <c r="J80" s="300">
        <v>1</v>
      </c>
      <c r="K80" s="300">
        <v>1030</v>
      </c>
      <c r="L80" s="300">
        <v>1</v>
      </c>
      <c r="M80" s="300">
        <v>1440</v>
      </c>
      <c r="N80" s="814" t="s">
        <v>19</v>
      </c>
      <c r="O80" s="815"/>
      <c r="P80" s="816"/>
      <c r="Q80" s="816"/>
      <c r="R80" s="816"/>
      <c r="S80" s="817"/>
      <c r="T80" s="815"/>
      <c r="U80" s="816">
        <v>1</v>
      </c>
      <c r="V80" s="816"/>
      <c r="W80" s="816"/>
      <c r="X80" s="817"/>
      <c r="Y80" s="815"/>
      <c r="Z80" s="816">
        <v>1</v>
      </c>
      <c r="AA80" s="816"/>
      <c r="AB80" s="816"/>
      <c r="AC80" s="818"/>
      <c r="AD80" s="819">
        <v>1</v>
      </c>
      <c r="AE80" s="820" t="s">
        <v>164</v>
      </c>
      <c r="AF80" s="750" t="s">
        <v>164</v>
      </c>
      <c r="AG80" s="821" t="s">
        <v>115</v>
      </c>
      <c r="AH80" s="822" t="s">
        <v>94</v>
      </c>
      <c r="AI80" s="751" t="s">
        <v>294</v>
      </c>
      <c r="AJ80" s="752" t="s">
        <v>156</v>
      </c>
      <c r="AK80" s="823">
        <v>60240</v>
      </c>
      <c r="AL80" s="817"/>
    </row>
    <row r="81" spans="1:38" s="360" customFormat="1" ht="11.25" customHeight="1" x14ac:dyDescent="0.25">
      <c r="A81" s="303">
        <v>70064119</v>
      </c>
      <c r="B81" s="308" t="s">
        <v>282</v>
      </c>
      <c r="C81" s="308" t="s">
        <v>295</v>
      </c>
      <c r="D81" s="308" t="s">
        <v>296</v>
      </c>
      <c r="E81" s="616" t="s">
        <v>496</v>
      </c>
      <c r="F81" s="616" t="s">
        <v>497</v>
      </c>
      <c r="G81" s="284" t="s">
        <v>117</v>
      </c>
      <c r="H81" s="1109">
        <v>43678</v>
      </c>
      <c r="I81" s="295">
        <v>830</v>
      </c>
      <c r="J81" s="295">
        <v>1</v>
      </c>
      <c r="K81" s="295">
        <v>930</v>
      </c>
      <c r="L81" s="295">
        <v>1</v>
      </c>
      <c r="M81" s="295">
        <v>1530</v>
      </c>
      <c r="N81" s="632" t="s">
        <v>20</v>
      </c>
      <c r="O81" s="463"/>
      <c r="P81" s="296"/>
      <c r="Q81" s="296"/>
      <c r="R81" s="296"/>
      <c r="S81" s="363"/>
      <c r="T81" s="463"/>
      <c r="U81" s="296"/>
      <c r="V81" s="296">
        <v>20</v>
      </c>
      <c r="W81" s="296"/>
      <c r="X81" s="363"/>
      <c r="Y81" s="463"/>
      <c r="Z81" s="296"/>
      <c r="AA81" s="296">
        <v>20</v>
      </c>
      <c r="AB81" s="296"/>
      <c r="AC81" s="464"/>
      <c r="AD81" s="637">
        <v>20</v>
      </c>
      <c r="AE81" s="622" t="s">
        <v>202</v>
      </c>
      <c r="AF81" s="754" t="s">
        <v>228</v>
      </c>
      <c r="AG81" s="638" t="s">
        <v>115</v>
      </c>
      <c r="AH81" s="640" t="s">
        <v>78</v>
      </c>
      <c r="AI81" s="362" t="s">
        <v>294</v>
      </c>
      <c r="AJ81" s="461" t="s">
        <v>216</v>
      </c>
      <c r="AK81" s="298">
        <v>6000</v>
      </c>
      <c r="AL81" s="363"/>
    </row>
    <row r="82" spans="1:38" s="360" customFormat="1" ht="12" customHeight="1" x14ac:dyDescent="0.25">
      <c r="A82" s="755">
        <v>71064719</v>
      </c>
      <c r="B82" s="756" t="s">
        <v>243</v>
      </c>
      <c r="C82" s="756" t="s">
        <v>269</v>
      </c>
      <c r="D82" s="757" t="s">
        <v>297</v>
      </c>
      <c r="E82" s="630" t="s">
        <v>501</v>
      </c>
      <c r="F82" s="270" t="s">
        <v>500</v>
      </c>
      <c r="G82" s="284" t="s">
        <v>117</v>
      </c>
      <c r="H82" s="1107">
        <v>43678</v>
      </c>
      <c r="I82" s="295">
        <v>1130</v>
      </c>
      <c r="J82" s="295">
        <v>1</v>
      </c>
      <c r="K82" s="295">
        <v>1150</v>
      </c>
      <c r="L82" s="295">
        <v>1</v>
      </c>
      <c r="M82" s="295">
        <v>1700</v>
      </c>
      <c r="N82" s="632" t="s">
        <v>20</v>
      </c>
      <c r="O82" s="463"/>
      <c r="P82" s="296"/>
      <c r="Q82" s="296"/>
      <c r="R82" s="296"/>
      <c r="S82" s="363"/>
      <c r="T82" s="463"/>
      <c r="U82" s="296"/>
      <c r="V82" s="296">
        <v>1.5</v>
      </c>
      <c r="W82" s="296"/>
      <c r="X82" s="363"/>
      <c r="Y82" s="463"/>
      <c r="Z82" s="296"/>
      <c r="AA82" s="296">
        <v>1.5</v>
      </c>
      <c r="AB82" s="296"/>
      <c r="AC82" s="464"/>
      <c r="AD82" s="637">
        <v>1.5</v>
      </c>
      <c r="AE82" s="622" t="s">
        <v>159</v>
      </c>
      <c r="AF82" s="754" t="s">
        <v>159</v>
      </c>
      <c r="AG82" s="638" t="s">
        <v>115</v>
      </c>
      <c r="AH82" s="640" t="s">
        <v>78</v>
      </c>
      <c r="AI82" s="362" t="s">
        <v>294</v>
      </c>
      <c r="AJ82" s="461" t="s">
        <v>151</v>
      </c>
      <c r="AK82" s="298">
        <v>450</v>
      </c>
      <c r="AL82" s="363"/>
    </row>
    <row r="83" spans="1:38" s="360" customFormat="1" ht="12" customHeight="1" x14ac:dyDescent="0.25">
      <c r="A83" s="642">
        <v>72062019</v>
      </c>
      <c r="B83" s="294" t="s">
        <v>243</v>
      </c>
      <c r="C83" s="294" t="s">
        <v>266</v>
      </c>
      <c r="D83" s="361" t="s">
        <v>273</v>
      </c>
      <c r="E83" s="630" t="s">
        <v>503</v>
      </c>
      <c r="F83" s="270" t="s">
        <v>502</v>
      </c>
      <c r="G83" s="284" t="s">
        <v>117</v>
      </c>
      <c r="H83" s="1107">
        <v>43678</v>
      </c>
      <c r="I83" s="295">
        <v>1215</v>
      </c>
      <c r="J83" s="295">
        <v>1</v>
      </c>
      <c r="K83" s="295">
        <v>1240</v>
      </c>
      <c r="L83" s="295">
        <v>1</v>
      </c>
      <c r="M83" s="295">
        <v>1925</v>
      </c>
      <c r="N83" s="639" t="s">
        <v>234</v>
      </c>
      <c r="O83" s="463"/>
      <c r="P83" s="296">
        <v>5</v>
      </c>
      <c r="Q83" s="296">
        <v>10</v>
      </c>
      <c r="R83" s="296"/>
      <c r="S83" s="363"/>
      <c r="T83" s="463"/>
      <c r="U83" s="296"/>
      <c r="V83" s="296"/>
      <c r="W83" s="296"/>
      <c r="X83" s="363">
        <v>15</v>
      </c>
      <c r="Y83" s="463"/>
      <c r="Z83" s="296">
        <v>5</v>
      </c>
      <c r="AA83" s="296">
        <v>10</v>
      </c>
      <c r="AB83" s="296"/>
      <c r="AC83" s="464">
        <v>15</v>
      </c>
      <c r="AD83" s="637">
        <v>30</v>
      </c>
      <c r="AE83" s="622" t="s">
        <v>202</v>
      </c>
      <c r="AF83" s="622" t="s">
        <v>238</v>
      </c>
      <c r="AG83" s="638" t="s">
        <v>115</v>
      </c>
      <c r="AH83" s="305" t="s">
        <v>79</v>
      </c>
      <c r="AI83" s="362" t="s">
        <v>294</v>
      </c>
      <c r="AJ83" s="449" t="s">
        <v>156</v>
      </c>
      <c r="AK83" s="298">
        <v>22300</v>
      </c>
      <c r="AL83" s="363"/>
    </row>
    <row r="84" spans="1:38" s="360" customFormat="1" ht="12" customHeight="1" x14ac:dyDescent="0.25">
      <c r="A84" s="303">
        <v>73064919</v>
      </c>
      <c r="B84" s="650" t="s">
        <v>225</v>
      </c>
      <c r="C84" s="650" t="s">
        <v>226</v>
      </c>
      <c r="D84" s="361" t="s">
        <v>227</v>
      </c>
      <c r="E84" s="749" t="s">
        <v>465</v>
      </c>
      <c r="F84" s="270" t="s">
        <v>464</v>
      </c>
      <c r="G84" s="284" t="s">
        <v>117</v>
      </c>
      <c r="H84" s="1107">
        <v>43678</v>
      </c>
      <c r="I84" s="295">
        <v>1700</v>
      </c>
      <c r="J84" s="295">
        <v>1</v>
      </c>
      <c r="K84" s="295">
        <v>1730</v>
      </c>
      <c r="L84" s="295">
        <v>1</v>
      </c>
      <c r="M84" s="295">
        <v>1930</v>
      </c>
      <c r="N84" s="647" t="s">
        <v>241</v>
      </c>
      <c r="O84" s="463">
        <v>1</v>
      </c>
      <c r="P84" s="296"/>
      <c r="Q84" s="296">
        <v>2</v>
      </c>
      <c r="R84" s="296"/>
      <c r="S84" s="363"/>
      <c r="T84" s="463"/>
      <c r="U84" s="296"/>
      <c r="V84" s="296"/>
      <c r="W84" s="296"/>
      <c r="X84" s="363"/>
      <c r="Y84" s="463">
        <v>1</v>
      </c>
      <c r="Z84" s="296"/>
      <c r="AA84" s="296">
        <v>2</v>
      </c>
      <c r="AB84" s="296"/>
      <c r="AC84" s="464"/>
      <c r="AD84" s="637">
        <v>3</v>
      </c>
      <c r="AE84" s="622" t="s">
        <v>202</v>
      </c>
      <c r="AF84" s="754" t="s">
        <v>228</v>
      </c>
      <c r="AG84" s="638" t="s">
        <v>115</v>
      </c>
      <c r="AH84" s="305" t="s">
        <v>79</v>
      </c>
      <c r="AI84" s="362" t="s">
        <v>294</v>
      </c>
      <c r="AJ84" s="449" t="s">
        <v>299</v>
      </c>
      <c r="AK84" s="298">
        <v>120600</v>
      </c>
      <c r="AL84" s="363" t="s">
        <v>168</v>
      </c>
    </row>
    <row r="85" spans="1:38" s="360" customFormat="1" ht="11.25" customHeight="1" x14ac:dyDescent="0.25">
      <c r="A85" s="309">
        <v>74061119</v>
      </c>
      <c r="B85" s="310" t="s">
        <v>219</v>
      </c>
      <c r="C85" s="310" t="s">
        <v>219</v>
      </c>
      <c r="D85" s="361" t="s">
        <v>298</v>
      </c>
      <c r="E85" s="749" t="s">
        <v>466</v>
      </c>
      <c r="F85" s="270" t="s">
        <v>467</v>
      </c>
      <c r="G85" s="284" t="s">
        <v>117</v>
      </c>
      <c r="H85" s="1107">
        <v>43678</v>
      </c>
      <c r="I85" s="295">
        <v>1230</v>
      </c>
      <c r="J85" s="295">
        <v>1</v>
      </c>
      <c r="K85" s="295">
        <v>1300</v>
      </c>
      <c r="L85" s="295">
        <v>1</v>
      </c>
      <c r="M85" s="295">
        <v>2000</v>
      </c>
      <c r="N85" s="647" t="s">
        <v>241</v>
      </c>
      <c r="O85" s="463"/>
      <c r="P85" s="296">
        <v>2</v>
      </c>
      <c r="Q85" s="296">
        <v>6</v>
      </c>
      <c r="R85" s="296"/>
      <c r="S85" s="363"/>
      <c r="T85" s="463"/>
      <c r="U85" s="296"/>
      <c r="V85" s="296"/>
      <c r="W85" s="296"/>
      <c r="X85" s="363"/>
      <c r="Y85" s="463"/>
      <c r="Z85" s="296">
        <v>2</v>
      </c>
      <c r="AA85" s="296">
        <v>6</v>
      </c>
      <c r="AB85" s="296"/>
      <c r="AC85" s="464"/>
      <c r="AD85" s="637">
        <v>8</v>
      </c>
      <c r="AE85" s="622" t="s">
        <v>202</v>
      </c>
      <c r="AF85" s="754" t="s">
        <v>228</v>
      </c>
      <c r="AG85" s="638" t="s">
        <v>115</v>
      </c>
      <c r="AH85" s="305" t="s">
        <v>94</v>
      </c>
      <c r="AI85" s="362" t="s">
        <v>294</v>
      </c>
      <c r="AJ85" s="449" t="s">
        <v>165</v>
      </c>
      <c r="AK85" s="298">
        <v>12200</v>
      </c>
      <c r="AL85" s="363" t="s">
        <v>168</v>
      </c>
    </row>
    <row r="86" spans="1:38" s="360" customFormat="1" ht="11.25" customHeight="1" x14ac:dyDescent="0.25">
      <c r="A86" s="277">
        <v>75064819</v>
      </c>
      <c r="B86" s="278" t="s">
        <v>219</v>
      </c>
      <c r="C86" s="278" t="s">
        <v>220</v>
      </c>
      <c r="D86" s="455" t="s">
        <v>257</v>
      </c>
      <c r="E86" s="749" t="s">
        <v>468</v>
      </c>
      <c r="F86" s="749" t="s">
        <v>469</v>
      </c>
      <c r="G86" s="284" t="s">
        <v>117</v>
      </c>
      <c r="H86" s="1107">
        <v>43678</v>
      </c>
      <c r="I86" s="295">
        <v>735</v>
      </c>
      <c r="J86" s="295">
        <v>1</v>
      </c>
      <c r="K86" s="295">
        <v>810</v>
      </c>
      <c r="L86" s="295">
        <v>1</v>
      </c>
      <c r="M86" s="295">
        <v>2220</v>
      </c>
      <c r="N86" s="647" t="s">
        <v>241</v>
      </c>
      <c r="O86" s="463">
        <v>1</v>
      </c>
      <c r="P86" s="296"/>
      <c r="Q86" s="296">
        <v>2</v>
      </c>
      <c r="R86" s="296"/>
      <c r="S86" s="363"/>
      <c r="T86" s="463">
        <v>1</v>
      </c>
      <c r="U86" s="296"/>
      <c r="V86" s="296"/>
      <c r="W86" s="296"/>
      <c r="X86" s="363"/>
      <c r="Y86" s="463">
        <v>2</v>
      </c>
      <c r="Z86" s="296"/>
      <c r="AA86" s="296">
        <v>2</v>
      </c>
      <c r="AB86" s="296"/>
      <c r="AC86" s="464"/>
      <c r="AD86" s="637">
        <v>4</v>
      </c>
      <c r="AE86" s="622" t="s">
        <v>202</v>
      </c>
      <c r="AF86" s="754" t="s">
        <v>228</v>
      </c>
      <c r="AG86" s="638" t="s">
        <v>115</v>
      </c>
      <c r="AH86" s="305" t="s">
        <v>79</v>
      </c>
      <c r="AI86" s="362" t="s">
        <v>294</v>
      </c>
      <c r="AJ86" s="449" t="s">
        <v>156</v>
      </c>
      <c r="AK86" s="298">
        <v>240600</v>
      </c>
      <c r="AL86" s="363" t="s">
        <v>168</v>
      </c>
    </row>
    <row r="87" spans="1:38" s="360" customFormat="1" ht="12" customHeight="1" x14ac:dyDescent="0.25">
      <c r="A87" s="303">
        <v>76064919</v>
      </c>
      <c r="B87" s="650" t="s">
        <v>225</v>
      </c>
      <c r="C87" s="650" t="s">
        <v>226</v>
      </c>
      <c r="D87" s="361" t="s">
        <v>279</v>
      </c>
      <c r="E87" s="749" t="s">
        <v>470</v>
      </c>
      <c r="F87" s="749" t="s">
        <v>471</v>
      </c>
      <c r="G87" s="295" t="s">
        <v>117</v>
      </c>
      <c r="H87" s="1107">
        <v>43679</v>
      </c>
      <c r="I87" s="295">
        <v>2400</v>
      </c>
      <c r="J87" s="295">
        <v>2</v>
      </c>
      <c r="K87" s="295">
        <v>100</v>
      </c>
      <c r="L87" s="295">
        <v>2</v>
      </c>
      <c r="M87" s="295">
        <v>640</v>
      </c>
      <c r="N87" s="632" t="s">
        <v>20</v>
      </c>
      <c r="O87" s="463"/>
      <c r="P87" s="296"/>
      <c r="Q87" s="296"/>
      <c r="R87" s="296"/>
      <c r="S87" s="363"/>
      <c r="T87" s="463"/>
      <c r="U87" s="296"/>
      <c r="V87" s="296">
        <v>3</v>
      </c>
      <c r="W87" s="296"/>
      <c r="X87" s="363"/>
      <c r="Y87" s="463"/>
      <c r="Z87" s="296"/>
      <c r="AA87" s="296">
        <v>3</v>
      </c>
      <c r="AB87" s="296"/>
      <c r="AC87" s="464"/>
      <c r="AD87" s="637">
        <v>3</v>
      </c>
      <c r="AE87" s="622" t="s">
        <v>159</v>
      </c>
      <c r="AF87" s="754" t="s">
        <v>159</v>
      </c>
      <c r="AG87" s="638" t="s">
        <v>115</v>
      </c>
      <c r="AH87" s="305" t="s">
        <v>80</v>
      </c>
      <c r="AI87" s="362" t="s">
        <v>294</v>
      </c>
      <c r="AJ87" s="461" t="s">
        <v>151</v>
      </c>
      <c r="AK87" s="298">
        <v>900</v>
      </c>
      <c r="AL87" s="363"/>
    </row>
    <row r="88" spans="1:38" s="360" customFormat="1" ht="9.75" customHeight="1" x14ac:dyDescent="0.25">
      <c r="A88" s="303">
        <v>77060819</v>
      </c>
      <c r="B88" s="308" t="s">
        <v>282</v>
      </c>
      <c r="C88" s="308" t="s">
        <v>282</v>
      </c>
      <c r="D88" s="361" t="s">
        <v>376</v>
      </c>
      <c r="E88" s="630" t="s">
        <v>499</v>
      </c>
      <c r="F88" s="270" t="s">
        <v>498</v>
      </c>
      <c r="G88" s="284" t="s">
        <v>117</v>
      </c>
      <c r="H88" s="1107">
        <v>43678</v>
      </c>
      <c r="I88" s="295">
        <v>1130</v>
      </c>
      <c r="J88" s="295">
        <v>1</v>
      </c>
      <c r="K88" s="295">
        <v>1150</v>
      </c>
      <c r="L88" s="295">
        <v>2</v>
      </c>
      <c r="M88" s="295">
        <v>2415</v>
      </c>
      <c r="N88" s="632" t="s">
        <v>20</v>
      </c>
      <c r="O88" s="463"/>
      <c r="P88" s="296"/>
      <c r="Q88" s="296"/>
      <c r="R88" s="296"/>
      <c r="S88" s="363"/>
      <c r="T88" s="463"/>
      <c r="U88" s="296"/>
      <c r="V88" s="296">
        <v>15</v>
      </c>
      <c r="W88" s="296"/>
      <c r="X88" s="363"/>
      <c r="Y88" s="463"/>
      <c r="Z88" s="296"/>
      <c r="AA88" s="296">
        <v>15</v>
      </c>
      <c r="AB88" s="296"/>
      <c r="AC88" s="464"/>
      <c r="AD88" s="637">
        <v>15</v>
      </c>
      <c r="AE88" s="622" t="s">
        <v>202</v>
      </c>
      <c r="AF88" s="754" t="s">
        <v>228</v>
      </c>
      <c r="AG88" s="638" t="s">
        <v>115</v>
      </c>
      <c r="AH88" s="305" t="s">
        <v>79</v>
      </c>
      <c r="AI88" s="362" t="s">
        <v>294</v>
      </c>
      <c r="AJ88" s="461" t="s">
        <v>151</v>
      </c>
      <c r="AK88" s="298">
        <v>4500</v>
      </c>
      <c r="AL88" s="363"/>
    </row>
    <row r="89" spans="1:38" s="360" customFormat="1" ht="11.25" customHeight="1" x14ac:dyDescent="0.25">
      <c r="A89" s="303">
        <v>78064119</v>
      </c>
      <c r="B89" s="308" t="s">
        <v>282</v>
      </c>
      <c r="C89" s="308" t="s">
        <v>295</v>
      </c>
      <c r="D89" s="361" t="s">
        <v>284</v>
      </c>
      <c r="E89" s="630" t="s">
        <v>505</v>
      </c>
      <c r="F89" s="270" t="s">
        <v>504</v>
      </c>
      <c r="G89" s="284" t="s">
        <v>117</v>
      </c>
      <c r="H89" s="1107">
        <v>43678</v>
      </c>
      <c r="I89" s="295">
        <v>1300</v>
      </c>
      <c r="J89" s="295">
        <v>1</v>
      </c>
      <c r="K89" s="295">
        <v>1400</v>
      </c>
      <c r="L89" s="295">
        <v>2</v>
      </c>
      <c r="M89" s="295">
        <v>2420</v>
      </c>
      <c r="N89" s="647" t="s">
        <v>51</v>
      </c>
      <c r="O89" s="463">
        <v>4</v>
      </c>
      <c r="P89" s="296">
        <v>3</v>
      </c>
      <c r="Q89" s="296"/>
      <c r="R89" s="296"/>
      <c r="S89" s="363"/>
      <c r="T89" s="463"/>
      <c r="U89" s="296"/>
      <c r="V89" s="296"/>
      <c r="W89" s="296"/>
      <c r="X89" s="363"/>
      <c r="Y89" s="463">
        <v>4</v>
      </c>
      <c r="Z89" s="296">
        <v>3</v>
      </c>
      <c r="AA89" s="296"/>
      <c r="AB89" s="296"/>
      <c r="AC89" s="464"/>
      <c r="AD89" s="637">
        <v>7</v>
      </c>
      <c r="AE89" s="622" t="s">
        <v>202</v>
      </c>
      <c r="AF89" s="622" t="s">
        <v>238</v>
      </c>
      <c r="AG89" s="638" t="s">
        <v>115</v>
      </c>
      <c r="AH89" s="305" t="s">
        <v>79</v>
      </c>
      <c r="AI89" s="362" t="s">
        <v>294</v>
      </c>
      <c r="AJ89" s="461" t="s">
        <v>151</v>
      </c>
      <c r="AK89" s="298">
        <v>27600</v>
      </c>
      <c r="AL89" s="363" t="s">
        <v>168</v>
      </c>
    </row>
    <row r="90" spans="1:38" s="360" customFormat="1" ht="11.25" customHeight="1" x14ac:dyDescent="0.25">
      <c r="A90" s="642">
        <v>79062019</v>
      </c>
      <c r="B90" s="294" t="s">
        <v>243</v>
      </c>
      <c r="C90" s="294" t="s">
        <v>266</v>
      </c>
      <c r="D90" s="361" t="s">
        <v>244</v>
      </c>
      <c r="E90" s="630" t="s">
        <v>507</v>
      </c>
      <c r="F90" s="270" t="s">
        <v>506</v>
      </c>
      <c r="G90" s="284" t="s">
        <v>117</v>
      </c>
      <c r="H90" s="1107">
        <v>43679</v>
      </c>
      <c r="I90" s="295">
        <v>330</v>
      </c>
      <c r="J90" s="295">
        <v>2</v>
      </c>
      <c r="K90" s="295">
        <v>345</v>
      </c>
      <c r="L90" s="295">
        <v>2</v>
      </c>
      <c r="M90" s="295">
        <v>830</v>
      </c>
      <c r="N90" s="632" t="s">
        <v>20</v>
      </c>
      <c r="O90" s="463"/>
      <c r="P90" s="296"/>
      <c r="Q90" s="296">
        <v>3</v>
      </c>
      <c r="R90" s="296"/>
      <c r="S90" s="363"/>
      <c r="T90" s="463"/>
      <c r="U90" s="296"/>
      <c r="V90" s="296"/>
      <c r="W90" s="296"/>
      <c r="X90" s="363"/>
      <c r="Y90" s="463"/>
      <c r="Z90" s="296"/>
      <c r="AA90" s="296">
        <v>3</v>
      </c>
      <c r="AB90" s="296"/>
      <c r="AC90" s="464"/>
      <c r="AD90" s="637">
        <v>3</v>
      </c>
      <c r="AE90" s="622" t="s">
        <v>202</v>
      </c>
      <c r="AF90" s="754" t="s">
        <v>228</v>
      </c>
      <c r="AG90" s="638" t="s">
        <v>115</v>
      </c>
      <c r="AH90" s="676" t="s">
        <v>29</v>
      </c>
      <c r="AI90" s="362" t="s">
        <v>294</v>
      </c>
      <c r="AJ90" s="461" t="s">
        <v>151</v>
      </c>
      <c r="AK90" s="298">
        <v>900</v>
      </c>
      <c r="AL90" s="363" t="s">
        <v>168</v>
      </c>
    </row>
    <row r="91" spans="1:38" s="360" customFormat="1" ht="12" customHeight="1" x14ac:dyDescent="0.25">
      <c r="A91" s="642">
        <v>80061319</v>
      </c>
      <c r="B91" s="278" t="s">
        <v>167</v>
      </c>
      <c r="C91" s="278" t="s">
        <v>262</v>
      </c>
      <c r="D91" s="361" t="s">
        <v>166</v>
      </c>
      <c r="E91" s="270" t="s">
        <v>446</v>
      </c>
      <c r="F91" s="270" t="s">
        <v>445</v>
      </c>
      <c r="G91" s="295" t="s">
        <v>367</v>
      </c>
      <c r="H91" s="1107">
        <v>43679</v>
      </c>
      <c r="I91" s="295">
        <v>1030</v>
      </c>
      <c r="J91" s="295">
        <v>2</v>
      </c>
      <c r="K91" s="295">
        <v>1135</v>
      </c>
      <c r="L91" s="295">
        <v>2</v>
      </c>
      <c r="M91" s="295">
        <v>1840</v>
      </c>
      <c r="N91" s="647" t="s">
        <v>276</v>
      </c>
      <c r="O91" s="463">
        <v>3</v>
      </c>
      <c r="P91" s="296"/>
      <c r="Q91" s="296">
        <v>8</v>
      </c>
      <c r="R91" s="296"/>
      <c r="S91" s="363"/>
      <c r="T91" s="463"/>
      <c r="U91" s="296"/>
      <c r="V91" s="296"/>
      <c r="W91" s="296"/>
      <c r="X91" s="363"/>
      <c r="Y91" s="463">
        <v>3</v>
      </c>
      <c r="Z91" s="296"/>
      <c r="AA91" s="296">
        <v>8</v>
      </c>
      <c r="AB91" s="296"/>
      <c r="AC91" s="464"/>
      <c r="AD91" s="637">
        <v>11</v>
      </c>
      <c r="AE91" s="622" t="s">
        <v>159</v>
      </c>
      <c r="AF91" s="754" t="s">
        <v>159</v>
      </c>
      <c r="AG91" s="638" t="s">
        <v>115</v>
      </c>
      <c r="AH91" s="676" t="s">
        <v>29</v>
      </c>
      <c r="AI91" s="362" t="s">
        <v>294</v>
      </c>
      <c r="AJ91" s="461" t="s">
        <v>151</v>
      </c>
      <c r="AK91" s="298">
        <v>62688</v>
      </c>
      <c r="AL91" s="363" t="s">
        <v>168</v>
      </c>
    </row>
    <row r="92" spans="1:38" s="904" customFormat="1" ht="12" customHeight="1" x14ac:dyDescent="0.25">
      <c r="A92" s="303">
        <v>81060119</v>
      </c>
      <c r="B92" s="365" t="s">
        <v>300</v>
      </c>
      <c r="C92" s="365" t="s">
        <v>300</v>
      </c>
      <c r="D92" s="361" t="s">
        <v>578</v>
      </c>
      <c r="E92" s="906" t="s">
        <v>472</v>
      </c>
      <c r="F92" s="906" t="s">
        <v>473</v>
      </c>
      <c r="G92" s="284" t="s">
        <v>117</v>
      </c>
      <c r="H92" s="1107">
        <v>43679</v>
      </c>
      <c r="I92" s="295">
        <v>1400</v>
      </c>
      <c r="J92" s="295">
        <v>2</v>
      </c>
      <c r="K92" s="295">
        <v>1405</v>
      </c>
      <c r="L92" s="295">
        <v>2</v>
      </c>
      <c r="M92" s="295">
        <v>1900</v>
      </c>
      <c r="N92" s="647" t="s">
        <v>201</v>
      </c>
      <c r="O92" s="463"/>
      <c r="P92" s="296"/>
      <c r="Q92" s="296"/>
      <c r="R92" s="296"/>
      <c r="S92" s="363"/>
      <c r="T92" s="463">
        <v>30</v>
      </c>
      <c r="U92" s="296"/>
      <c r="V92" s="296">
        <v>25</v>
      </c>
      <c r="W92" s="296"/>
      <c r="X92" s="363">
        <v>5</v>
      </c>
      <c r="Y92" s="463">
        <v>30</v>
      </c>
      <c r="Z92" s="296"/>
      <c r="AA92" s="296">
        <v>25</v>
      </c>
      <c r="AB92" s="296"/>
      <c r="AC92" s="464">
        <v>5</v>
      </c>
      <c r="AD92" s="637">
        <v>60</v>
      </c>
      <c r="AE92" s="622" t="s">
        <v>202</v>
      </c>
      <c r="AF92" s="754" t="s">
        <v>238</v>
      </c>
      <c r="AG92" s="638" t="s">
        <v>115</v>
      </c>
      <c r="AH92" s="305" t="s">
        <v>79</v>
      </c>
      <c r="AI92" s="362" t="s">
        <v>294</v>
      </c>
      <c r="AJ92" s="461" t="s">
        <v>151</v>
      </c>
      <c r="AK92" s="298">
        <v>5027500</v>
      </c>
      <c r="AL92" s="363"/>
    </row>
    <row r="93" spans="1:38" s="360" customFormat="1" ht="12" customHeight="1" x14ac:dyDescent="0.25">
      <c r="A93" s="303">
        <v>82064919</v>
      </c>
      <c r="B93" s="650" t="s">
        <v>225</v>
      </c>
      <c r="C93" s="650" t="s">
        <v>226</v>
      </c>
      <c r="D93" s="361" t="s">
        <v>264</v>
      </c>
      <c r="E93" s="749" t="s">
        <v>474</v>
      </c>
      <c r="F93" s="749" t="s">
        <v>475</v>
      </c>
      <c r="G93" s="284" t="s">
        <v>117</v>
      </c>
      <c r="H93" s="1107">
        <v>43679</v>
      </c>
      <c r="I93" s="295">
        <v>2415</v>
      </c>
      <c r="J93" s="295">
        <v>2</v>
      </c>
      <c r="K93" s="295">
        <v>110</v>
      </c>
      <c r="L93" s="295">
        <v>2</v>
      </c>
      <c r="M93" s="295">
        <v>1930</v>
      </c>
      <c r="N93" s="632" t="s">
        <v>20</v>
      </c>
      <c r="O93" s="463"/>
      <c r="P93" s="296"/>
      <c r="Q93" s="296"/>
      <c r="R93" s="296"/>
      <c r="S93" s="363"/>
      <c r="T93" s="463"/>
      <c r="U93" s="296"/>
      <c r="V93" s="296">
        <v>60</v>
      </c>
      <c r="W93" s="296"/>
      <c r="X93" s="363">
        <v>20</v>
      </c>
      <c r="Y93" s="463"/>
      <c r="Z93" s="296"/>
      <c r="AA93" s="296">
        <v>60</v>
      </c>
      <c r="AB93" s="296"/>
      <c r="AC93" s="464">
        <v>20</v>
      </c>
      <c r="AD93" s="637">
        <v>80</v>
      </c>
      <c r="AE93" s="622" t="s">
        <v>202</v>
      </c>
      <c r="AF93" s="622" t="s">
        <v>238</v>
      </c>
      <c r="AG93" s="638" t="s">
        <v>115</v>
      </c>
      <c r="AH93" s="305" t="s">
        <v>80</v>
      </c>
      <c r="AI93" s="362" t="s">
        <v>294</v>
      </c>
      <c r="AJ93" s="449" t="s">
        <v>156</v>
      </c>
      <c r="AK93" s="298">
        <v>2018000</v>
      </c>
      <c r="AL93" s="363"/>
    </row>
    <row r="94" spans="1:38" s="360" customFormat="1" ht="10.5" customHeight="1" x14ac:dyDescent="0.25">
      <c r="A94" s="642">
        <v>83062019</v>
      </c>
      <c r="B94" s="278" t="s">
        <v>243</v>
      </c>
      <c r="C94" s="294" t="s">
        <v>243</v>
      </c>
      <c r="D94" s="361" t="s">
        <v>301</v>
      </c>
      <c r="E94" s="630" t="s">
        <v>509</v>
      </c>
      <c r="F94" s="270" t="s">
        <v>508</v>
      </c>
      <c r="G94" s="284" t="s">
        <v>117</v>
      </c>
      <c r="H94" s="1107">
        <v>43679</v>
      </c>
      <c r="I94" s="295">
        <v>1600</v>
      </c>
      <c r="J94" s="295">
        <v>2</v>
      </c>
      <c r="K94" s="295">
        <v>1615</v>
      </c>
      <c r="L94" s="295">
        <v>2</v>
      </c>
      <c r="M94" s="295">
        <v>2100</v>
      </c>
      <c r="N94" s="647" t="s">
        <v>241</v>
      </c>
      <c r="O94" s="463">
        <v>1</v>
      </c>
      <c r="P94" s="296"/>
      <c r="Q94" s="296">
        <v>2</v>
      </c>
      <c r="R94" s="296"/>
      <c r="S94" s="363"/>
      <c r="T94" s="828"/>
      <c r="U94" s="758"/>
      <c r="V94" s="758"/>
      <c r="W94" s="296"/>
      <c r="X94" s="363"/>
      <c r="Y94" s="463">
        <v>1</v>
      </c>
      <c r="Z94" s="296"/>
      <c r="AA94" s="296">
        <v>2</v>
      </c>
      <c r="AB94" s="296"/>
      <c r="AC94" s="464"/>
      <c r="AD94" s="637">
        <v>3</v>
      </c>
      <c r="AE94" s="622" t="s">
        <v>202</v>
      </c>
      <c r="AF94" s="754" t="s">
        <v>228</v>
      </c>
      <c r="AG94" s="638" t="s">
        <v>115</v>
      </c>
      <c r="AH94" s="305" t="s">
        <v>79</v>
      </c>
      <c r="AI94" s="362" t="s">
        <v>294</v>
      </c>
      <c r="AJ94" s="461" t="s">
        <v>151</v>
      </c>
      <c r="AK94" s="298">
        <v>19120</v>
      </c>
      <c r="AL94" s="363"/>
    </row>
    <row r="95" spans="1:38" s="360" customFormat="1" ht="10.5" customHeight="1" x14ac:dyDescent="0.25">
      <c r="A95" s="309">
        <v>84064619</v>
      </c>
      <c r="B95" s="365" t="s">
        <v>282</v>
      </c>
      <c r="C95" s="641" t="s">
        <v>283</v>
      </c>
      <c r="D95" s="361" t="s">
        <v>302</v>
      </c>
      <c r="E95" s="630" t="s">
        <v>511</v>
      </c>
      <c r="F95" s="270" t="s">
        <v>510</v>
      </c>
      <c r="G95" s="284" t="s">
        <v>117</v>
      </c>
      <c r="H95" s="1107">
        <v>43679</v>
      </c>
      <c r="I95" s="295">
        <v>1745</v>
      </c>
      <c r="J95" s="295">
        <v>2</v>
      </c>
      <c r="K95" s="295">
        <v>1805</v>
      </c>
      <c r="L95" s="295">
        <v>2</v>
      </c>
      <c r="M95" s="295">
        <v>2130</v>
      </c>
      <c r="N95" s="632" t="s">
        <v>20</v>
      </c>
      <c r="O95" s="463"/>
      <c r="P95" s="296"/>
      <c r="Q95" s="296">
        <v>5</v>
      </c>
      <c r="R95" s="296"/>
      <c r="S95" s="363"/>
      <c r="T95" s="463"/>
      <c r="U95" s="296"/>
      <c r="V95" s="758">
        <v>4</v>
      </c>
      <c r="W95" s="296"/>
      <c r="X95" s="363"/>
      <c r="Y95" s="463"/>
      <c r="Z95" s="296"/>
      <c r="AA95" s="296">
        <v>9</v>
      </c>
      <c r="AB95" s="296"/>
      <c r="AC95" s="464"/>
      <c r="AD95" s="637">
        <v>9</v>
      </c>
      <c r="AE95" s="622" t="s">
        <v>202</v>
      </c>
      <c r="AF95" s="754" t="s">
        <v>228</v>
      </c>
      <c r="AG95" s="638" t="s">
        <v>115</v>
      </c>
      <c r="AH95" s="640" t="s">
        <v>78</v>
      </c>
      <c r="AI95" s="362" t="s">
        <v>294</v>
      </c>
      <c r="AJ95" s="461" t="s">
        <v>216</v>
      </c>
      <c r="AK95" s="298">
        <v>2700</v>
      </c>
      <c r="AL95" s="363"/>
    </row>
    <row r="96" spans="1:38" s="360" customFormat="1" ht="11.25" customHeight="1" x14ac:dyDescent="0.25">
      <c r="A96" s="309">
        <v>85061119</v>
      </c>
      <c r="B96" s="310" t="s">
        <v>219</v>
      </c>
      <c r="C96" s="310" t="s">
        <v>219</v>
      </c>
      <c r="D96" s="361" t="s">
        <v>227</v>
      </c>
      <c r="E96" s="749" t="s">
        <v>476</v>
      </c>
      <c r="F96" s="270" t="s">
        <v>477</v>
      </c>
      <c r="G96" s="284" t="s">
        <v>117</v>
      </c>
      <c r="H96" s="1107">
        <v>43679</v>
      </c>
      <c r="I96" s="295">
        <v>900</v>
      </c>
      <c r="J96" s="295">
        <v>2</v>
      </c>
      <c r="K96" s="295">
        <v>1040</v>
      </c>
      <c r="L96" s="295">
        <v>2</v>
      </c>
      <c r="M96" s="295">
        <v>2200</v>
      </c>
      <c r="N96" s="647" t="s">
        <v>241</v>
      </c>
      <c r="O96" s="463">
        <v>2</v>
      </c>
      <c r="P96" s="296"/>
      <c r="Q96" s="296">
        <v>3</v>
      </c>
      <c r="R96" s="296"/>
      <c r="S96" s="363"/>
      <c r="T96" s="463"/>
      <c r="U96" s="296"/>
      <c r="V96" s="296"/>
      <c r="W96" s="296"/>
      <c r="X96" s="363"/>
      <c r="Y96" s="463">
        <v>2</v>
      </c>
      <c r="Z96" s="296"/>
      <c r="AA96" s="296">
        <v>3</v>
      </c>
      <c r="AB96" s="296"/>
      <c r="AC96" s="464"/>
      <c r="AD96" s="637">
        <v>5</v>
      </c>
      <c r="AE96" s="623" t="s">
        <v>202</v>
      </c>
      <c r="AF96" s="759" t="s">
        <v>228</v>
      </c>
      <c r="AG96" s="638" t="s">
        <v>115</v>
      </c>
      <c r="AH96" s="305" t="s">
        <v>79</v>
      </c>
      <c r="AI96" s="362" t="s">
        <v>294</v>
      </c>
      <c r="AJ96" s="461" t="s">
        <v>216</v>
      </c>
      <c r="AK96" s="298">
        <v>240900</v>
      </c>
      <c r="AL96" s="363" t="s">
        <v>168</v>
      </c>
    </row>
    <row r="97" spans="1:38" s="360" customFormat="1" ht="12.75" customHeight="1" x14ac:dyDescent="0.25">
      <c r="A97" s="303">
        <v>86064919</v>
      </c>
      <c r="B97" s="650" t="s">
        <v>225</v>
      </c>
      <c r="C97" s="650" t="s">
        <v>226</v>
      </c>
      <c r="D97" s="361" t="s">
        <v>227</v>
      </c>
      <c r="E97" s="749" t="s">
        <v>478</v>
      </c>
      <c r="F97" s="270" t="s">
        <v>479</v>
      </c>
      <c r="G97" s="284" t="s">
        <v>117</v>
      </c>
      <c r="H97" s="1107">
        <v>43679</v>
      </c>
      <c r="I97" s="295">
        <v>1430</v>
      </c>
      <c r="J97" s="295">
        <v>2</v>
      </c>
      <c r="K97" s="295">
        <v>1450</v>
      </c>
      <c r="L97" s="295">
        <v>3</v>
      </c>
      <c r="M97" s="295">
        <v>300</v>
      </c>
      <c r="N97" s="647" t="s">
        <v>233</v>
      </c>
      <c r="O97" s="463">
        <v>40</v>
      </c>
      <c r="P97" s="296"/>
      <c r="Q97" s="296">
        <v>80</v>
      </c>
      <c r="R97" s="296"/>
      <c r="S97" s="363"/>
      <c r="T97" s="463"/>
      <c r="U97" s="296"/>
      <c r="V97" s="296"/>
      <c r="W97" s="296"/>
      <c r="X97" s="363"/>
      <c r="Y97" s="463">
        <v>40</v>
      </c>
      <c r="Z97" s="296"/>
      <c r="AA97" s="296">
        <v>80</v>
      </c>
      <c r="AB97" s="296"/>
      <c r="AC97" s="464"/>
      <c r="AD97" s="637">
        <v>120</v>
      </c>
      <c r="AE97" s="760" t="s">
        <v>164</v>
      </c>
      <c r="AF97" s="285" t="s">
        <v>164</v>
      </c>
      <c r="AG97" s="638" t="s">
        <v>115</v>
      </c>
      <c r="AH97" s="305" t="s">
        <v>79</v>
      </c>
      <c r="AI97" s="362" t="s">
        <v>294</v>
      </c>
      <c r="AJ97" s="461" t="s">
        <v>216</v>
      </c>
      <c r="AK97" s="298">
        <v>824000</v>
      </c>
      <c r="AL97" s="363" t="s">
        <v>168</v>
      </c>
    </row>
    <row r="98" spans="1:38" s="360" customFormat="1" ht="12" customHeight="1" x14ac:dyDescent="0.25">
      <c r="A98" s="303">
        <v>87064919</v>
      </c>
      <c r="B98" s="650" t="s">
        <v>225</v>
      </c>
      <c r="C98" s="650" t="s">
        <v>226</v>
      </c>
      <c r="D98" s="361" t="s">
        <v>227</v>
      </c>
      <c r="E98" s="749" t="s">
        <v>480</v>
      </c>
      <c r="F98" s="270" t="s">
        <v>481</v>
      </c>
      <c r="G98" s="284" t="s">
        <v>117</v>
      </c>
      <c r="H98" s="1102">
        <v>43679</v>
      </c>
      <c r="I98" s="284">
        <v>1045</v>
      </c>
      <c r="J98" s="284">
        <v>2</v>
      </c>
      <c r="K98" s="284">
        <v>1300</v>
      </c>
      <c r="L98" s="284">
        <v>3</v>
      </c>
      <c r="M98" s="284">
        <v>500</v>
      </c>
      <c r="N98" s="647" t="s">
        <v>241</v>
      </c>
      <c r="O98" s="456">
        <v>5</v>
      </c>
      <c r="P98" s="283"/>
      <c r="Q98" s="283">
        <v>10</v>
      </c>
      <c r="R98" s="283"/>
      <c r="S98" s="306"/>
      <c r="T98" s="456"/>
      <c r="U98" s="283"/>
      <c r="V98" s="283"/>
      <c r="W98" s="283"/>
      <c r="X98" s="306"/>
      <c r="Y98" s="456">
        <v>5</v>
      </c>
      <c r="Z98" s="283"/>
      <c r="AA98" s="283">
        <v>10</v>
      </c>
      <c r="AB98" s="283"/>
      <c r="AC98" s="457"/>
      <c r="AD98" s="627">
        <v>15</v>
      </c>
      <c r="AE98" s="622" t="s">
        <v>202</v>
      </c>
      <c r="AF98" s="754" t="s">
        <v>228</v>
      </c>
      <c r="AG98" s="638" t="s">
        <v>115</v>
      </c>
      <c r="AH98" s="305" t="s">
        <v>79</v>
      </c>
      <c r="AI98" s="362" t="s">
        <v>294</v>
      </c>
      <c r="AJ98" s="461" t="s">
        <v>216</v>
      </c>
      <c r="AK98" s="298">
        <v>603000</v>
      </c>
      <c r="AL98" s="363" t="s">
        <v>168</v>
      </c>
    </row>
    <row r="99" spans="1:38" s="360" customFormat="1" ht="10.5" x14ac:dyDescent="0.25">
      <c r="A99" s="642">
        <v>88062019</v>
      </c>
      <c r="B99" s="294" t="s">
        <v>243</v>
      </c>
      <c r="C99" s="294" t="s">
        <v>266</v>
      </c>
      <c r="D99" s="361" t="s">
        <v>303</v>
      </c>
      <c r="E99" s="630" t="s">
        <v>513</v>
      </c>
      <c r="F99" s="270" t="s">
        <v>512</v>
      </c>
      <c r="G99" s="284" t="s">
        <v>117</v>
      </c>
      <c r="H99" s="1107">
        <v>43683</v>
      </c>
      <c r="I99" s="295">
        <v>2405</v>
      </c>
      <c r="J99" s="295">
        <v>6</v>
      </c>
      <c r="K99" s="295">
        <v>2450</v>
      </c>
      <c r="L99" s="295">
        <v>6</v>
      </c>
      <c r="M99" s="295">
        <v>520</v>
      </c>
      <c r="N99" s="632" t="s">
        <v>20</v>
      </c>
      <c r="O99" s="463"/>
      <c r="P99" s="296"/>
      <c r="Q99" s="296">
        <v>12</v>
      </c>
      <c r="R99" s="296"/>
      <c r="S99" s="363"/>
      <c r="T99" s="463"/>
      <c r="U99" s="296"/>
      <c r="V99" s="296"/>
      <c r="W99" s="296"/>
      <c r="X99" s="363"/>
      <c r="Y99" s="463"/>
      <c r="Z99" s="296"/>
      <c r="AA99" s="296">
        <v>12</v>
      </c>
      <c r="AB99" s="296"/>
      <c r="AC99" s="464"/>
      <c r="AD99" s="637">
        <v>12</v>
      </c>
      <c r="AE99" s="622" t="s">
        <v>202</v>
      </c>
      <c r="AF99" s="754" t="s">
        <v>228</v>
      </c>
      <c r="AG99" s="638" t="s">
        <v>115</v>
      </c>
      <c r="AH99" s="676" t="s">
        <v>29</v>
      </c>
      <c r="AI99" s="362" t="s">
        <v>150</v>
      </c>
      <c r="AJ99" s="461" t="s">
        <v>151</v>
      </c>
      <c r="AK99" s="298">
        <v>3600</v>
      </c>
      <c r="AL99" s="363"/>
    </row>
    <row r="100" spans="1:38" s="360" customFormat="1" ht="10.5" customHeight="1" x14ac:dyDescent="0.25">
      <c r="A100" s="303">
        <v>89060819</v>
      </c>
      <c r="B100" s="308" t="s">
        <v>282</v>
      </c>
      <c r="C100" s="308" t="s">
        <v>282</v>
      </c>
      <c r="D100" s="361" t="s">
        <v>364</v>
      </c>
      <c r="E100" s="630" t="s">
        <v>518</v>
      </c>
      <c r="F100" s="270" t="s">
        <v>514</v>
      </c>
      <c r="G100" s="284" t="s">
        <v>117</v>
      </c>
      <c r="H100" s="1107">
        <v>43683</v>
      </c>
      <c r="I100" s="295">
        <v>23</v>
      </c>
      <c r="J100" s="295">
        <v>6</v>
      </c>
      <c r="K100" s="295">
        <v>2320</v>
      </c>
      <c r="L100" s="295">
        <v>7</v>
      </c>
      <c r="M100" s="295">
        <v>530</v>
      </c>
      <c r="N100" s="639" t="s">
        <v>234</v>
      </c>
      <c r="O100" s="463"/>
      <c r="P100" s="296">
        <v>1</v>
      </c>
      <c r="Q100" s="296"/>
      <c r="R100" s="296"/>
      <c r="S100" s="363"/>
      <c r="T100" s="463"/>
      <c r="U100" s="296"/>
      <c r="V100" s="296">
        <v>2</v>
      </c>
      <c r="W100" s="296"/>
      <c r="X100" s="363"/>
      <c r="Y100" s="463"/>
      <c r="Z100" s="296">
        <v>1</v>
      </c>
      <c r="AA100" s="296">
        <v>2</v>
      </c>
      <c r="AB100" s="296"/>
      <c r="AC100" s="464"/>
      <c r="AD100" s="637">
        <v>3</v>
      </c>
      <c r="AE100" s="622" t="s">
        <v>202</v>
      </c>
      <c r="AF100" s="754" t="s">
        <v>228</v>
      </c>
      <c r="AG100" s="638" t="s">
        <v>115</v>
      </c>
      <c r="AH100" s="305" t="s">
        <v>79</v>
      </c>
      <c r="AI100" s="362" t="s">
        <v>294</v>
      </c>
      <c r="AJ100" s="461" t="s">
        <v>151</v>
      </c>
      <c r="AK100" s="298">
        <v>18600</v>
      </c>
      <c r="AL100" s="363"/>
    </row>
    <row r="101" spans="1:38" s="360" customFormat="1" ht="14.25" customHeight="1" x14ac:dyDescent="0.25">
      <c r="A101" s="303">
        <v>90064119</v>
      </c>
      <c r="B101" s="308" t="s">
        <v>282</v>
      </c>
      <c r="C101" s="308" t="s">
        <v>295</v>
      </c>
      <c r="D101" s="361" t="s">
        <v>365</v>
      </c>
      <c r="E101" s="630" t="s">
        <v>517</v>
      </c>
      <c r="F101" s="270" t="s">
        <v>556</v>
      </c>
      <c r="G101" s="284" t="s">
        <v>117</v>
      </c>
      <c r="H101" s="1107">
        <v>43684</v>
      </c>
      <c r="I101" s="295">
        <v>630</v>
      </c>
      <c r="J101" s="295">
        <v>7</v>
      </c>
      <c r="K101" s="295">
        <v>645</v>
      </c>
      <c r="L101" s="295">
        <v>7</v>
      </c>
      <c r="M101" s="295">
        <v>815</v>
      </c>
      <c r="N101" s="647" t="s">
        <v>51</v>
      </c>
      <c r="O101" s="463">
        <v>1.5</v>
      </c>
      <c r="P101" s="296"/>
      <c r="Q101" s="296"/>
      <c r="R101" s="296"/>
      <c r="S101" s="363"/>
      <c r="T101" s="463"/>
      <c r="U101" s="296"/>
      <c r="V101" s="296"/>
      <c r="W101" s="296"/>
      <c r="X101" s="363"/>
      <c r="Y101" s="463">
        <v>1.5</v>
      </c>
      <c r="Z101" s="296"/>
      <c r="AA101" s="296"/>
      <c r="AB101" s="296"/>
      <c r="AC101" s="464"/>
      <c r="AD101" s="637">
        <v>1.5</v>
      </c>
      <c r="AE101" s="622" t="s">
        <v>202</v>
      </c>
      <c r="AF101" s="622" t="s">
        <v>238</v>
      </c>
      <c r="AG101" s="638" t="s">
        <v>115</v>
      </c>
      <c r="AH101" s="305" t="s">
        <v>79</v>
      </c>
      <c r="AI101" s="362" t="s">
        <v>294</v>
      </c>
      <c r="AJ101" s="461" t="s">
        <v>151</v>
      </c>
      <c r="AK101" s="298">
        <v>3600</v>
      </c>
      <c r="AL101" s="363" t="s">
        <v>168</v>
      </c>
    </row>
    <row r="102" spans="1:38" s="360" customFormat="1" ht="12" customHeight="1" x14ac:dyDescent="0.25">
      <c r="A102" s="303">
        <v>91064119</v>
      </c>
      <c r="B102" s="308" t="s">
        <v>282</v>
      </c>
      <c r="C102" s="308" t="s">
        <v>295</v>
      </c>
      <c r="D102" s="361" t="s">
        <v>284</v>
      </c>
      <c r="E102" s="270" t="s">
        <v>520</v>
      </c>
      <c r="F102" s="284" t="s">
        <v>519</v>
      </c>
      <c r="G102" s="284" t="s">
        <v>117</v>
      </c>
      <c r="H102" s="1107">
        <v>43684</v>
      </c>
      <c r="I102" s="295">
        <v>1140</v>
      </c>
      <c r="J102" s="295">
        <v>7</v>
      </c>
      <c r="K102" s="295">
        <v>1200</v>
      </c>
      <c r="L102" s="295">
        <v>7</v>
      </c>
      <c r="M102" s="284">
        <v>1300</v>
      </c>
      <c r="N102" s="761" t="s">
        <v>45</v>
      </c>
      <c r="O102" s="463">
        <v>1</v>
      </c>
      <c r="P102" s="296"/>
      <c r="Q102" s="296"/>
      <c r="R102" s="296"/>
      <c r="S102" s="306"/>
      <c r="T102" s="463"/>
      <c r="U102" s="296"/>
      <c r="V102" s="296"/>
      <c r="W102" s="464"/>
      <c r="X102" s="306"/>
      <c r="Y102" s="463">
        <v>1</v>
      </c>
      <c r="Z102" s="296"/>
      <c r="AA102" s="296"/>
      <c r="AB102" s="296"/>
      <c r="AC102" s="457"/>
      <c r="AD102" s="762">
        <v>1</v>
      </c>
      <c r="AE102" s="622" t="s">
        <v>202</v>
      </c>
      <c r="AF102" s="622" t="s">
        <v>238</v>
      </c>
      <c r="AG102" s="638" t="s">
        <v>115</v>
      </c>
      <c r="AH102" s="305" t="s">
        <v>79</v>
      </c>
      <c r="AI102" s="362" t="s">
        <v>294</v>
      </c>
      <c r="AJ102" s="461" t="s">
        <v>216</v>
      </c>
      <c r="AK102" s="763">
        <v>5300</v>
      </c>
      <c r="AL102" s="764" t="s">
        <v>168</v>
      </c>
    </row>
    <row r="103" spans="1:38" s="360" customFormat="1" ht="13.5" customHeight="1" x14ac:dyDescent="0.25">
      <c r="A103" s="309">
        <v>92064619</v>
      </c>
      <c r="B103" s="365" t="s">
        <v>282</v>
      </c>
      <c r="C103" s="641" t="s">
        <v>283</v>
      </c>
      <c r="D103" s="361" t="s">
        <v>284</v>
      </c>
      <c r="E103" s="630" t="s">
        <v>515</v>
      </c>
      <c r="F103" s="284" t="s">
        <v>557</v>
      </c>
      <c r="G103" s="284" t="s">
        <v>117</v>
      </c>
      <c r="H103" s="1107">
        <v>43683</v>
      </c>
      <c r="I103" s="295">
        <v>1200</v>
      </c>
      <c r="J103" s="295">
        <v>6</v>
      </c>
      <c r="K103" s="295">
        <v>1230</v>
      </c>
      <c r="L103" s="295">
        <v>7</v>
      </c>
      <c r="M103" s="295">
        <v>1530</v>
      </c>
      <c r="N103" s="647" t="s">
        <v>233</v>
      </c>
      <c r="O103" s="463"/>
      <c r="P103" s="296">
        <v>5</v>
      </c>
      <c r="Q103" s="296">
        <v>15</v>
      </c>
      <c r="R103" s="296"/>
      <c r="S103" s="363"/>
      <c r="T103" s="463"/>
      <c r="U103" s="296"/>
      <c r="V103" s="296">
        <v>5</v>
      </c>
      <c r="W103" s="464"/>
      <c r="X103" s="363"/>
      <c r="Y103" s="463"/>
      <c r="Z103" s="296">
        <v>5</v>
      </c>
      <c r="AA103" s="296">
        <v>20</v>
      </c>
      <c r="AB103" s="296"/>
      <c r="AC103" s="464"/>
      <c r="AD103" s="658">
        <v>25</v>
      </c>
      <c r="AE103" s="622" t="s">
        <v>202</v>
      </c>
      <c r="AF103" s="754" t="s">
        <v>228</v>
      </c>
      <c r="AG103" s="638" t="s">
        <v>115</v>
      </c>
      <c r="AH103" s="640" t="s">
        <v>78</v>
      </c>
      <c r="AI103" s="362" t="s">
        <v>294</v>
      </c>
      <c r="AJ103" s="449" t="s">
        <v>156</v>
      </c>
      <c r="AK103" s="765">
        <v>8080</v>
      </c>
      <c r="AL103" s="764" t="s">
        <v>168</v>
      </c>
    </row>
    <row r="104" spans="1:38" s="904" customFormat="1" ht="12.75" customHeight="1" x14ac:dyDescent="0.25">
      <c r="A104" s="303">
        <v>93060119</v>
      </c>
      <c r="B104" s="365" t="s">
        <v>300</v>
      </c>
      <c r="C104" s="365" t="s">
        <v>300</v>
      </c>
      <c r="D104" s="361" t="s">
        <v>370</v>
      </c>
      <c r="E104" s="906" t="s">
        <v>482</v>
      </c>
      <c r="F104" s="270" t="s">
        <v>483</v>
      </c>
      <c r="G104" s="284" t="s">
        <v>117</v>
      </c>
      <c r="H104" s="1107">
        <v>43684</v>
      </c>
      <c r="I104" s="295">
        <v>1120</v>
      </c>
      <c r="J104" s="295">
        <v>7</v>
      </c>
      <c r="K104" s="295">
        <v>1125</v>
      </c>
      <c r="L104" s="295">
        <v>7</v>
      </c>
      <c r="M104" s="295">
        <v>1630</v>
      </c>
      <c r="N104" s="639" t="s">
        <v>234</v>
      </c>
      <c r="O104" s="463"/>
      <c r="P104" s="296">
        <v>5</v>
      </c>
      <c r="Q104" s="296"/>
      <c r="R104" s="296"/>
      <c r="S104" s="363"/>
      <c r="T104" s="463"/>
      <c r="U104" s="296"/>
      <c r="V104" s="296">
        <v>4</v>
      </c>
      <c r="W104" s="464"/>
      <c r="X104" s="363">
        <v>1</v>
      </c>
      <c r="Y104" s="463"/>
      <c r="Z104" s="296">
        <v>5</v>
      </c>
      <c r="AA104" s="296">
        <v>4</v>
      </c>
      <c r="AB104" s="296"/>
      <c r="AC104" s="464">
        <v>1</v>
      </c>
      <c r="AD104" s="658">
        <v>10</v>
      </c>
      <c r="AE104" s="622" t="s">
        <v>202</v>
      </c>
      <c r="AF104" s="622" t="s">
        <v>239</v>
      </c>
      <c r="AG104" s="638" t="s">
        <v>115</v>
      </c>
      <c r="AH104" s="305" t="s">
        <v>79</v>
      </c>
      <c r="AI104" s="362" t="s">
        <v>162</v>
      </c>
      <c r="AJ104" s="461" t="s">
        <v>151</v>
      </c>
      <c r="AK104" s="298">
        <v>147200</v>
      </c>
      <c r="AL104" s="363" t="s">
        <v>168</v>
      </c>
    </row>
    <row r="105" spans="1:38" s="360" customFormat="1" ht="11.25" customHeight="1" x14ac:dyDescent="0.25">
      <c r="A105" s="303">
        <v>94060219</v>
      </c>
      <c r="B105" s="766" t="s">
        <v>231</v>
      </c>
      <c r="C105" s="766" t="s">
        <v>231</v>
      </c>
      <c r="D105" s="361" t="s">
        <v>453</v>
      </c>
      <c r="E105" s="270" t="s">
        <v>443</v>
      </c>
      <c r="F105" s="270" t="s">
        <v>444</v>
      </c>
      <c r="G105" s="295" t="s">
        <v>367</v>
      </c>
      <c r="H105" s="1107">
        <v>43684</v>
      </c>
      <c r="I105" s="295">
        <v>1345</v>
      </c>
      <c r="J105" s="295">
        <v>7</v>
      </c>
      <c r="K105" s="295">
        <v>1500</v>
      </c>
      <c r="L105" s="295">
        <v>7</v>
      </c>
      <c r="M105" s="295">
        <v>1930</v>
      </c>
      <c r="N105" s="639" t="s">
        <v>234</v>
      </c>
      <c r="O105" s="463"/>
      <c r="P105" s="296"/>
      <c r="Q105" s="296"/>
      <c r="R105" s="296"/>
      <c r="S105" s="363"/>
      <c r="T105" s="463"/>
      <c r="U105" s="296">
        <v>1</v>
      </c>
      <c r="V105" s="296">
        <v>7</v>
      </c>
      <c r="W105" s="464"/>
      <c r="X105" s="363"/>
      <c r="Y105" s="463"/>
      <c r="Z105" s="296">
        <v>1</v>
      </c>
      <c r="AA105" s="296">
        <v>7</v>
      </c>
      <c r="AB105" s="296"/>
      <c r="AC105" s="464"/>
      <c r="AD105" s="658">
        <v>8</v>
      </c>
      <c r="AE105" s="622" t="s">
        <v>202</v>
      </c>
      <c r="AF105" s="622" t="s">
        <v>238</v>
      </c>
      <c r="AG105" s="638" t="s">
        <v>115</v>
      </c>
      <c r="AH105" s="676" t="s">
        <v>29</v>
      </c>
      <c r="AI105" s="362" t="s">
        <v>162</v>
      </c>
      <c r="AJ105" s="461" t="s">
        <v>151</v>
      </c>
      <c r="AK105" s="298">
        <v>39600</v>
      </c>
      <c r="AL105" s="764"/>
    </row>
    <row r="106" spans="1:38" s="360" customFormat="1" ht="11.25" customHeight="1" x14ac:dyDescent="0.25">
      <c r="A106" s="613">
        <v>95061519</v>
      </c>
      <c r="B106" s="614" t="s">
        <v>169</v>
      </c>
      <c r="C106" s="614" t="s">
        <v>172</v>
      </c>
      <c r="D106" s="361" t="s">
        <v>437</v>
      </c>
      <c r="E106" s="270" t="s">
        <v>435</v>
      </c>
      <c r="F106" s="270" t="s">
        <v>436</v>
      </c>
      <c r="G106" s="295" t="s">
        <v>117</v>
      </c>
      <c r="H106" s="1107">
        <v>43684</v>
      </c>
      <c r="I106" s="295">
        <v>1820</v>
      </c>
      <c r="J106" s="295">
        <v>7</v>
      </c>
      <c r="K106" s="295">
        <v>1840</v>
      </c>
      <c r="L106" s="295">
        <v>7</v>
      </c>
      <c r="M106" s="295">
        <v>2020</v>
      </c>
      <c r="N106" s="639" t="s">
        <v>234</v>
      </c>
      <c r="O106" s="463"/>
      <c r="P106" s="296"/>
      <c r="Q106" s="296"/>
      <c r="R106" s="296"/>
      <c r="S106" s="363"/>
      <c r="T106" s="463"/>
      <c r="U106" s="296">
        <v>2</v>
      </c>
      <c r="V106" s="296">
        <v>1</v>
      </c>
      <c r="W106" s="464"/>
      <c r="X106" s="363"/>
      <c r="Y106" s="463"/>
      <c r="Z106" s="296">
        <v>2</v>
      </c>
      <c r="AA106" s="296">
        <v>1</v>
      </c>
      <c r="AB106" s="296"/>
      <c r="AC106" s="464"/>
      <c r="AD106" s="658">
        <v>3</v>
      </c>
      <c r="AE106" s="622" t="s">
        <v>202</v>
      </c>
      <c r="AF106" s="622" t="s">
        <v>238</v>
      </c>
      <c r="AG106" s="638" t="s">
        <v>115</v>
      </c>
      <c r="AH106" s="676" t="s">
        <v>29</v>
      </c>
      <c r="AI106" s="362" t="s">
        <v>162</v>
      </c>
      <c r="AJ106" s="449" t="s">
        <v>165</v>
      </c>
      <c r="AK106" s="298">
        <v>820</v>
      </c>
      <c r="AL106" s="764"/>
    </row>
    <row r="107" spans="1:38" s="360" customFormat="1" ht="11.25" customHeight="1" x14ac:dyDescent="0.25">
      <c r="A107" s="277">
        <v>96064219</v>
      </c>
      <c r="B107" s="278" t="s">
        <v>221</v>
      </c>
      <c r="C107" s="278" t="s">
        <v>267</v>
      </c>
      <c r="D107" s="361" t="s">
        <v>240</v>
      </c>
      <c r="E107" s="630" t="s">
        <v>458</v>
      </c>
      <c r="F107" s="284" t="s">
        <v>457</v>
      </c>
      <c r="G107" s="295" t="s">
        <v>117</v>
      </c>
      <c r="H107" s="1107">
        <v>43684</v>
      </c>
      <c r="I107" s="295">
        <v>1645</v>
      </c>
      <c r="J107" s="295">
        <v>7</v>
      </c>
      <c r="K107" s="295">
        <v>1845</v>
      </c>
      <c r="L107" s="295">
        <v>7</v>
      </c>
      <c r="M107" s="295">
        <v>2200</v>
      </c>
      <c r="N107" s="767" t="s">
        <v>57</v>
      </c>
      <c r="O107" s="463">
        <v>1.5</v>
      </c>
      <c r="P107" s="296"/>
      <c r="Q107" s="296"/>
      <c r="R107" s="296"/>
      <c r="S107" s="363"/>
      <c r="T107" s="463"/>
      <c r="U107" s="296"/>
      <c r="V107" s="296"/>
      <c r="W107" s="464"/>
      <c r="X107" s="363"/>
      <c r="Y107" s="463">
        <v>1.5</v>
      </c>
      <c r="Z107" s="296"/>
      <c r="AA107" s="296"/>
      <c r="AB107" s="296"/>
      <c r="AC107" s="464"/>
      <c r="AD107" s="658">
        <v>1.5</v>
      </c>
      <c r="AE107" s="622" t="s">
        <v>202</v>
      </c>
      <c r="AF107" s="754" t="s">
        <v>228</v>
      </c>
      <c r="AG107" s="638" t="s">
        <v>115</v>
      </c>
      <c r="AH107" s="305" t="s">
        <v>79</v>
      </c>
      <c r="AI107" s="362" t="s">
        <v>162</v>
      </c>
      <c r="AJ107" s="461" t="s">
        <v>151</v>
      </c>
      <c r="AK107" s="298">
        <v>63880</v>
      </c>
      <c r="AL107" s="363" t="s">
        <v>168</v>
      </c>
    </row>
    <row r="108" spans="1:38" s="360" customFormat="1" ht="12" customHeight="1" x14ac:dyDescent="0.25">
      <c r="A108" s="303">
        <v>97064119</v>
      </c>
      <c r="B108" s="308" t="s">
        <v>282</v>
      </c>
      <c r="C108" s="308" t="s">
        <v>295</v>
      </c>
      <c r="D108" s="361" t="s">
        <v>284</v>
      </c>
      <c r="E108" s="630" t="s">
        <v>522</v>
      </c>
      <c r="F108" s="284" t="s">
        <v>521</v>
      </c>
      <c r="G108" s="284" t="s">
        <v>117</v>
      </c>
      <c r="H108" s="1107">
        <v>43684</v>
      </c>
      <c r="I108" s="295">
        <v>1830</v>
      </c>
      <c r="J108" s="295">
        <v>7</v>
      </c>
      <c r="K108" s="295">
        <v>1900</v>
      </c>
      <c r="L108" s="295">
        <v>8</v>
      </c>
      <c r="M108" s="295">
        <v>300</v>
      </c>
      <c r="N108" s="647" t="s">
        <v>241</v>
      </c>
      <c r="O108" s="463">
        <v>2</v>
      </c>
      <c r="P108" s="296"/>
      <c r="Q108" s="296">
        <v>2</v>
      </c>
      <c r="R108" s="296"/>
      <c r="S108" s="363"/>
      <c r="T108" s="463"/>
      <c r="U108" s="296"/>
      <c r="V108" s="296"/>
      <c r="W108" s="464"/>
      <c r="X108" s="363"/>
      <c r="Y108" s="463">
        <v>2</v>
      </c>
      <c r="Z108" s="296"/>
      <c r="AA108" s="296">
        <v>2</v>
      </c>
      <c r="AB108" s="296"/>
      <c r="AC108" s="464"/>
      <c r="AD108" s="658">
        <v>4</v>
      </c>
      <c r="AE108" s="622" t="s">
        <v>159</v>
      </c>
      <c r="AF108" s="754" t="s">
        <v>159</v>
      </c>
      <c r="AG108" s="638" t="s">
        <v>115</v>
      </c>
      <c r="AH108" s="305" t="s">
        <v>79</v>
      </c>
      <c r="AI108" s="362" t="s">
        <v>162</v>
      </c>
      <c r="AJ108" s="461" t="s">
        <v>216</v>
      </c>
      <c r="AK108" s="298">
        <v>20700</v>
      </c>
      <c r="AL108" s="363" t="s">
        <v>168</v>
      </c>
    </row>
    <row r="109" spans="1:38" s="360" customFormat="1" ht="12.75" customHeight="1" x14ac:dyDescent="0.25">
      <c r="A109" s="642">
        <v>98062019</v>
      </c>
      <c r="B109" s="294" t="s">
        <v>243</v>
      </c>
      <c r="C109" s="294" t="s">
        <v>266</v>
      </c>
      <c r="D109" s="361" t="s">
        <v>303</v>
      </c>
      <c r="E109" s="630" t="s">
        <v>516</v>
      </c>
      <c r="F109" s="284" t="s">
        <v>558</v>
      </c>
      <c r="G109" s="284" t="s">
        <v>117</v>
      </c>
      <c r="H109" s="1107">
        <v>43684</v>
      </c>
      <c r="I109" s="295">
        <v>1130</v>
      </c>
      <c r="J109" s="295">
        <v>7</v>
      </c>
      <c r="K109" s="295">
        <v>1150</v>
      </c>
      <c r="L109" s="295">
        <v>8</v>
      </c>
      <c r="M109" s="295">
        <v>415</v>
      </c>
      <c r="N109" s="632" t="s">
        <v>20</v>
      </c>
      <c r="O109" s="463"/>
      <c r="P109" s="296"/>
      <c r="Q109" s="296">
        <v>40</v>
      </c>
      <c r="R109" s="296"/>
      <c r="S109" s="363"/>
      <c r="T109" s="463"/>
      <c r="U109" s="296"/>
      <c r="V109" s="296">
        <v>4</v>
      </c>
      <c r="W109" s="464"/>
      <c r="X109" s="363">
        <v>1</v>
      </c>
      <c r="Y109" s="463"/>
      <c r="Z109" s="296"/>
      <c r="AA109" s="296">
        <v>44</v>
      </c>
      <c r="AB109" s="296"/>
      <c r="AC109" s="464">
        <v>1</v>
      </c>
      <c r="AD109" s="658">
        <v>45</v>
      </c>
      <c r="AE109" s="622" t="s">
        <v>202</v>
      </c>
      <c r="AF109" s="754" t="s">
        <v>228</v>
      </c>
      <c r="AG109" s="638" t="s">
        <v>115</v>
      </c>
      <c r="AH109" s="640" t="s">
        <v>78</v>
      </c>
      <c r="AI109" s="362" t="s">
        <v>162</v>
      </c>
      <c r="AJ109" s="461" t="s">
        <v>151</v>
      </c>
      <c r="AK109" s="298">
        <v>13300</v>
      </c>
      <c r="AL109" s="764"/>
    </row>
    <row r="110" spans="1:38" s="360" customFormat="1" ht="12" customHeight="1" x14ac:dyDescent="0.25">
      <c r="A110" s="303">
        <v>99064919</v>
      </c>
      <c r="B110" s="650" t="s">
        <v>225</v>
      </c>
      <c r="C110" s="650" t="s">
        <v>226</v>
      </c>
      <c r="D110" s="361" t="s">
        <v>227</v>
      </c>
      <c r="E110" s="749" t="s">
        <v>484</v>
      </c>
      <c r="F110" s="270" t="s">
        <v>485</v>
      </c>
      <c r="G110" s="284" t="s">
        <v>117</v>
      </c>
      <c r="H110" s="1107">
        <v>43683</v>
      </c>
      <c r="I110" s="295">
        <v>1000</v>
      </c>
      <c r="J110" s="295">
        <v>6</v>
      </c>
      <c r="K110" s="295">
        <v>1045</v>
      </c>
      <c r="L110" s="295">
        <v>8</v>
      </c>
      <c r="M110" s="295">
        <v>315</v>
      </c>
      <c r="N110" s="647" t="s">
        <v>371</v>
      </c>
      <c r="O110" s="463">
        <v>70</v>
      </c>
      <c r="P110" s="296"/>
      <c r="Q110" s="296">
        <v>150</v>
      </c>
      <c r="R110" s="296"/>
      <c r="S110" s="363"/>
      <c r="T110" s="463"/>
      <c r="U110" s="296"/>
      <c r="V110" s="296">
        <v>133</v>
      </c>
      <c r="W110" s="464"/>
      <c r="X110" s="363">
        <v>15</v>
      </c>
      <c r="Y110" s="463">
        <v>70</v>
      </c>
      <c r="Z110" s="296"/>
      <c r="AA110" s="296">
        <v>283</v>
      </c>
      <c r="AB110" s="296"/>
      <c r="AC110" s="464">
        <v>15</v>
      </c>
      <c r="AD110" s="658">
        <v>368</v>
      </c>
      <c r="AE110" s="623" t="s">
        <v>202</v>
      </c>
      <c r="AF110" s="759" t="s">
        <v>228</v>
      </c>
      <c r="AG110" s="638" t="s">
        <v>115</v>
      </c>
      <c r="AH110" s="305" t="s">
        <v>79</v>
      </c>
      <c r="AI110" s="362" t="s">
        <v>294</v>
      </c>
      <c r="AJ110" s="449" t="s">
        <v>165</v>
      </c>
      <c r="AK110" s="298">
        <v>7284900</v>
      </c>
      <c r="AL110" s="363" t="s">
        <v>168</v>
      </c>
    </row>
    <row r="111" spans="1:38" s="360" customFormat="1" ht="11.25" customHeight="1" x14ac:dyDescent="0.25">
      <c r="A111" s="303">
        <v>100064920</v>
      </c>
      <c r="B111" s="650" t="s">
        <v>225</v>
      </c>
      <c r="C111" s="650" t="s">
        <v>226</v>
      </c>
      <c r="D111" s="361" t="s">
        <v>372</v>
      </c>
      <c r="E111" s="749" t="s">
        <v>486</v>
      </c>
      <c r="F111" s="270" t="s">
        <v>487</v>
      </c>
      <c r="G111" s="284" t="s">
        <v>117</v>
      </c>
      <c r="H111" s="1107">
        <v>43684</v>
      </c>
      <c r="I111" s="295">
        <v>900</v>
      </c>
      <c r="J111" s="295">
        <v>7</v>
      </c>
      <c r="K111" s="295">
        <v>1000</v>
      </c>
      <c r="L111" s="295">
        <v>8</v>
      </c>
      <c r="M111" s="295">
        <v>430</v>
      </c>
      <c r="N111" s="647" t="s">
        <v>241</v>
      </c>
      <c r="O111" s="463"/>
      <c r="P111" s="296">
        <v>20</v>
      </c>
      <c r="Q111" s="296">
        <v>43</v>
      </c>
      <c r="R111" s="296"/>
      <c r="S111" s="363"/>
      <c r="T111" s="463"/>
      <c r="U111" s="296"/>
      <c r="V111" s="296"/>
      <c r="W111" s="464"/>
      <c r="X111" s="363">
        <v>4</v>
      </c>
      <c r="Y111" s="463"/>
      <c r="Z111" s="296">
        <v>20</v>
      </c>
      <c r="AA111" s="296">
        <v>43</v>
      </c>
      <c r="AB111" s="296"/>
      <c r="AC111" s="464">
        <v>4</v>
      </c>
      <c r="AD111" s="658">
        <v>67</v>
      </c>
      <c r="AE111" s="623" t="s">
        <v>202</v>
      </c>
      <c r="AF111" s="759" t="s">
        <v>228</v>
      </c>
      <c r="AG111" s="638" t="s">
        <v>115</v>
      </c>
      <c r="AH111" s="305" t="s">
        <v>79</v>
      </c>
      <c r="AI111" s="362" t="s">
        <v>294</v>
      </c>
      <c r="AJ111" s="449" t="s">
        <v>165</v>
      </c>
      <c r="AK111" s="298">
        <v>576900</v>
      </c>
      <c r="AL111" s="363" t="s">
        <v>168</v>
      </c>
    </row>
    <row r="112" spans="1:38" s="360" customFormat="1" ht="12" customHeight="1" x14ac:dyDescent="0.25">
      <c r="A112" s="642">
        <v>101062419</v>
      </c>
      <c r="B112" s="278" t="s">
        <v>213</v>
      </c>
      <c r="C112" s="294" t="s">
        <v>213</v>
      </c>
      <c r="D112" s="361" t="s">
        <v>240</v>
      </c>
      <c r="E112" s="638" t="s">
        <v>570</v>
      </c>
      <c r="F112" s="638" t="s">
        <v>432</v>
      </c>
      <c r="G112" s="295" t="s">
        <v>367</v>
      </c>
      <c r="H112" s="1107">
        <v>43683</v>
      </c>
      <c r="I112" s="295">
        <v>600</v>
      </c>
      <c r="J112" s="295">
        <v>6</v>
      </c>
      <c r="K112" s="295">
        <v>630</v>
      </c>
      <c r="L112" s="295">
        <v>8</v>
      </c>
      <c r="M112" s="295">
        <v>1300</v>
      </c>
      <c r="N112" s="632" t="s">
        <v>20</v>
      </c>
      <c r="O112" s="463"/>
      <c r="P112" s="296"/>
      <c r="Q112" s="296">
        <v>20</v>
      </c>
      <c r="R112" s="296"/>
      <c r="S112" s="363"/>
      <c r="T112" s="463"/>
      <c r="U112" s="296"/>
      <c r="V112" s="296">
        <v>70</v>
      </c>
      <c r="W112" s="464"/>
      <c r="X112" s="363"/>
      <c r="Y112" s="463"/>
      <c r="Z112" s="296"/>
      <c r="AA112" s="296">
        <v>90</v>
      </c>
      <c r="AB112" s="296"/>
      <c r="AC112" s="464"/>
      <c r="AD112" s="658">
        <v>90</v>
      </c>
      <c r="AE112" s="623" t="s">
        <v>202</v>
      </c>
      <c r="AF112" s="759" t="s">
        <v>228</v>
      </c>
      <c r="AG112" s="638" t="s">
        <v>115</v>
      </c>
      <c r="AH112" s="305" t="s">
        <v>94</v>
      </c>
      <c r="AI112" s="362" t="s">
        <v>294</v>
      </c>
      <c r="AJ112" s="449" t="s">
        <v>156</v>
      </c>
      <c r="AK112" s="765">
        <v>27000</v>
      </c>
      <c r="AL112" s="764" t="s">
        <v>168</v>
      </c>
    </row>
    <row r="113" spans="1:38" s="360" customFormat="1" ht="10.5" x14ac:dyDescent="0.25">
      <c r="A113" s="309">
        <v>102061519</v>
      </c>
      <c r="B113" s="310" t="s">
        <v>169</v>
      </c>
      <c r="C113" s="310" t="s">
        <v>170</v>
      </c>
      <c r="D113" s="361" t="s">
        <v>248</v>
      </c>
      <c r="E113" s="270" t="s">
        <v>433</v>
      </c>
      <c r="F113" s="270" t="s">
        <v>434</v>
      </c>
      <c r="G113" s="295" t="s">
        <v>117</v>
      </c>
      <c r="H113" s="1107">
        <v>43685</v>
      </c>
      <c r="I113" s="295">
        <v>1540</v>
      </c>
      <c r="J113" s="295">
        <v>8</v>
      </c>
      <c r="K113" s="295">
        <v>1600</v>
      </c>
      <c r="L113" s="295">
        <v>8</v>
      </c>
      <c r="M113" s="295">
        <v>2200</v>
      </c>
      <c r="N113" s="639" t="s">
        <v>234</v>
      </c>
      <c r="O113" s="463"/>
      <c r="P113" s="296"/>
      <c r="Q113" s="296"/>
      <c r="R113" s="296"/>
      <c r="S113" s="363"/>
      <c r="T113" s="463"/>
      <c r="U113" s="296">
        <v>2</v>
      </c>
      <c r="V113" s="296">
        <v>2</v>
      </c>
      <c r="W113" s="464"/>
      <c r="X113" s="363">
        <v>1</v>
      </c>
      <c r="Y113" s="463"/>
      <c r="Z113" s="296">
        <v>2</v>
      </c>
      <c r="AA113" s="296">
        <v>2</v>
      </c>
      <c r="AB113" s="296"/>
      <c r="AC113" s="464">
        <v>1</v>
      </c>
      <c r="AD113" s="658">
        <v>5</v>
      </c>
      <c r="AE113" s="622" t="s">
        <v>202</v>
      </c>
      <c r="AF113" s="622" t="s">
        <v>259</v>
      </c>
      <c r="AG113" s="638" t="s">
        <v>115</v>
      </c>
      <c r="AH113" s="305" t="s">
        <v>80</v>
      </c>
      <c r="AI113" s="362" t="s">
        <v>179</v>
      </c>
      <c r="AJ113" s="449" t="s">
        <v>156</v>
      </c>
      <c r="AK113" s="765">
        <v>120820</v>
      </c>
      <c r="AL113" s="764"/>
    </row>
    <row r="114" spans="1:38" s="360" customFormat="1" ht="10.5" x14ac:dyDescent="0.25">
      <c r="A114" s="309">
        <v>103064519</v>
      </c>
      <c r="B114" s="310" t="s">
        <v>373</v>
      </c>
      <c r="C114" s="310" t="s">
        <v>374</v>
      </c>
      <c r="D114" s="361" t="s">
        <v>375</v>
      </c>
      <c r="E114" s="630" t="s">
        <v>524</v>
      </c>
      <c r="F114" s="284" t="s">
        <v>523</v>
      </c>
      <c r="G114" s="284" t="s">
        <v>117</v>
      </c>
      <c r="H114" s="1107">
        <v>43685</v>
      </c>
      <c r="I114" s="295">
        <v>1300</v>
      </c>
      <c r="J114" s="295">
        <v>8</v>
      </c>
      <c r="K114" s="295">
        <v>1330</v>
      </c>
      <c r="L114" s="295">
        <v>8</v>
      </c>
      <c r="M114" s="295">
        <v>2215</v>
      </c>
      <c r="N114" s="639" t="s">
        <v>19</v>
      </c>
      <c r="O114" s="463"/>
      <c r="P114" s="296">
        <v>40</v>
      </c>
      <c r="Q114" s="296"/>
      <c r="R114" s="296"/>
      <c r="S114" s="363"/>
      <c r="T114" s="463"/>
      <c r="U114" s="296"/>
      <c r="V114" s="296"/>
      <c r="W114" s="464"/>
      <c r="X114" s="363">
        <v>7</v>
      </c>
      <c r="Y114" s="463"/>
      <c r="Z114" s="296">
        <v>40</v>
      </c>
      <c r="AA114" s="296"/>
      <c r="AB114" s="296"/>
      <c r="AC114" s="464">
        <v>7</v>
      </c>
      <c r="AD114" s="658">
        <v>47</v>
      </c>
      <c r="AE114" s="623" t="s">
        <v>202</v>
      </c>
      <c r="AF114" s="759" t="s">
        <v>228</v>
      </c>
      <c r="AG114" s="638" t="s">
        <v>115</v>
      </c>
      <c r="AH114" s="676" t="s">
        <v>29</v>
      </c>
      <c r="AI114" s="362" t="s">
        <v>179</v>
      </c>
      <c r="AJ114" s="461" t="s">
        <v>151</v>
      </c>
      <c r="AK114" s="765">
        <v>843900</v>
      </c>
      <c r="AL114" s="764" t="s">
        <v>168</v>
      </c>
    </row>
    <row r="115" spans="1:38" s="360" customFormat="1" ht="10.5" x14ac:dyDescent="0.25">
      <c r="A115" s="303">
        <v>104060819</v>
      </c>
      <c r="B115" s="308" t="s">
        <v>282</v>
      </c>
      <c r="C115" s="308" t="s">
        <v>282</v>
      </c>
      <c r="D115" s="361" t="s">
        <v>377</v>
      </c>
      <c r="E115" s="630" t="s">
        <v>526</v>
      </c>
      <c r="F115" s="284" t="s">
        <v>525</v>
      </c>
      <c r="G115" s="284" t="s">
        <v>117</v>
      </c>
      <c r="H115" s="1107">
        <v>43686</v>
      </c>
      <c r="I115" s="295">
        <v>1230</v>
      </c>
      <c r="J115" s="295">
        <v>9</v>
      </c>
      <c r="K115" s="295">
        <v>1300</v>
      </c>
      <c r="L115" s="295">
        <v>9</v>
      </c>
      <c r="M115" s="295">
        <v>1545</v>
      </c>
      <c r="N115" s="632" t="s">
        <v>20</v>
      </c>
      <c r="O115" s="463"/>
      <c r="P115" s="296"/>
      <c r="Q115" s="296"/>
      <c r="R115" s="296"/>
      <c r="S115" s="363"/>
      <c r="T115" s="463"/>
      <c r="U115" s="296"/>
      <c r="V115" s="296">
        <v>1.5</v>
      </c>
      <c r="W115" s="464"/>
      <c r="X115" s="363"/>
      <c r="Y115" s="463"/>
      <c r="Z115" s="296"/>
      <c r="AA115" s="296">
        <v>1.5</v>
      </c>
      <c r="AB115" s="296"/>
      <c r="AC115" s="464"/>
      <c r="AD115" s="658">
        <v>1.5</v>
      </c>
      <c r="AE115" s="622" t="s">
        <v>202</v>
      </c>
      <c r="AF115" s="622" t="s">
        <v>238</v>
      </c>
      <c r="AG115" s="638" t="s">
        <v>115</v>
      </c>
      <c r="AH115" s="676" t="s">
        <v>29</v>
      </c>
      <c r="AI115" s="362" t="s">
        <v>179</v>
      </c>
      <c r="AJ115" s="461" t="s">
        <v>151</v>
      </c>
      <c r="AK115" s="765">
        <v>450</v>
      </c>
      <c r="AL115" s="764"/>
    </row>
    <row r="116" spans="1:38" s="360" customFormat="1" ht="10.5" x14ac:dyDescent="0.25">
      <c r="A116" s="642">
        <v>105062019</v>
      </c>
      <c r="B116" s="278" t="s">
        <v>243</v>
      </c>
      <c r="C116" s="294" t="s">
        <v>243</v>
      </c>
      <c r="D116" s="361" t="s">
        <v>552</v>
      </c>
      <c r="E116" s="630" t="s">
        <v>528</v>
      </c>
      <c r="F116" s="284" t="s">
        <v>527</v>
      </c>
      <c r="G116" s="284" t="s">
        <v>117</v>
      </c>
      <c r="H116" s="1107">
        <v>43686</v>
      </c>
      <c r="I116" s="295">
        <v>1435</v>
      </c>
      <c r="J116" s="295">
        <v>9</v>
      </c>
      <c r="K116" s="295">
        <v>1445</v>
      </c>
      <c r="L116" s="295">
        <v>9</v>
      </c>
      <c r="M116" s="295">
        <v>2330</v>
      </c>
      <c r="N116" s="639" t="s">
        <v>19</v>
      </c>
      <c r="O116" s="463"/>
      <c r="P116" s="296">
        <v>6</v>
      </c>
      <c r="Q116" s="296"/>
      <c r="R116" s="296"/>
      <c r="S116" s="363"/>
      <c r="T116" s="463"/>
      <c r="U116" s="296"/>
      <c r="V116" s="296"/>
      <c r="W116" s="464"/>
      <c r="X116" s="363"/>
      <c r="Y116" s="463"/>
      <c r="Z116" s="296">
        <v>6</v>
      </c>
      <c r="AA116" s="296"/>
      <c r="AB116" s="296"/>
      <c r="AC116" s="464"/>
      <c r="AD116" s="658">
        <v>6</v>
      </c>
      <c r="AE116" s="623" t="s">
        <v>202</v>
      </c>
      <c r="AF116" s="759" t="s">
        <v>228</v>
      </c>
      <c r="AG116" s="638" t="s">
        <v>115</v>
      </c>
      <c r="AH116" s="305" t="s">
        <v>79</v>
      </c>
      <c r="AI116" s="362" t="s">
        <v>179</v>
      </c>
      <c r="AJ116" s="449" t="s">
        <v>156</v>
      </c>
      <c r="AK116" s="765">
        <v>3624</v>
      </c>
      <c r="AL116" s="764" t="s">
        <v>168</v>
      </c>
    </row>
    <row r="117" spans="1:38" s="360" customFormat="1" ht="10.5" x14ac:dyDescent="0.25">
      <c r="A117" s="303">
        <v>106060819</v>
      </c>
      <c r="B117" s="308" t="s">
        <v>282</v>
      </c>
      <c r="C117" s="308" t="s">
        <v>282</v>
      </c>
      <c r="D117" s="361" t="s">
        <v>553</v>
      </c>
      <c r="E117" s="630" t="s">
        <v>534</v>
      </c>
      <c r="F117" s="284" t="s">
        <v>533</v>
      </c>
      <c r="G117" s="284" t="s">
        <v>117</v>
      </c>
      <c r="H117" s="1107">
        <v>43687</v>
      </c>
      <c r="I117" s="295">
        <v>1400</v>
      </c>
      <c r="J117" s="295">
        <v>10</v>
      </c>
      <c r="K117" s="295">
        <v>1430</v>
      </c>
      <c r="L117" s="295">
        <v>10</v>
      </c>
      <c r="M117" s="295">
        <v>1630</v>
      </c>
      <c r="N117" s="768"/>
      <c r="O117" s="463"/>
      <c r="P117" s="296"/>
      <c r="Q117" s="296"/>
      <c r="R117" s="296"/>
      <c r="S117" s="363"/>
      <c r="T117" s="463"/>
      <c r="U117" s="296"/>
      <c r="V117" s="296"/>
      <c r="W117" s="464"/>
      <c r="X117" s="363">
        <v>1</v>
      </c>
      <c r="Y117" s="463"/>
      <c r="Z117" s="296"/>
      <c r="AA117" s="296"/>
      <c r="AB117" s="296"/>
      <c r="AC117" s="464">
        <v>1</v>
      </c>
      <c r="AD117" s="658">
        <v>1</v>
      </c>
      <c r="AE117" s="622" t="s">
        <v>202</v>
      </c>
      <c r="AF117" s="622" t="s">
        <v>238</v>
      </c>
      <c r="AG117" s="638" t="s">
        <v>115</v>
      </c>
      <c r="AH117" s="305" t="s">
        <v>79</v>
      </c>
      <c r="AI117" s="362" t="s">
        <v>179</v>
      </c>
      <c r="AJ117" s="449" t="s">
        <v>156</v>
      </c>
      <c r="AK117" s="765">
        <v>120000</v>
      </c>
      <c r="AL117" s="764"/>
    </row>
    <row r="118" spans="1:38" s="360" customFormat="1" ht="10.5" x14ac:dyDescent="0.25">
      <c r="A118" s="303">
        <v>107064119</v>
      </c>
      <c r="B118" s="308" t="s">
        <v>282</v>
      </c>
      <c r="C118" s="308" t="s">
        <v>295</v>
      </c>
      <c r="D118" s="361" t="s">
        <v>378</v>
      </c>
      <c r="E118" s="630" t="s">
        <v>530</v>
      </c>
      <c r="F118" s="284" t="s">
        <v>529</v>
      </c>
      <c r="G118" s="284" t="s">
        <v>117</v>
      </c>
      <c r="H118" s="1107">
        <v>43686</v>
      </c>
      <c r="I118" s="295">
        <v>2110</v>
      </c>
      <c r="J118" s="295">
        <v>9</v>
      </c>
      <c r="K118" s="295">
        <v>2130</v>
      </c>
      <c r="L118" s="295">
        <v>10</v>
      </c>
      <c r="M118" s="295">
        <v>1800</v>
      </c>
      <c r="N118" s="647" t="s">
        <v>241</v>
      </c>
      <c r="O118" s="463">
        <v>2</v>
      </c>
      <c r="P118" s="296"/>
      <c r="Q118" s="296">
        <v>2</v>
      </c>
      <c r="R118" s="296"/>
      <c r="S118" s="363"/>
      <c r="T118" s="463"/>
      <c r="U118" s="296"/>
      <c r="V118" s="296"/>
      <c r="W118" s="464"/>
      <c r="X118" s="363"/>
      <c r="Y118" s="463">
        <v>2</v>
      </c>
      <c r="Z118" s="296"/>
      <c r="AA118" s="296">
        <v>2</v>
      </c>
      <c r="AB118" s="296"/>
      <c r="AC118" s="464"/>
      <c r="AD118" s="658">
        <v>4</v>
      </c>
      <c r="AE118" s="623" t="s">
        <v>202</v>
      </c>
      <c r="AF118" s="759" t="s">
        <v>228</v>
      </c>
      <c r="AG118" s="638" t="s">
        <v>115</v>
      </c>
      <c r="AH118" s="305" t="s">
        <v>79</v>
      </c>
      <c r="AI118" s="362" t="s">
        <v>179</v>
      </c>
      <c r="AJ118" s="461" t="s">
        <v>216</v>
      </c>
      <c r="AK118" s="765">
        <v>624</v>
      </c>
      <c r="AL118" s="764" t="s">
        <v>168</v>
      </c>
    </row>
    <row r="119" spans="1:38" s="360" customFormat="1" ht="10.5" x14ac:dyDescent="0.25">
      <c r="A119" s="303">
        <v>108064119</v>
      </c>
      <c r="B119" s="308" t="s">
        <v>282</v>
      </c>
      <c r="C119" s="308" t="s">
        <v>295</v>
      </c>
      <c r="D119" s="361" t="s">
        <v>365</v>
      </c>
      <c r="E119" s="630" t="s">
        <v>535</v>
      </c>
      <c r="F119" s="284" t="s">
        <v>559</v>
      </c>
      <c r="G119" s="284" t="s">
        <v>117</v>
      </c>
      <c r="H119" s="1107">
        <v>43687</v>
      </c>
      <c r="I119" s="295">
        <v>1745</v>
      </c>
      <c r="J119" s="295">
        <v>10</v>
      </c>
      <c r="K119" s="295">
        <v>1810</v>
      </c>
      <c r="L119" s="295">
        <v>10</v>
      </c>
      <c r="M119" s="295">
        <v>1945</v>
      </c>
      <c r="N119" s="639" t="s">
        <v>234</v>
      </c>
      <c r="O119" s="463"/>
      <c r="P119" s="296">
        <v>1</v>
      </c>
      <c r="Q119" s="296">
        <v>4</v>
      </c>
      <c r="R119" s="296"/>
      <c r="S119" s="363"/>
      <c r="T119" s="463"/>
      <c r="U119" s="296"/>
      <c r="V119" s="296"/>
      <c r="W119" s="464"/>
      <c r="X119" s="363"/>
      <c r="Y119" s="463"/>
      <c r="Z119" s="296">
        <v>1</v>
      </c>
      <c r="AA119" s="296">
        <v>4</v>
      </c>
      <c r="AB119" s="296"/>
      <c r="AC119" s="464"/>
      <c r="AD119" s="658">
        <v>5</v>
      </c>
      <c r="AE119" s="622" t="s">
        <v>202</v>
      </c>
      <c r="AF119" s="622" t="s">
        <v>238</v>
      </c>
      <c r="AG119" s="638" t="s">
        <v>115</v>
      </c>
      <c r="AH119" s="305" t="s">
        <v>79</v>
      </c>
      <c r="AI119" s="362" t="s">
        <v>179</v>
      </c>
      <c r="AJ119" s="449" t="s">
        <v>156</v>
      </c>
      <c r="AK119" s="765">
        <v>6000</v>
      </c>
      <c r="AL119" s="764" t="s">
        <v>168</v>
      </c>
    </row>
    <row r="120" spans="1:38" s="360" customFormat="1" ht="10.5" x14ac:dyDescent="0.25">
      <c r="A120" s="303">
        <v>109064119</v>
      </c>
      <c r="B120" s="308" t="s">
        <v>282</v>
      </c>
      <c r="C120" s="308" t="s">
        <v>295</v>
      </c>
      <c r="D120" s="361" t="s">
        <v>365</v>
      </c>
      <c r="E120" s="630" t="s">
        <v>532</v>
      </c>
      <c r="F120" s="284" t="s">
        <v>531</v>
      </c>
      <c r="G120" s="284" t="s">
        <v>117</v>
      </c>
      <c r="H120" s="1107">
        <v>43687</v>
      </c>
      <c r="I120" s="295">
        <v>815</v>
      </c>
      <c r="J120" s="295">
        <v>10</v>
      </c>
      <c r="K120" s="295">
        <v>830</v>
      </c>
      <c r="L120" s="295">
        <v>11</v>
      </c>
      <c r="M120" s="295">
        <v>2000</v>
      </c>
      <c r="N120" s="639" t="s">
        <v>252</v>
      </c>
      <c r="O120" s="463" t="s">
        <v>26</v>
      </c>
      <c r="P120" s="296">
        <v>3</v>
      </c>
      <c r="Q120" s="296"/>
      <c r="R120" s="296"/>
      <c r="S120" s="363"/>
      <c r="T120" s="463"/>
      <c r="U120" s="296"/>
      <c r="V120" s="296"/>
      <c r="W120" s="464"/>
      <c r="X120" s="363"/>
      <c r="Y120" s="463">
        <v>6</v>
      </c>
      <c r="Z120" s="296">
        <v>3</v>
      </c>
      <c r="AA120" s="296"/>
      <c r="AB120" s="296"/>
      <c r="AC120" s="464"/>
      <c r="AD120" s="658">
        <v>9</v>
      </c>
      <c r="AE120" s="623" t="s">
        <v>202</v>
      </c>
      <c r="AF120" s="759" t="s">
        <v>228</v>
      </c>
      <c r="AG120" s="638" t="s">
        <v>115</v>
      </c>
      <c r="AH120" s="640" t="s">
        <v>78</v>
      </c>
      <c r="AI120" s="362" t="s">
        <v>179</v>
      </c>
      <c r="AJ120" s="461" t="s">
        <v>151</v>
      </c>
      <c r="AK120" s="765">
        <v>3648</v>
      </c>
      <c r="AL120" s="764" t="s">
        <v>168</v>
      </c>
    </row>
    <row r="121" spans="1:38" s="360" customFormat="1" ht="10.5" x14ac:dyDescent="0.25">
      <c r="A121" s="303">
        <v>110064119</v>
      </c>
      <c r="B121" s="308" t="s">
        <v>282</v>
      </c>
      <c r="C121" s="308" t="s">
        <v>295</v>
      </c>
      <c r="D121" s="361" t="s">
        <v>378</v>
      </c>
      <c r="E121" s="630" t="s">
        <v>539</v>
      </c>
      <c r="F121" s="284" t="s">
        <v>538</v>
      </c>
      <c r="G121" s="284" t="s">
        <v>117</v>
      </c>
      <c r="H121" s="1107">
        <v>43688</v>
      </c>
      <c r="I121" s="295">
        <v>1900</v>
      </c>
      <c r="J121" s="295">
        <v>11</v>
      </c>
      <c r="K121" s="295">
        <v>1930</v>
      </c>
      <c r="L121" s="295">
        <v>12</v>
      </c>
      <c r="M121" s="295">
        <v>600</v>
      </c>
      <c r="N121" s="647" t="s">
        <v>241</v>
      </c>
      <c r="O121" s="463">
        <v>8</v>
      </c>
      <c r="P121" s="296">
        <v>6</v>
      </c>
      <c r="Q121" s="296">
        <v>6</v>
      </c>
      <c r="R121" s="296"/>
      <c r="S121" s="363"/>
      <c r="T121" s="463"/>
      <c r="U121" s="296"/>
      <c r="V121" s="296"/>
      <c r="W121" s="464"/>
      <c r="X121" s="363"/>
      <c r="Y121" s="463">
        <v>8</v>
      </c>
      <c r="Z121" s="296">
        <v>6</v>
      </c>
      <c r="AA121" s="296">
        <v>6</v>
      </c>
      <c r="AB121" s="296"/>
      <c r="AC121" s="464"/>
      <c r="AD121" s="658">
        <v>20</v>
      </c>
      <c r="AE121" s="623" t="s">
        <v>202</v>
      </c>
      <c r="AF121" s="759" t="s">
        <v>228</v>
      </c>
      <c r="AG121" s="638" t="s">
        <v>115</v>
      </c>
      <c r="AH121" s="305" t="s">
        <v>79</v>
      </c>
      <c r="AI121" s="362" t="s">
        <v>179</v>
      </c>
      <c r="AJ121" s="449" t="s">
        <v>299</v>
      </c>
      <c r="AK121" s="298">
        <v>8864</v>
      </c>
      <c r="AL121" s="363" t="s">
        <v>168</v>
      </c>
    </row>
    <row r="122" spans="1:38" s="360" customFormat="1" ht="10.5" x14ac:dyDescent="0.25">
      <c r="A122" s="303">
        <v>111062019</v>
      </c>
      <c r="B122" s="278" t="s">
        <v>243</v>
      </c>
      <c r="C122" s="294" t="s">
        <v>243</v>
      </c>
      <c r="D122" s="361" t="s">
        <v>244</v>
      </c>
      <c r="E122" s="630" t="s">
        <v>537</v>
      </c>
      <c r="F122" s="284" t="s">
        <v>536</v>
      </c>
      <c r="G122" s="284" t="s">
        <v>117</v>
      </c>
      <c r="H122" s="1107">
        <v>43688</v>
      </c>
      <c r="I122" s="295">
        <v>1500</v>
      </c>
      <c r="J122" s="295">
        <v>11</v>
      </c>
      <c r="K122" s="295">
        <v>1530</v>
      </c>
      <c r="L122" s="295">
        <v>12</v>
      </c>
      <c r="M122" s="295">
        <v>900</v>
      </c>
      <c r="N122" s="647" t="s">
        <v>241</v>
      </c>
      <c r="O122" s="463">
        <v>15</v>
      </c>
      <c r="P122" s="296"/>
      <c r="Q122" s="296">
        <v>45</v>
      </c>
      <c r="R122" s="296"/>
      <c r="S122" s="363"/>
      <c r="T122" s="463"/>
      <c r="U122" s="296"/>
      <c r="V122" s="296"/>
      <c r="W122" s="464"/>
      <c r="X122" s="363"/>
      <c r="Y122" s="463">
        <v>15</v>
      </c>
      <c r="Z122" s="296"/>
      <c r="AA122" s="296">
        <v>45</v>
      </c>
      <c r="AB122" s="296"/>
      <c r="AC122" s="464"/>
      <c r="AD122" s="658">
        <v>60</v>
      </c>
      <c r="AE122" s="623" t="s">
        <v>202</v>
      </c>
      <c r="AF122" s="759" t="s">
        <v>228</v>
      </c>
      <c r="AG122" s="638" t="s">
        <v>115</v>
      </c>
      <c r="AH122" s="305" t="s">
        <v>79</v>
      </c>
      <c r="AI122" s="362" t="s">
        <v>179</v>
      </c>
      <c r="AJ122" s="449" t="s">
        <v>299</v>
      </c>
      <c r="AK122" s="298">
        <v>18348</v>
      </c>
      <c r="AL122" s="363" t="s">
        <v>168</v>
      </c>
    </row>
    <row r="123" spans="1:38" s="360" customFormat="1" ht="11.25" customHeight="1" x14ac:dyDescent="0.25">
      <c r="A123" s="303">
        <v>112060119</v>
      </c>
      <c r="B123" s="365" t="s">
        <v>300</v>
      </c>
      <c r="C123" s="310" t="s">
        <v>300</v>
      </c>
      <c r="D123" s="361" t="s">
        <v>579</v>
      </c>
      <c r="E123" s="749" t="s">
        <v>488</v>
      </c>
      <c r="F123" s="270" t="s">
        <v>489</v>
      </c>
      <c r="G123" s="284" t="s">
        <v>117</v>
      </c>
      <c r="H123" s="1107">
        <v>43689</v>
      </c>
      <c r="I123" s="295">
        <v>920</v>
      </c>
      <c r="J123" s="295">
        <v>12</v>
      </c>
      <c r="K123" s="295">
        <v>1000</v>
      </c>
      <c r="L123" s="295">
        <v>12</v>
      </c>
      <c r="M123" s="295">
        <v>1130</v>
      </c>
      <c r="N123" s="632" t="s">
        <v>20</v>
      </c>
      <c r="O123" s="463"/>
      <c r="P123" s="296"/>
      <c r="Q123" s="296"/>
      <c r="R123" s="296"/>
      <c r="S123" s="363"/>
      <c r="T123" s="463"/>
      <c r="U123" s="296"/>
      <c r="V123" s="296">
        <v>2</v>
      </c>
      <c r="W123" s="464"/>
      <c r="X123" s="363"/>
      <c r="Y123" s="463"/>
      <c r="Z123" s="296"/>
      <c r="AA123" s="296">
        <v>2</v>
      </c>
      <c r="AB123" s="296"/>
      <c r="AC123" s="464"/>
      <c r="AD123" s="658">
        <v>2</v>
      </c>
      <c r="AE123" s="622" t="s">
        <v>202</v>
      </c>
      <c r="AF123" s="754" t="s">
        <v>238</v>
      </c>
      <c r="AG123" s="638" t="s">
        <v>114</v>
      </c>
      <c r="AH123" s="305" t="s">
        <v>79</v>
      </c>
      <c r="AI123" s="362" t="s">
        <v>162</v>
      </c>
      <c r="AJ123" s="449" t="s">
        <v>156</v>
      </c>
      <c r="AK123" s="298">
        <v>600</v>
      </c>
      <c r="AL123" s="363"/>
    </row>
    <row r="124" spans="1:38" s="360" customFormat="1" ht="10.5" x14ac:dyDescent="0.25">
      <c r="A124" s="769">
        <v>113062419</v>
      </c>
      <c r="B124" s="278" t="s">
        <v>213</v>
      </c>
      <c r="C124" s="294" t="s">
        <v>213</v>
      </c>
      <c r="D124" s="361" t="s">
        <v>240</v>
      </c>
      <c r="E124" s="748" t="s">
        <v>569</v>
      </c>
      <c r="F124" s="638" t="s">
        <v>431</v>
      </c>
      <c r="G124" s="295" t="s">
        <v>367</v>
      </c>
      <c r="H124" s="1107">
        <v>43686</v>
      </c>
      <c r="I124" s="295">
        <v>900</v>
      </c>
      <c r="J124" s="295">
        <v>9</v>
      </c>
      <c r="K124" s="295">
        <v>945</v>
      </c>
      <c r="L124" s="295">
        <v>12</v>
      </c>
      <c r="M124" s="295">
        <v>1330</v>
      </c>
      <c r="N124" s="632" t="s">
        <v>20</v>
      </c>
      <c r="O124" s="463"/>
      <c r="P124" s="296"/>
      <c r="Q124" s="296">
        <v>15</v>
      </c>
      <c r="R124" s="296"/>
      <c r="S124" s="363"/>
      <c r="T124" s="463"/>
      <c r="U124" s="296"/>
      <c r="V124" s="296"/>
      <c r="W124" s="464"/>
      <c r="X124" s="363"/>
      <c r="Y124" s="463"/>
      <c r="Z124" s="296"/>
      <c r="AA124" s="296">
        <v>15</v>
      </c>
      <c r="AB124" s="296"/>
      <c r="AC124" s="464"/>
      <c r="AD124" s="658">
        <v>15</v>
      </c>
      <c r="AE124" s="623" t="s">
        <v>202</v>
      </c>
      <c r="AF124" s="759" t="s">
        <v>228</v>
      </c>
      <c r="AG124" s="638" t="s">
        <v>115</v>
      </c>
      <c r="AH124" s="676" t="s">
        <v>29</v>
      </c>
      <c r="AI124" s="362" t="s">
        <v>179</v>
      </c>
      <c r="AJ124" s="461" t="s">
        <v>151</v>
      </c>
      <c r="AK124" s="298">
        <v>4500</v>
      </c>
      <c r="AL124" s="363" t="s">
        <v>168</v>
      </c>
    </row>
    <row r="125" spans="1:38" s="360" customFormat="1" ht="10.5" x14ac:dyDescent="0.25">
      <c r="A125" s="769">
        <v>114061319</v>
      </c>
      <c r="B125" s="648" t="s">
        <v>167</v>
      </c>
      <c r="C125" s="648" t="s">
        <v>262</v>
      </c>
      <c r="D125" s="361" t="s">
        <v>454</v>
      </c>
      <c r="E125" s="270" t="s">
        <v>447</v>
      </c>
      <c r="F125" s="270" t="s">
        <v>448</v>
      </c>
      <c r="G125" s="295" t="s">
        <v>367</v>
      </c>
      <c r="H125" s="1107">
        <v>43689</v>
      </c>
      <c r="I125" s="295">
        <v>1700</v>
      </c>
      <c r="J125" s="295">
        <v>12</v>
      </c>
      <c r="K125" s="295">
        <v>1820</v>
      </c>
      <c r="L125" s="295">
        <v>12</v>
      </c>
      <c r="M125" s="295">
        <v>1945</v>
      </c>
      <c r="N125" s="632" t="s">
        <v>20</v>
      </c>
      <c r="O125" s="463"/>
      <c r="P125" s="296"/>
      <c r="Q125" s="296"/>
      <c r="R125" s="296"/>
      <c r="S125" s="363"/>
      <c r="T125" s="463"/>
      <c r="U125" s="296"/>
      <c r="V125" s="296">
        <v>6</v>
      </c>
      <c r="W125" s="464"/>
      <c r="X125" s="363"/>
      <c r="Y125" s="463"/>
      <c r="Z125" s="296"/>
      <c r="AA125" s="296">
        <v>6</v>
      </c>
      <c r="AB125" s="296"/>
      <c r="AC125" s="464"/>
      <c r="AD125" s="658">
        <v>6</v>
      </c>
      <c r="AE125" s="622" t="s">
        <v>159</v>
      </c>
      <c r="AF125" s="754" t="s">
        <v>159</v>
      </c>
      <c r="AG125" s="638" t="s">
        <v>115</v>
      </c>
      <c r="AH125" s="305" t="s">
        <v>94</v>
      </c>
      <c r="AI125" s="362" t="s">
        <v>179</v>
      </c>
      <c r="AJ125" s="449" t="s">
        <v>156</v>
      </c>
      <c r="AK125" s="298">
        <v>1800</v>
      </c>
      <c r="AL125" s="363"/>
    </row>
    <row r="126" spans="1:38" s="360" customFormat="1" ht="10.5" x14ac:dyDescent="0.25">
      <c r="A126" s="303">
        <v>115064119</v>
      </c>
      <c r="B126" s="308" t="s">
        <v>282</v>
      </c>
      <c r="C126" s="308" t="s">
        <v>282</v>
      </c>
      <c r="D126" s="361" t="s">
        <v>364</v>
      </c>
      <c r="E126" s="630" t="s">
        <v>540</v>
      </c>
      <c r="F126" s="284" t="s">
        <v>560</v>
      </c>
      <c r="G126" s="284" t="s">
        <v>117</v>
      </c>
      <c r="H126" s="1107">
        <v>43689</v>
      </c>
      <c r="I126" s="295">
        <v>1230</v>
      </c>
      <c r="J126" s="295">
        <v>12</v>
      </c>
      <c r="K126" s="295">
        <v>1300</v>
      </c>
      <c r="L126" s="295">
        <v>13</v>
      </c>
      <c r="M126" s="295">
        <v>1130</v>
      </c>
      <c r="N126" s="639" t="s">
        <v>234</v>
      </c>
      <c r="O126" s="463"/>
      <c r="P126" s="296">
        <v>2</v>
      </c>
      <c r="Q126" s="296">
        <v>33</v>
      </c>
      <c r="R126" s="296"/>
      <c r="S126" s="363"/>
      <c r="T126" s="463"/>
      <c r="U126" s="296"/>
      <c r="V126" s="296"/>
      <c r="W126" s="464"/>
      <c r="X126" s="363"/>
      <c r="Y126" s="463"/>
      <c r="Z126" s="296">
        <v>2</v>
      </c>
      <c r="AA126" s="296">
        <v>33</v>
      </c>
      <c r="AB126" s="296"/>
      <c r="AC126" s="464"/>
      <c r="AD126" s="658">
        <v>35</v>
      </c>
      <c r="AE126" s="623" t="s">
        <v>202</v>
      </c>
      <c r="AF126" s="759" t="s">
        <v>228</v>
      </c>
      <c r="AG126" s="638" t="s">
        <v>115</v>
      </c>
      <c r="AH126" s="305" t="s">
        <v>79</v>
      </c>
      <c r="AI126" s="362" t="s">
        <v>179</v>
      </c>
      <c r="AJ126" s="461" t="s">
        <v>151</v>
      </c>
      <c r="AK126" s="298">
        <v>9924</v>
      </c>
      <c r="AL126" s="363" t="s">
        <v>168</v>
      </c>
    </row>
    <row r="127" spans="1:38" s="360" customFormat="1" ht="12" customHeight="1" x14ac:dyDescent="0.25">
      <c r="A127" s="303">
        <v>116064219</v>
      </c>
      <c r="B127" s="278" t="s">
        <v>221</v>
      </c>
      <c r="C127" s="278" t="s">
        <v>267</v>
      </c>
      <c r="D127" s="361" t="s">
        <v>424</v>
      </c>
      <c r="E127" s="630" t="s">
        <v>459</v>
      </c>
      <c r="F127" s="284" t="s">
        <v>460</v>
      </c>
      <c r="G127" s="295" t="s">
        <v>117</v>
      </c>
      <c r="H127" s="1107">
        <v>43692</v>
      </c>
      <c r="I127" s="295">
        <v>1125</v>
      </c>
      <c r="J127" s="295">
        <v>15</v>
      </c>
      <c r="K127" s="295">
        <v>1210</v>
      </c>
      <c r="L127" s="295">
        <v>15</v>
      </c>
      <c r="M127" s="295">
        <v>1840</v>
      </c>
      <c r="N127" s="639" t="s">
        <v>234</v>
      </c>
      <c r="O127" s="463"/>
      <c r="P127" s="296"/>
      <c r="Q127" s="296"/>
      <c r="R127" s="296"/>
      <c r="S127" s="363"/>
      <c r="T127" s="463"/>
      <c r="U127" s="296">
        <v>4</v>
      </c>
      <c r="V127" s="296">
        <v>6</v>
      </c>
      <c r="W127" s="464"/>
      <c r="X127" s="363"/>
      <c r="Y127" s="463"/>
      <c r="Z127" s="296">
        <v>4</v>
      </c>
      <c r="AA127" s="296">
        <v>6</v>
      </c>
      <c r="AB127" s="296"/>
      <c r="AC127" s="464"/>
      <c r="AD127" s="658">
        <v>10</v>
      </c>
      <c r="AE127" s="623" t="s">
        <v>202</v>
      </c>
      <c r="AF127" s="759" t="s">
        <v>228</v>
      </c>
      <c r="AG127" s="638" t="s">
        <v>115</v>
      </c>
      <c r="AH127" s="640" t="s">
        <v>78</v>
      </c>
      <c r="AI127" s="362" t="s">
        <v>162</v>
      </c>
      <c r="AJ127" s="449" t="s">
        <v>156</v>
      </c>
      <c r="AK127" s="298">
        <v>19600</v>
      </c>
      <c r="AL127" s="363"/>
    </row>
    <row r="128" spans="1:38" s="360" customFormat="1" ht="11.25" customHeight="1" x14ac:dyDescent="0.25">
      <c r="A128" s="303">
        <v>117063019</v>
      </c>
      <c r="B128" s="278" t="s">
        <v>221</v>
      </c>
      <c r="C128" s="278" t="s">
        <v>550</v>
      </c>
      <c r="D128" s="361" t="s">
        <v>463</v>
      </c>
      <c r="E128" s="630" t="s">
        <v>461</v>
      </c>
      <c r="F128" s="284" t="s">
        <v>462</v>
      </c>
      <c r="G128" s="295" t="s">
        <v>117</v>
      </c>
      <c r="H128" s="1107">
        <v>43693</v>
      </c>
      <c r="I128" s="295">
        <v>1545</v>
      </c>
      <c r="J128" s="295">
        <v>16</v>
      </c>
      <c r="K128" s="295">
        <v>1730</v>
      </c>
      <c r="L128" s="295">
        <v>16</v>
      </c>
      <c r="M128" s="295">
        <v>1930</v>
      </c>
      <c r="N128" s="639" t="s">
        <v>234</v>
      </c>
      <c r="O128" s="463"/>
      <c r="P128" s="296"/>
      <c r="Q128" s="296"/>
      <c r="R128" s="296"/>
      <c r="S128" s="363"/>
      <c r="T128" s="463"/>
      <c r="U128" s="296">
        <v>4</v>
      </c>
      <c r="V128" s="296">
        <v>6</v>
      </c>
      <c r="W128" s="464"/>
      <c r="X128" s="363"/>
      <c r="Y128" s="463"/>
      <c r="Z128" s="296">
        <v>4</v>
      </c>
      <c r="AA128" s="296">
        <v>6</v>
      </c>
      <c r="AB128" s="296"/>
      <c r="AC128" s="464"/>
      <c r="AD128" s="658">
        <v>10</v>
      </c>
      <c r="AE128" s="622" t="s">
        <v>202</v>
      </c>
      <c r="AF128" s="622" t="s">
        <v>238</v>
      </c>
      <c r="AG128" s="638" t="s">
        <v>115</v>
      </c>
      <c r="AH128" s="305" t="s">
        <v>79</v>
      </c>
      <c r="AI128" s="362" t="s">
        <v>162</v>
      </c>
      <c r="AJ128" s="461" t="s">
        <v>151</v>
      </c>
      <c r="AK128" s="298">
        <v>16360</v>
      </c>
      <c r="AL128" s="363"/>
    </row>
    <row r="129" spans="1:38" s="360" customFormat="1" ht="10.5" x14ac:dyDescent="0.25">
      <c r="A129" s="303">
        <v>118062019</v>
      </c>
      <c r="B129" s="648" t="s">
        <v>243</v>
      </c>
      <c r="C129" s="648" t="s">
        <v>243</v>
      </c>
      <c r="D129" s="361" t="s">
        <v>244</v>
      </c>
      <c r="E129" s="630" t="s">
        <v>542</v>
      </c>
      <c r="F129" s="284" t="s">
        <v>541</v>
      </c>
      <c r="G129" s="284" t="s">
        <v>117</v>
      </c>
      <c r="H129" s="1107">
        <v>43694</v>
      </c>
      <c r="I129" s="295">
        <v>1430</v>
      </c>
      <c r="J129" s="295">
        <v>17</v>
      </c>
      <c r="K129" s="295">
        <v>1450</v>
      </c>
      <c r="L129" s="295">
        <v>17</v>
      </c>
      <c r="M129" s="295">
        <v>2130</v>
      </c>
      <c r="N129" s="647" t="s">
        <v>241</v>
      </c>
      <c r="O129" s="463">
        <v>1</v>
      </c>
      <c r="P129" s="296"/>
      <c r="Q129" s="296">
        <v>2.5</v>
      </c>
      <c r="R129" s="296"/>
      <c r="S129" s="363"/>
      <c r="T129" s="463"/>
      <c r="U129" s="296"/>
      <c r="V129" s="296"/>
      <c r="W129" s="464"/>
      <c r="X129" s="363"/>
      <c r="Y129" s="463">
        <v>1</v>
      </c>
      <c r="Z129" s="296"/>
      <c r="AA129" s="296">
        <v>2.5</v>
      </c>
      <c r="AB129" s="296"/>
      <c r="AC129" s="464"/>
      <c r="AD129" s="658">
        <v>3.5</v>
      </c>
      <c r="AE129" s="628" t="s">
        <v>148</v>
      </c>
      <c r="AF129" s="770" t="s">
        <v>209</v>
      </c>
      <c r="AG129" s="447" t="s">
        <v>115</v>
      </c>
      <c r="AH129" s="305" t="s">
        <v>79</v>
      </c>
      <c r="AI129" s="362" t="s">
        <v>179</v>
      </c>
      <c r="AJ129" s="461" t="s">
        <v>151</v>
      </c>
      <c r="AK129" s="298">
        <v>762</v>
      </c>
      <c r="AL129" s="363" t="s">
        <v>168</v>
      </c>
    </row>
    <row r="130" spans="1:38" s="360" customFormat="1" ht="12.75" customHeight="1" x14ac:dyDescent="0.25">
      <c r="A130" s="303">
        <v>119062019</v>
      </c>
      <c r="B130" s="648" t="s">
        <v>243</v>
      </c>
      <c r="C130" s="648" t="s">
        <v>243</v>
      </c>
      <c r="D130" s="361" t="s">
        <v>284</v>
      </c>
      <c r="E130" s="630" t="s">
        <v>554</v>
      </c>
      <c r="F130" s="284" t="s">
        <v>543</v>
      </c>
      <c r="G130" s="284" t="s">
        <v>117</v>
      </c>
      <c r="H130" s="1107">
        <v>43695</v>
      </c>
      <c r="I130" s="295">
        <v>1200</v>
      </c>
      <c r="J130" s="295">
        <v>18</v>
      </c>
      <c r="K130" s="295">
        <v>1220</v>
      </c>
      <c r="L130" s="295">
        <v>18</v>
      </c>
      <c r="M130" s="295">
        <v>1630</v>
      </c>
      <c r="N130" s="639" t="s">
        <v>234</v>
      </c>
      <c r="O130" s="463"/>
      <c r="P130" s="296">
        <v>1</v>
      </c>
      <c r="Q130" s="296">
        <v>1</v>
      </c>
      <c r="R130" s="296"/>
      <c r="S130" s="363"/>
      <c r="T130" s="463"/>
      <c r="U130" s="296"/>
      <c r="V130" s="296"/>
      <c r="W130" s="464"/>
      <c r="X130" s="363"/>
      <c r="Y130" s="463"/>
      <c r="Z130" s="296">
        <v>1</v>
      </c>
      <c r="AA130" s="296">
        <v>1</v>
      </c>
      <c r="AB130" s="296"/>
      <c r="AC130" s="464"/>
      <c r="AD130" s="658">
        <v>2</v>
      </c>
      <c r="AE130" s="623" t="s">
        <v>202</v>
      </c>
      <c r="AF130" s="759" t="s">
        <v>228</v>
      </c>
      <c r="AG130" s="638" t="s">
        <v>115</v>
      </c>
      <c r="AH130" s="305" t="s">
        <v>79</v>
      </c>
      <c r="AI130" s="362" t="s">
        <v>162</v>
      </c>
      <c r="AJ130" s="461" t="s">
        <v>216</v>
      </c>
      <c r="AK130" s="765">
        <v>318</v>
      </c>
      <c r="AL130" s="764" t="s">
        <v>168</v>
      </c>
    </row>
    <row r="131" spans="1:38" s="360" customFormat="1" ht="11.25" customHeight="1" x14ac:dyDescent="0.25">
      <c r="A131" s="309">
        <v>120061819</v>
      </c>
      <c r="B131" s="278" t="s">
        <v>205</v>
      </c>
      <c r="C131" s="286" t="s">
        <v>217</v>
      </c>
      <c r="D131" s="361" t="s">
        <v>425</v>
      </c>
      <c r="E131" s="270" t="s">
        <v>449</v>
      </c>
      <c r="F131" s="270" t="s">
        <v>450</v>
      </c>
      <c r="G131" s="295" t="s">
        <v>367</v>
      </c>
      <c r="H131" s="1107">
        <v>43695</v>
      </c>
      <c r="I131" s="295">
        <v>1600</v>
      </c>
      <c r="J131" s="295">
        <v>18</v>
      </c>
      <c r="K131" s="295">
        <v>1650</v>
      </c>
      <c r="L131" s="295">
        <v>18</v>
      </c>
      <c r="M131" s="295">
        <v>2100</v>
      </c>
      <c r="N131" s="647" t="s">
        <v>241</v>
      </c>
      <c r="O131" s="463">
        <v>80</v>
      </c>
      <c r="P131" s="296"/>
      <c r="Q131" s="296"/>
      <c r="R131" s="296"/>
      <c r="S131" s="363"/>
      <c r="T131" s="463">
        <v>3</v>
      </c>
      <c r="U131" s="296"/>
      <c r="V131" s="296">
        <v>20</v>
      </c>
      <c r="W131" s="464"/>
      <c r="X131" s="363"/>
      <c r="Y131" s="463">
        <v>83</v>
      </c>
      <c r="Z131" s="296"/>
      <c r="AA131" s="296">
        <v>20</v>
      </c>
      <c r="AB131" s="296"/>
      <c r="AC131" s="464"/>
      <c r="AD131" s="658">
        <v>103</v>
      </c>
      <c r="AE131" s="622" t="s">
        <v>159</v>
      </c>
      <c r="AF131" s="754" t="s">
        <v>159</v>
      </c>
      <c r="AG131" s="638" t="s">
        <v>115</v>
      </c>
      <c r="AH131" s="640" t="s">
        <v>78</v>
      </c>
      <c r="AI131" s="362" t="s">
        <v>162</v>
      </c>
      <c r="AJ131" s="449" t="s">
        <v>165</v>
      </c>
      <c r="AK131" s="298">
        <v>411000</v>
      </c>
      <c r="AL131" s="764" t="s">
        <v>168</v>
      </c>
    </row>
    <row r="132" spans="1:38" s="904" customFormat="1" ht="11.25" customHeight="1" x14ac:dyDescent="0.25">
      <c r="A132" s="303">
        <v>121064819</v>
      </c>
      <c r="B132" s="650" t="s">
        <v>219</v>
      </c>
      <c r="C132" s="650" t="s">
        <v>220</v>
      </c>
      <c r="D132" s="361" t="s">
        <v>298</v>
      </c>
      <c r="E132" s="906" t="s">
        <v>490</v>
      </c>
      <c r="F132" s="270" t="s">
        <v>491</v>
      </c>
      <c r="G132" s="284" t="s">
        <v>117</v>
      </c>
      <c r="H132" s="1107">
        <v>43695</v>
      </c>
      <c r="I132" s="295">
        <v>1200</v>
      </c>
      <c r="J132" s="295">
        <v>18</v>
      </c>
      <c r="K132" s="295">
        <v>1205</v>
      </c>
      <c r="L132" s="295">
        <v>18</v>
      </c>
      <c r="M132" s="295">
        <v>2130</v>
      </c>
      <c r="N132" s="647" t="s">
        <v>51</v>
      </c>
      <c r="O132" s="463">
        <v>8</v>
      </c>
      <c r="P132" s="296"/>
      <c r="Q132" s="296"/>
      <c r="R132" s="296"/>
      <c r="S132" s="363"/>
      <c r="T132" s="463"/>
      <c r="U132" s="296"/>
      <c r="V132" s="296"/>
      <c r="W132" s="464"/>
      <c r="X132" s="363"/>
      <c r="Y132" s="463">
        <v>8</v>
      </c>
      <c r="Z132" s="296"/>
      <c r="AA132" s="296"/>
      <c r="AB132" s="296"/>
      <c r="AC132" s="464"/>
      <c r="AD132" s="658">
        <v>8</v>
      </c>
      <c r="AE132" s="623" t="s">
        <v>202</v>
      </c>
      <c r="AF132" s="759" t="s">
        <v>228</v>
      </c>
      <c r="AG132" s="638" t="s">
        <v>115</v>
      </c>
      <c r="AH132" s="305" t="s">
        <v>79</v>
      </c>
      <c r="AI132" s="362" t="s">
        <v>162</v>
      </c>
      <c r="AJ132" s="461" t="s">
        <v>216</v>
      </c>
      <c r="AK132" s="765">
        <v>960000</v>
      </c>
      <c r="AL132" s="764" t="s">
        <v>168</v>
      </c>
    </row>
    <row r="133" spans="1:38" s="360" customFormat="1" ht="12" customHeight="1" x14ac:dyDescent="0.25">
      <c r="A133" s="303">
        <v>122064119</v>
      </c>
      <c r="B133" s="308" t="s">
        <v>282</v>
      </c>
      <c r="C133" s="308" t="s">
        <v>295</v>
      </c>
      <c r="D133" s="361" t="s">
        <v>284</v>
      </c>
      <c r="E133" s="630" t="s">
        <v>555</v>
      </c>
      <c r="F133" s="284" t="s">
        <v>546</v>
      </c>
      <c r="G133" s="284" t="s">
        <v>117</v>
      </c>
      <c r="H133" s="1107">
        <v>43695</v>
      </c>
      <c r="I133" s="295">
        <v>1850</v>
      </c>
      <c r="J133" s="295">
        <v>18</v>
      </c>
      <c r="K133" s="295">
        <v>1900</v>
      </c>
      <c r="L133" s="295">
        <v>18</v>
      </c>
      <c r="M133" s="295">
        <v>2315</v>
      </c>
      <c r="N133" s="639" t="s">
        <v>19</v>
      </c>
      <c r="O133" s="463"/>
      <c r="P133" s="296">
        <v>1.5</v>
      </c>
      <c r="Q133" s="296"/>
      <c r="R133" s="296"/>
      <c r="S133" s="363"/>
      <c r="T133" s="463"/>
      <c r="U133" s="296"/>
      <c r="V133" s="296"/>
      <c r="W133" s="464"/>
      <c r="X133" s="363"/>
      <c r="Y133" s="463"/>
      <c r="Z133" s="296">
        <v>1.5</v>
      </c>
      <c r="AA133" s="296"/>
      <c r="AB133" s="296"/>
      <c r="AC133" s="464"/>
      <c r="AD133" s="658">
        <v>1.5</v>
      </c>
      <c r="AE133" s="623" t="s">
        <v>202</v>
      </c>
      <c r="AF133" s="759" t="s">
        <v>228</v>
      </c>
      <c r="AG133" s="638" t="s">
        <v>115</v>
      </c>
      <c r="AH133" s="305" t="s">
        <v>79</v>
      </c>
      <c r="AI133" s="362" t="s">
        <v>162</v>
      </c>
      <c r="AJ133" s="461" t="s">
        <v>216</v>
      </c>
      <c r="AK133" s="765">
        <v>168</v>
      </c>
      <c r="AL133" s="764" t="s">
        <v>168</v>
      </c>
    </row>
    <row r="134" spans="1:38" s="904" customFormat="1" ht="11.25" customHeight="1" x14ac:dyDescent="0.25">
      <c r="A134" s="303">
        <v>123064819</v>
      </c>
      <c r="B134" s="650" t="s">
        <v>219</v>
      </c>
      <c r="C134" s="650" t="s">
        <v>220</v>
      </c>
      <c r="D134" s="361" t="s">
        <v>426</v>
      </c>
      <c r="E134" s="906" t="s">
        <v>589</v>
      </c>
      <c r="F134" s="270" t="s">
        <v>590</v>
      </c>
      <c r="G134" s="284" t="s">
        <v>117</v>
      </c>
      <c r="H134" s="1107">
        <v>43695</v>
      </c>
      <c r="I134" s="295">
        <v>1300</v>
      </c>
      <c r="J134" s="295">
        <v>18</v>
      </c>
      <c r="K134" s="295">
        <v>1305</v>
      </c>
      <c r="L134" s="295">
        <v>19</v>
      </c>
      <c r="M134" s="295">
        <v>2420</v>
      </c>
      <c r="N134" s="664" t="s">
        <v>20</v>
      </c>
      <c r="O134" s="463"/>
      <c r="P134" s="296"/>
      <c r="Q134" s="296"/>
      <c r="R134" s="296"/>
      <c r="S134" s="363"/>
      <c r="T134" s="463"/>
      <c r="U134" s="296"/>
      <c r="V134" s="296">
        <v>22</v>
      </c>
      <c r="W134" s="464"/>
      <c r="X134" s="363">
        <v>3</v>
      </c>
      <c r="Y134" s="463"/>
      <c r="Z134" s="296"/>
      <c r="AA134" s="296">
        <v>22</v>
      </c>
      <c r="AB134" s="296"/>
      <c r="AC134" s="464">
        <v>3</v>
      </c>
      <c r="AD134" s="658">
        <v>25</v>
      </c>
      <c r="AE134" s="622" t="s">
        <v>202</v>
      </c>
      <c r="AF134" s="759" t="s">
        <v>228</v>
      </c>
      <c r="AG134" s="638" t="s">
        <v>115</v>
      </c>
      <c r="AH134" s="305" t="s">
        <v>79</v>
      </c>
      <c r="AI134" s="362" t="s">
        <v>162</v>
      </c>
      <c r="AJ134" s="449" t="s">
        <v>165</v>
      </c>
      <c r="AK134" s="298">
        <v>326600</v>
      </c>
      <c r="AL134" s="363"/>
    </row>
    <row r="135" spans="1:38" s="360" customFormat="1" ht="10.5" customHeight="1" x14ac:dyDescent="0.25">
      <c r="A135" s="303">
        <v>124062019</v>
      </c>
      <c r="B135" s="294" t="s">
        <v>243</v>
      </c>
      <c r="C135" s="294" t="s">
        <v>266</v>
      </c>
      <c r="D135" s="361" t="s">
        <v>244</v>
      </c>
      <c r="E135" s="630" t="s">
        <v>545</v>
      </c>
      <c r="F135" s="284" t="s">
        <v>544</v>
      </c>
      <c r="G135" s="284" t="s">
        <v>117</v>
      </c>
      <c r="H135" s="1107">
        <v>43695</v>
      </c>
      <c r="I135" s="295">
        <v>1450</v>
      </c>
      <c r="J135" s="295">
        <v>18</v>
      </c>
      <c r="K135" s="295">
        <v>1510</v>
      </c>
      <c r="L135" s="295">
        <v>19</v>
      </c>
      <c r="M135" s="295">
        <v>100</v>
      </c>
      <c r="N135" s="647" t="s">
        <v>427</v>
      </c>
      <c r="O135" s="463">
        <v>2</v>
      </c>
      <c r="P135" s="296">
        <v>17</v>
      </c>
      <c r="Q135" s="296"/>
      <c r="R135" s="296"/>
      <c r="S135" s="363"/>
      <c r="T135" s="463"/>
      <c r="U135" s="296"/>
      <c r="V135" s="296">
        <v>17</v>
      </c>
      <c r="W135" s="464"/>
      <c r="X135" s="363">
        <v>4</v>
      </c>
      <c r="Y135" s="463">
        <v>2</v>
      </c>
      <c r="Z135" s="296">
        <v>17</v>
      </c>
      <c r="AA135" s="296">
        <v>17</v>
      </c>
      <c r="AB135" s="296"/>
      <c r="AC135" s="464">
        <v>4</v>
      </c>
      <c r="AD135" s="658">
        <v>40</v>
      </c>
      <c r="AE135" s="622" t="s">
        <v>159</v>
      </c>
      <c r="AF135" s="754" t="s">
        <v>159</v>
      </c>
      <c r="AG135" s="638" t="s">
        <v>115</v>
      </c>
      <c r="AH135" s="305" t="s">
        <v>79</v>
      </c>
      <c r="AI135" s="362" t="s">
        <v>162</v>
      </c>
      <c r="AJ135" s="449" t="s">
        <v>156</v>
      </c>
      <c r="AK135" s="298">
        <v>10460</v>
      </c>
      <c r="AL135" s="764" t="s">
        <v>168</v>
      </c>
    </row>
    <row r="136" spans="1:38" s="360" customFormat="1" ht="10.5" x14ac:dyDescent="0.25">
      <c r="A136" s="303">
        <v>125064519</v>
      </c>
      <c r="B136" s="650" t="s">
        <v>197</v>
      </c>
      <c r="C136" s="650" t="s">
        <v>197</v>
      </c>
      <c r="D136" s="361" t="s">
        <v>428</v>
      </c>
      <c r="E136" s="630" t="s">
        <v>547</v>
      </c>
      <c r="F136" s="284" t="s">
        <v>561</v>
      </c>
      <c r="G136" s="284" t="s">
        <v>117</v>
      </c>
      <c r="H136" s="1107">
        <v>43696</v>
      </c>
      <c r="I136" s="295">
        <v>1530</v>
      </c>
      <c r="J136" s="295">
        <v>19</v>
      </c>
      <c r="K136" s="295">
        <v>1600</v>
      </c>
      <c r="L136" s="295">
        <v>19</v>
      </c>
      <c r="M136" s="295">
        <v>1815</v>
      </c>
      <c r="N136" s="632" t="s">
        <v>20</v>
      </c>
      <c r="O136" s="463"/>
      <c r="P136" s="296"/>
      <c r="Q136" s="296">
        <v>5</v>
      </c>
      <c r="R136" s="296"/>
      <c r="S136" s="363">
        <v>2</v>
      </c>
      <c r="T136" s="463"/>
      <c r="U136" s="296"/>
      <c r="V136" s="296"/>
      <c r="W136" s="464"/>
      <c r="X136" s="363"/>
      <c r="Y136" s="463"/>
      <c r="Z136" s="296"/>
      <c r="AA136" s="296">
        <v>5</v>
      </c>
      <c r="AB136" s="296"/>
      <c r="AC136" s="464">
        <v>2</v>
      </c>
      <c r="AD136" s="658">
        <v>7</v>
      </c>
      <c r="AE136" s="622" t="s">
        <v>202</v>
      </c>
      <c r="AF136" s="622" t="s">
        <v>238</v>
      </c>
      <c r="AG136" s="638" t="s">
        <v>115</v>
      </c>
      <c r="AH136" s="305" t="s">
        <v>94</v>
      </c>
      <c r="AI136" s="362" t="s">
        <v>150</v>
      </c>
      <c r="AJ136" s="449" t="s">
        <v>156</v>
      </c>
      <c r="AK136" s="298">
        <v>1740</v>
      </c>
      <c r="AL136" s="363"/>
    </row>
    <row r="137" spans="1:38" s="360" customFormat="1" ht="10.5" x14ac:dyDescent="0.25">
      <c r="A137" s="270">
        <v>126061519</v>
      </c>
      <c r="B137" s="646" t="s">
        <v>169</v>
      </c>
      <c r="C137" s="646" t="s">
        <v>172</v>
      </c>
      <c r="D137" s="641" t="s">
        <v>429</v>
      </c>
      <c r="E137" s="270" t="s">
        <v>455</v>
      </c>
      <c r="F137" s="270" t="s">
        <v>456</v>
      </c>
      <c r="G137" s="295" t="s">
        <v>117</v>
      </c>
      <c r="H137" s="1107">
        <v>43696</v>
      </c>
      <c r="I137" s="295">
        <v>1200</v>
      </c>
      <c r="J137" s="295">
        <v>19</v>
      </c>
      <c r="K137" s="295">
        <v>1300</v>
      </c>
      <c r="L137" s="295">
        <v>20</v>
      </c>
      <c r="M137" s="295">
        <v>1100</v>
      </c>
      <c r="N137" s="647" t="s">
        <v>276</v>
      </c>
      <c r="O137" s="463">
        <v>0.5</v>
      </c>
      <c r="P137" s="296"/>
      <c r="Q137" s="296"/>
      <c r="R137" s="296"/>
      <c r="S137" s="363"/>
      <c r="T137" s="463"/>
      <c r="U137" s="296">
        <v>2</v>
      </c>
      <c r="V137" s="296">
        <v>4.5</v>
      </c>
      <c r="W137" s="464"/>
      <c r="X137" s="363"/>
      <c r="Y137" s="463">
        <v>0.5</v>
      </c>
      <c r="Z137" s="296">
        <v>2</v>
      </c>
      <c r="AA137" s="296">
        <v>4.5</v>
      </c>
      <c r="AB137" s="296"/>
      <c r="AC137" s="464"/>
      <c r="AD137" s="658">
        <v>7</v>
      </c>
      <c r="AE137" s="622" t="s">
        <v>159</v>
      </c>
      <c r="AF137" s="754" t="s">
        <v>159</v>
      </c>
      <c r="AG137" s="638" t="s">
        <v>115</v>
      </c>
      <c r="AH137" s="640" t="s">
        <v>78</v>
      </c>
      <c r="AI137" s="362" t="s">
        <v>150</v>
      </c>
      <c r="AJ137" s="449" t="s">
        <v>165</v>
      </c>
      <c r="AK137" s="298">
        <v>8000</v>
      </c>
      <c r="AL137" s="764" t="s">
        <v>168</v>
      </c>
    </row>
    <row r="138" spans="1:38" s="360" customFormat="1" ht="10.5" x14ac:dyDescent="0.25">
      <c r="A138" s="303">
        <v>127064519</v>
      </c>
      <c r="B138" s="650" t="s">
        <v>197</v>
      </c>
      <c r="C138" s="650" t="s">
        <v>197</v>
      </c>
      <c r="D138" s="641" t="s">
        <v>430</v>
      </c>
      <c r="E138" s="771" t="s">
        <v>549</v>
      </c>
      <c r="F138" s="771" t="s">
        <v>548</v>
      </c>
      <c r="G138" s="284" t="s">
        <v>117</v>
      </c>
      <c r="H138" s="1110">
        <v>43697</v>
      </c>
      <c r="I138" s="772">
        <v>2020</v>
      </c>
      <c r="J138" s="772">
        <v>20</v>
      </c>
      <c r="K138" s="772">
        <v>2045</v>
      </c>
      <c r="L138" s="772">
        <v>21</v>
      </c>
      <c r="M138" s="772">
        <v>200</v>
      </c>
      <c r="N138" s="462" t="s">
        <v>276</v>
      </c>
      <c r="O138" s="775"/>
      <c r="P138" s="773">
        <v>2</v>
      </c>
      <c r="Q138" s="773">
        <v>8</v>
      </c>
      <c r="R138" s="773"/>
      <c r="S138" s="774"/>
      <c r="T138" s="775"/>
      <c r="U138" s="773"/>
      <c r="V138" s="773"/>
      <c r="W138" s="773"/>
      <c r="X138" s="774"/>
      <c r="Y138" s="775"/>
      <c r="Z138" s="773">
        <v>2</v>
      </c>
      <c r="AA138" s="773">
        <v>8</v>
      </c>
      <c r="AB138" s="773"/>
      <c r="AC138" s="776"/>
      <c r="AD138" s="777">
        <v>10</v>
      </c>
      <c r="AE138" s="628" t="s">
        <v>148</v>
      </c>
      <c r="AF138" s="770" t="s">
        <v>254</v>
      </c>
      <c r="AG138" s="638" t="s">
        <v>115</v>
      </c>
      <c r="AH138" s="305" t="s">
        <v>79</v>
      </c>
      <c r="AI138" s="362" t="s">
        <v>150</v>
      </c>
      <c r="AJ138" s="449" t="s">
        <v>216</v>
      </c>
      <c r="AK138" s="778">
        <v>3440</v>
      </c>
      <c r="AL138" s="774"/>
    </row>
    <row r="139" spans="1:38" s="360" customFormat="1" ht="10.5" x14ac:dyDescent="0.25">
      <c r="A139" s="779">
        <v>128061819</v>
      </c>
      <c r="B139" s="780" t="s">
        <v>205</v>
      </c>
      <c r="C139" s="781" t="s">
        <v>217</v>
      </c>
      <c r="D139" s="782" t="s">
        <v>425</v>
      </c>
      <c r="E139" s="270" t="s">
        <v>452</v>
      </c>
      <c r="F139" s="270" t="s">
        <v>451</v>
      </c>
      <c r="G139" s="295" t="s">
        <v>367</v>
      </c>
      <c r="H139" s="1109">
        <v>43703</v>
      </c>
      <c r="I139" s="753">
        <v>1430</v>
      </c>
      <c r="J139" s="753">
        <v>26</v>
      </c>
      <c r="K139" s="753">
        <v>1505</v>
      </c>
      <c r="L139" s="753">
        <v>26</v>
      </c>
      <c r="M139" s="753">
        <v>1850</v>
      </c>
      <c r="N139" s="647" t="s">
        <v>51</v>
      </c>
      <c r="O139" s="783">
        <v>9</v>
      </c>
      <c r="P139" s="784"/>
      <c r="Q139" s="784"/>
      <c r="R139" s="784"/>
      <c r="S139" s="785"/>
      <c r="T139" s="783">
        <v>1</v>
      </c>
      <c r="U139" s="784"/>
      <c r="V139" s="784"/>
      <c r="W139" s="784"/>
      <c r="X139" s="785"/>
      <c r="Y139" s="783">
        <v>10</v>
      </c>
      <c r="Z139" s="784"/>
      <c r="AA139" s="784"/>
      <c r="AB139" s="784"/>
      <c r="AC139" s="786"/>
      <c r="AD139" s="787">
        <v>10</v>
      </c>
      <c r="AE139" s="623" t="s">
        <v>159</v>
      </c>
      <c r="AF139" s="759" t="s">
        <v>159</v>
      </c>
      <c r="AG139" s="788" t="s">
        <v>115</v>
      </c>
      <c r="AH139" s="644" t="s">
        <v>79</v>
      </c>
      <c r="AI139" s="645" t="s">
        <v>285</v>
      </c>
      <c r="AJ139" s="461" t="s">
        <v>151</v>
      </c>
      <c r="AK139" s="789">
        <v>50000</v>
      </c>
      <c r="AL139" s="764" t="s">
        <v>168</v>
      </c>
    </row>
    <row r="140" spans="1:38" s="904" customFormat="1" ht="11" thickBot="1" x14ac:dyDescent="0.3">
      <c r="A140" s="769">
        <v>129060119</v>
      </c>
      <c r="B140" s="907" t="s">
        <v>300</v>
      </c>
      <c r="C140" s="907" t="s">
        <v>300</v>
      </c>
      <c r="D140" s="782" t="s">
        <v>438</v>
      </c>
      <c r="E140" s="908" t="s">
        <v>492</v>
      </c>
      <c r="F140" s="366" t="s">
        <v>493</v>
      </c>
      <c r="G140" s="295" t="s">
        <v>117</v>
      </c>
      <c r="H140" s="1109">
        <v>43706</v>
      </c>
      <c r="I140" s="753">
        <v>1640</v>
      </c>
      <c r="J140" s="753">
        <v>29</v>
      </c>
      <c r="K140" s="753">
        <v>1800</v>
      </c>
      <c r="L140" s="753">
        <v>30</v>
      </c>
      <c r="M140" s="753">
        <v>600</v>
      </c>
      <c r="N140" s="909" t="s">
        <v>234</v>
      </c>
      <c r="O140" s="783"/>
      <c r="P140" s="784"/>
      <c r="Q140" s="784"/>
      <c r="R140" s="784"/>
      <c r="S140" s="785"/>
      <c r="T140" s="783"/>
      <c r="U140" s="784">
        <v>6</v>
      </c>
      <c r="V140" s="784">
        <v>6</v>
      </c>
      <c r="W140" s="784"/>
      <c r="X140" s="785"/>
      <c r="Y140" s="783"/>
      <c r="Z140" s="784">
        <v>6</v>
      </c>
      <c r="AA140" s="784">
        <v>6</v>
      </c>
      <c r="AB140" s="784"/>
      <c r="AC140" s="786"/>
      <c r="AD140" s="787">
        <v>12</v>
      </c>
      <c r="AE140" s="623" t="s">
        <v>202</v>
      </c>
      <c r="AF140" s="623" t="s">
        <v>239</v>
      </c>
      <c r="AG140" s="788" t="s">
        <v>115</v>
      </c>
      <c r="AH140" s="910" t="s">
        <v>29</v>
      </c>
      <c r="AI140" s="645" t="s">
        <v>285</v>
      </c>
      <c r="AJ140" s="461" t="s">
        <v>151</v>
      </c>
      <c r="AK140" s="789">
        <v>901800</v>
      </c>
      <c r="AL140" s="363"/>
    </row>
    <row r="141" spans="1:38" s="360" customFormat="1" ht="10.5" x14ac:dyDescent="0.25">
      <c r="A141" s="882">
        <v>130062419</v>
      </c>
      <c r="B141" s="883" t="s">
        <v>147</v>
      </c>
      <c r="C141" s="883" t="s">
        <v>147</v>
      </c>
      <c r="D141" s="430" t="s">
        <v>439</v>
      </c>
      <c r="E141" s="891" t="s">
        <v>565</v>
      </c>
      <c r="F141" s="271" t="s">
        <v>566</v>
      </c>
      <c r="G141" s="884" t="s">
        <v>117</v>
      </c>
      <c r="H141" s="1101">
        <v>43709</v>
      </c>
      <c r="I141" s="300">
        <v>1600</v>
      </c>
      <c r="J141" s="300">
        <v>1</v>
      </c>
      <c r="K141" s="300">
        <v>1640</v>
      </c>
      <c r="L141" s="300">
        <v>1</v>
      </c>
      <c r="M141" s="300">
        <v>1930</v>
      </c>
      <c r="N141" s="814" t="s">
        <v>234</v>
      </c>
      <c r="O141" s="815"/>
      <c r="P141" s="816"/>
      <c r="Q141" s="816"/>
      <c r="R141" s="816"/>
      <c r="S141" s="817"/>
      <c r="T141" s="815"/>
      <c r="U141" s="816">
        <v>1</v>
      </c>
      <c r="V141" s="816">
        <v>2</v>
      </c>
      <c r="W141" s="816"/>
      <c r="X141" s="817"/>
      <c r="Y141" s="815"/>
      <c r="Z141" s="816">
        <v>1</v>
      </c>
      <c r="AA141" s="816">
        <v>2</v>
      </c>
      <c r="AB141" s="816"/>
      <c r="AC141" s="818"/>
      <c r="AD141" s="819">
        <v>3</v>
      </c>
      <c r="AE141" s="795" t="s">
        <v>202</v>
      </c>
      <c r="AF141" s="795" t="s">
        <v>238</v>
      </c>
      <c r="AG141" s="821" t="s">
        <v>115</v>
      </c>
      <c r="AH141" s="822" t="s">
        <v>79</v>
      </c>
      <c r="AI141" s="438" t="s">
        <v>285</v>
      </c>
      <c r="AJ141" s="752" t="s">
        <v>156</v>
      </c>
      <c r="AK141" s="823">
        <v>3900</v>
      </c>
      <c r="AL141" s="817"/>
    </row>
    <row r="142" spans="1:38" s="321" customFormat="1" ht="10.5" x14ac:dyDescent="0.25">
      <c r="A142" s="303">
        <v>131064219</v>
      </c>
      <c r="B142" s="650" t="s">
        <v>221</v>
      </c>
      <c r="C142" s="650" t="s">
        <v>222</v>
      </c>
      <c r="D142" s="285" t="s">
        <v>258</v>
      </c>
      <c r="E142" s="270" t="s">
        <v>574</v>
      </c>
      <c r="F142" s="270" t="s">
        <v>575</v>
      </c>
      <c r="G142" s="284" t="s">
        <v>117</v>
      </c>
      <c r="H142" s="1107">
        <v>43710</v>
      </c>
      <c r="I142" s="295">
        <v>1215</v>
      </c>
      <c r="J142" s="295">
        <v>2</v>
      </c>
      <c r="K142" s="295">
        <v>1245</v>
      </c>
      <c r="L142" s="295">
        <v>2</v>
      </c>
      <c r="M142" s="295">
        <v>1720</v>
      </c>
      <c r="N142" s="639" t="s">
        <v>234</v>
      </c>
      <c r="O142" s="463"/>
      <c r="P142" s="296"/>
      <c r="Q142" s="296"/>
      <c r="R142" s="296"/>
      <c r="S142" s="363"/>
      <c r="T142" s="463"/>
      <c r="U142" s="296">
        <v>1</v>
      </c>
      <c r="V142" s="296">
        <v>6</v>
      </c>
      <c r="W142" s="296"/>
      <c r="X142" s="363"/>
      <c r="Y142" s="463"/>
      <c r="Z142" s="296">
        <v>1</v>
      </c>
      <c r="AA142" s="296">
        <v>6</v>
      </c>
      <c r="AB142" s="296"/>
      <c r="AC142" s="464"/>
      <c r="AD142" s="637">
        <v>7</v>
      </c>
      <c r="AE142" s="623" t="s">
        <v>202</v>
      </c>
      <c r="AF142" s="759" t="s">
        <v>228</v>
      </c>
      <c r="AG142" s="638" t="s">
        <v>115</v>
      </c>
      <c r="AH142" s="305" t="s">
        <v>79</v>
      </c>
      <c r="AI142" s="645" t="s">
        <v>285</v>
      </c>
      <c r="AJ142" s="461" t="s">
        <v>151</v>
      </c>
      <c r="AK142" s="298">
        <v>5200</v>
      </c>
      <c r="AL142" s="363"/>
    </row>
    <row r="143" spans="1:38" s="321" customFormat="1" ht="10.5" x14ac:dyDescent="0.25">
      <c r="A143" s="303">
        <v>132064219</v>
      </c>
      <c r="B143" s="304" t="s">
        <v>221</v>
      </c>
      <c r="C143" s="304" t="s">
        <v>440</v>
      </c>
      <c r="D143" s="285" t="s">
        <v>441</v>
      </c>
      <c r="E143" s="270" t="s">
        <v>576</v>
      </c>
      <c r="F143" s="270" t="s">
        <v>577</v>
      </c>
      <c r="G143" s="284" t="s">
        <v>117</v>
      </c>
      <c r="H143" s="1102">
        <v>43711</v>
      </c>
      <c r="I143" s="270">
        <v>1430</v>
      </c>
      <c r="J143" s="270">
        <v>3</v>
      </c>
      <c r="K143" s="270">
        <v>1500</v>
      </c>
      <c r="L143" s="270">
        <v>3</v>
      </c>
      <c r="M143" s="270">
        <v>1630</v>
      </c>
      <c r="N143" s="639" t="s">
        <v>234</v>
      </c>
      <c r="O143" s="456"/>
      <c r="P143" s="283"/>
      <c r="Q143" s="283"/>
      <c r="R143" s="283"/>
      <c r="S143" s="872"/>
      <c r="T143" s="873"/>
      <c r="U143" s="874">
        <v>1</v>
      </c>
      <c r="V143" s="874">
        <v>1</v>
      </c>
      <c r="W143" s="874"/>
      <c r="X143" s="872">
        <v>1</v>
      </c>
      <c r="Y143" s="873"/>
      <c r="Z143" s="874">
        <v>1</v>
      </c>
      <c r="AA143" s="874">
        <v>1</v>
      </c>
      <c r="AB143" s="874"/>
      <c r="AC143" s="875">
        <v>1</v>
      </c>
      <c r="AD143" s="762">
        <v>3</v>
      </c>
      <c r="AE143" s="622" t="s">
        <v>202</v>
      </c>
      <c r="AF143" s="622" t="s">
        <v>238</v>
      </c>
      <c r="AG143" s="638" t="s">
        <v>115</v>
      </c>
      <c r="AH143" s="640" t="s">
        <v>78</v>
      </c>
      <c r="AI143" s="645" t="s">
        <v>285</v>
      </c>
      <c r="AJ143" s="461" t="s">
        <v>151</v>
      </c>
      <c r="AK143" s="292">
        <v>68200</v>
      </c>
      <c r="AL143" s="306"/>
    </row>
    <row r="144" spans="1:38" s="321" customFormat="1" ht="10.5" x14ac:dyDescent="0.25">
      <c r="A144" s="613">
        <v>133061519</v>
      </c>
      <c r="B144" s="614" t="s">
        <v>169</v>
      </c>
      <c r="C144" s="614" t="s">
        <v>172</v>
      </c>
      <c r="D144" s="615" t="s">
        <v>442</v>
      </c>
      <c r="E144" s="270" t="s">
        <v>567</v>
      </c>
      <c r="F144" s="270" t="s">
        <v>568</v>
      </c>
      <c r="G144" s="284" t="s">
        <v>117</v>
      </c>
      <c r="H144" s="1102">
        <v>43711</v>
      </c>
      <c r="I144" s="270">
        <v>1600</v>
      </c>
      <c r="J144" s="270">
        <v>3</v>
      </c>
      <c r="K144" s="270">
        <v>1615</v>
      </c>
      <c r="L144" s="270">
        <v>3</v>
      </c>
      <c r="M144" s="270">
        <v>1930</v>
      </c>
      <c r="N144" s="639" t="s">
        <v>234</v>
      </c>
      <c r="O144" s="456"/>
      <c r="P144" s="283"/>
      <c r="Q144" s="283"/>
      <c r="R144" s="283"/>
      <c r="S144" s="872"/>
      <c r="T144" s="873"/>
      <c r="U144" s="874">
        <v>7</v>
      </c>
      <c r="V144" s="874">
        <v>3</v>
      </c>
      <c r="W144" s="874"/>
      <c r="X144" s="872"/>
      <c r="Y144" s="873"/>
      <c r="Z144" s="874">
        <v>7</v>
      </c>
      <c r="AA144" s="874">
        <v>3</v>
      </c>
      <c r="AB144" s="874"/>
      <c r="AC144" s="875"/>
      <c r="AD144" s="762">
        <v>10</v>
      </c>
      <c r="AE144" s="622" t="s">
        <v>202</v>
      </c>
      <c r="AF144" s="759" t="s">
        <v>228</v>
      </c>
      <c r="AG144" s="638" t="s">
        <v>115</v>
      </c>
      <c r="AH144" s="305" t="s">
        <v>94</v>
      </c>
      <c r="AI144" s="645" t="s">
        <v>285</v>
      </c>
      <c r="AJ144" s="461" t="s">
        <v>151</v>
      </c>
      <c r="AK144" s="292">
        <v>28200</v>
      </c>
      <c r="AL144" s="881"/>
    </row>
    <row r="145" spans="1:38" s="321" customFormat="1" ht="12.75" customHeight="1" thickBot="1" x14ac:dyDescent="0.3">
      <c r="A145" s="885">
        <v>134063419</v>
      </c>
      <c r="B145" s="467" t="s">
        <v>167</v>
      </c>
      <c r="C145" s="467" t="s">
        <v>167</v>
      </c>
      <c r="D145" s="886" t="s">
        <v>251</v>
      </c>
      <c r="E145" s="344" t="s">
        <v>572</v>
      </c>
      <c r="F145" s="344" t="s">
        <v>573</v>
      </c>
      <c r="G145" s="345" t="s">
        <v>367</v>
      </c>
      <c r="H145" s="1104">
        <v>43729</v>
      </c>
      <c r="I145" s="344">
        <v>1930</v>
      </c>
      <c r="J145" s="344">
        <v>21</v>
      </c>
      <c r="K145" s="344">
        <v>2115</v>
      </c>
      <c r="L145" s="344">
        <v>21</v>
      </c>
      <c r="M145" s="344">
        <v>2230</v>
      </c>
      <c r="N145" s="824" t="s">
        <v>563</v>
      </c>
      <c r="O145" s="471">
        <v>1</v>
      </c>
      <c r="P145" s="313">
        <v>1</v>
      </c>
      <c r="Q145" s="313">
        <v>3</v>
      </c>
      <c r="R145" s="313"/>
      <c r="S145" s="876"/>
      <c r="T145" s="877"/>
      <c r="U145" s="878"/>
      <c r="V145" s="878">
        <v>2</v>
      </c>
      <c r="W145" s="878"/>
      <c r="X145" s="876"/>
      <c r="Y145" s="877">
        <v>1</v>
      </c>
      <c r="Z145" s="878">
        <v>1</v>
      </c>
      <c r="AA145" s="878">
        <v>5</v>
      </c>
      <c r="AB145" s="878"/>
      <c r="AC145" s="879"/>
      <c r="AD145" s="880">
        <v>7</v>
      </c>
      <c r="AE145" s="806" t="s">
        <v>159</v>
      </c>
      <c r="AF145" s="887" t="s">
        <v>159</v>
      </c>
      <c r="AG145" s="804" t="s">
        <v>115</v>
      </c>
      <c r="AH145" s="888" t="s">
        <v>29</v>
      </c>
      <c r="AI145" s="367" t="s">
        <v>162</v>
      </c>
      <c r="AJ145" s="475" t="s">
        <v>156</v>
      </c>
      <c r="AK145" s="890">
        <v>284100</v>
      </c>
      <c r="AL145" s="470" t="s">
        <v>168</v>
      </c>
    </row>
    <row r="146" spans="1:38" s="900" customFormat="1" ht="14.25" customHeight="1" x14ac:dyDescent="0.25">
      <c r="A146" s="634">
        <v>135061419</v>
      </c>
      <c r="B146" s="931" t="s">
        <v>582</v>
      </c>
      <c r="C146" s="931" t="s">
        <v>583</v>
      </c>
      <c r="D146" s="932" t="s">
        <v>240</v>
      </c>
      <c r="E146" s="616" t="s">
        <v>585</v>
      </c>
      <c r="F146" s="616" t="s">
        <v>586</v>
      </c>
      <c r="G146" s="933" t="s">
        <v>117</v>
      </c>
      <c r="H146" s="1111">
        <v>43709</v>
      </c>
      <c r="I146" s="934">
        <v>1300</v>
      </c>
      <c r="J146" s="934">
        <v>1</v>
      </c>
      <c r="K146" s="934">
        <v>1400</v>
      </c>
      <c r="L146" s="934">
        <v>2</v>
      </c>
      <c r="M146" s="934">
        <v>1700</v>
      </c>
      <c r="N146" s="940" t="s">
        <v>51</v>
      </c>
      <c r="O146" s="942">
        <v>5</v>
      </c>
      <c r="P146" s="943"/>
      <c r="Q146" s="943"/>
      <c r="R146" s="943"/>
      <c r="S146" s="944"/>
      <c r="T146" s="942"/>
      <c r="U146" s="943"/>
      <c r="V146" s="943"/>
      <c r="W146" s="943"/>
      <c r="X146" s="944"/>
      <c r="Y146" s="942">
        <v>5</v>
      </c>
      <c r="Z146" s="943"/>
      <c r="AA146" s="943"/>
      <c r="AB146" s="943"/>
      <c r="AC146" s="955"/>
      <c r="AD146" s="959">
        <v>5</v>
      </c>
      <c r="AE146" s="950" t="s">
        <v>202</v>
      </c>
      <c r="AF146" s="935" t="s">
        <v>228</v>
      </c>
      <c r="AG146" s="669" t="s">
        <v>115</v>
      </c>
      <c r="AH146" s="936" t="s">
        <v>79</v>
      </c>
      <c r="AI146" s="937" t="s">
        <v>588</v>
      </c>
      <c r="AJ146" s="938" t="s">
        <v>151</v>
      </c>
      <c r="AK146" s="939">
        <v>18600</v>
      </c>
      <c r="AL146" s="619" t="s">
        <v>168</v>
      </c>
    </row>
    <row r="147" spans="1:38" s="900" customFormat="1" ht="14.25" customHeight="1" thickBot="1" x14ac:dyDescent="0.3">
      <c r="A147" s="634">
        <v>136064219</v>
      </c>
      <c r="B147" s="931" t="s">
        <v>221</v>
      </c>
      <c r="C147" s="931" t="s">
        <v>440</v>
      </c>
      <c r="D147" s="932" t="s">
        <v>587</v>
      </c>
      <c r="E147" s="616" t="s">
        <v>594</v>
      </c>
      <c r="F147" s="616" t="s">
        <v>595</v>
      </c>
      <c r="G147" s="933" t="s">
        <v>117</v>
      </c>
      <c r="H147" s="1112">
        <v>43727</v>
      </c>
      <c r="I147" s="927">
        <v>1340</v>
      </c>
      <c r="J147" s="927">
        <v>19</v>
      </c>
      <c r="K147" s="927">
        <v>1420</v>
      </c>
      <c r="L147" s="927">
        <v>19</v>
      </c>
      <c r="M147" s="927">
        <v>1620</v>
      </c>
      <c r="N147" s="941" t="s">
        <v>64</v>
      </c>
      <c r="O147" s="945"/>
      <c r="P147" s="928"/>
      <c r="Q147" s="928"/>
      <c r="R147" s="928"/>
      <c r="S147" s="946"/>
      <c r="T147" s="947"/>
      <c r="U147" s="948">
        <v>2.5</v>
      </c>
      <c r="V147" s="948"/>
      <c r="W147" s="948"/>
      <c r="X147" s="949">
        <v>0.5</v>
      </c>
      <c r="Y147" s="947"/>
      <c r="Z147" s="948">
        <v>2.5</v>
      </c>
      <c r="AA147" s="948"/>
      <c r="AB147" s="948"/>
      <c r="AC147" s="956">
        <v>0.5</v>
      </c>
      <c r="AD147" s="960">
        <v>3</v>
      </c>
      <c r="AE147" s="623" t="s">
        <v>148</v>
      </c>
      <c r="AF147" s="929" t="s">
        <v>149</v>
      </c>
      <c r="AG147" s="788" t="s">
        <v>115</v>
      </c>
      <c r="AH147" s="644" t="s">
        <v>29</v>
      </c>
      <c r="AI147" s="645" t="s">
        <v>588</v>
      </c>
      <c r="AJ147" s="461" t="s">
        <v>156</v>
      </c>
      <c r="AK147" s="930">
        <v>60750</v>
      </c>
      <c r="AL147" s="296"/>
    </row>
    <row r="148" spans="1:38" ht="15" thickBot="1" x14ac:dyDescent="0.4">
      <c r="A148" s="1097" t="s">
        <v>23</v>
      </c>
      <c r="B148" s="1098"/>
      <c r="C148" s="1098"/>
      <c r="D148" s="1098"/>
      <c r="E148" s="1098"/>
      <c r="F148" s="1098"/>
      <c r="G148" s="1098"/>
      <c r="H148" s="1098"/>
      <c r="I148" s="1098"/>
      <c r="J148" s="1098"/>
      <c r="K148" s="1098"/>
      <c r="L148" s="1098"/>
      <c r="M148" s="1098"/>
      <c r="N148" s="1098"/>
      <c r="O148" s="901">
        <f>SUM(O12:O147)</f>
        <v>356.5</v>
      </c>
      <c r="P148" s="901">
        <f t="shared" ref="P148:AD148" si="0">SUM(P12:P147)</f>
        <v>186.7</v>
      </c>
      <c r="Q148" s="901">
        <f t="shared" si="0"/>
        <v>733.5</v>
      </c>
      <c r="R148" s="901">
        <f t="shared" si="0"/>
        <v>0</v>
      </c>
      <c r="S148" s="901">
        <f t="shared" si="0"/>
        <v>6</v>
      </c>
      <c r="T148" s="901">
        <f t="shared" si="0"/>
        <v>122</v>
      </c>
      <c r="U148" s="901">
        <f t="shared" si="0"/>
        <v>133.5</v>
      </c>
      <c r="V148" s="901">
        <f t="shared" si="0"/>
        <v>601</v>
      </c>
      <c r="W148" s="901">
        <f t="shared" si="0"/>
        <v>0</v>
      </c>
      <c r="X148" s="901">
        <f t="shared" si="0"/>
        <v>147.9</v>
      </c>
      <c r="Y148" s="901">
        <f t="shared" si="0"/>
        <v>484.5</v>
      </c>
      <c r="Z148" s="901">
        <f t="shared" si="0"/>
        <v>320.2</v>
      </c>
      <c r="AA148" s="901">
        <f t="shared" si="0"/>
        <v>1334.5</v>
      </c>
      <c r="AB148" s="901">
        <f t="shared" si="0"/>
        <v>0</v>
      </c>
      <c r="AC148" s="901">
        <f t="shared" si="0"/>
        <v>153.9</v>
      </c>
      <c r="AD148" s="901">
        <f t="shared" si="0"/>
        <v>2293.1</v>
      </c>
      <c r="AE148" s="901"/>
      <c r="AF148" s="901"/>
      <c r="AG148" s="901"/>
      <c r="AH148" s="901"/>
      <c r="AI148" s="901"/>
      <c r="AJ148" s="901"/>
      <c r="AK148" s="901">
        <f>SUM(AK12:AK147)</f>
        <v>54090584</v>
      </c>
      <c r="AL148" s="790"/>
    </row>
    <row r="154" spans="1:38" x14ac:dyDescent="0.35">
      <c r="Q154" t="s">
        <v>592</v>
      </c>
    </row>
  </sheetData>
  <mergeCells count="33">
    <mergeCell ref="A148:N148"/>
    <mergeCell ref="D9:D11"/>
    <mergeCell ref="N9:N11"/>
    <mergeCell ref="H10:H11"/>
    <mergeCell ref="L9:M9"/>
    <mergeCell ref="F10:F11"/>
    <mergeCell ref="G10:G11"/>
    <mergeCell ref="H9:I9"/>
    <mergeCell ref="M10:M11"/>
    <mergeCell ref="J10:J11"/>
    <mergeCell ref="AL9:AL11"/>
    <mergeCell ref="AK9:AK11"/>
    <mergeCell ref="AJ9:AJ11"/>
    <mergeCell ref="AI9:AI11"/>
    <mergeCell ref="O10:S10"/>
    <mergeCell ref="I10:I11"/>
    <mergeCell ref="J9:K9"/>
    <mergeCell ref="A1:AJ1"/>
    <mergeCell ref="A4:AJ4"/>
    <mergeCell ref="A8:AJ8"/>
    <mergeCell ref="A9:A11"/>
    <mergeCell ref="B9:B11"/>
    <mergeCell ref="L10:L11"/>
    <mergeCell ref="E10:E11"/>
    <mergeCell ref="Y10:AD10"/>
    <mergeCell ref="O9:AD9"/>
    <mergeCell ref="C9:C11"/>
    <mergeCell ref="E9:G9"/>
    <mergeCell ref="AE9:AF10"/>
    <mergeCell ref="AH9:AH11"/>
    <mergeCell ref="AG9:AG11"/>
    <mergeCell ref="T10:X10"/>
    <mergeCell ref="K10:K11"/>
  </mergeCells>
  <phoneticPr fontId="1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abrevations</vt:lpstr>
      <vt:lpstr> JUIN </vt:lpstr>
      <vt:lpstr>JUILLET</vt:lpstr>
      <vt:lpstr>AOUT</vt:lpstr>
      <vt:lpstr>SEPTEMBRE</vt:lpstr>
      <vt:lpstr>OCTOBRE</vt:lpstr>
      <vt:lpstr>BILAN ANNUEL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Blue Info 38</cp:lastModifiedBy>
  <cp:lastPrinted>2015-07-01T07:43:30Z</cp:lastPrinted>
  <dcterms:created xsi:type="dcterms:W3CDTF">2011-06-23T08:29:56Z</dcterms:created>
  <dcterms:modified xsi:type="dcterms:W3CDTF">2026-02-04T14:03:07Z</dcterms:modified>
</cp:coreProperties>
</file>