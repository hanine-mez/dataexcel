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320" activeTab="6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</sheets>
  <definedNames>
    <definedName name="_xlnm._FilterDatabase" localSheetId="0" hidden="1">'2011'!$A$9:$AK$105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2" i="8" l="1"/>
  <c r="AA22" i="8"/>
  <c r="W22" i="8"/>
  <c r="V22" i="8"/>
  <c r="U22" i="8"/>
  <c r="T22" i="8"/>
  <c r="S22" i="8"/>
  <c r="R22" i="8"/>
  <c r="Q22" i="8"/>
  <c r="P22" i="8"/>
  <c r="O22" i="8"/>
  <c r="N22" i="8"/>
  <c r="AC21" i="8"/>
  <c r="X21" i="8"/>
  <c r="X20" i="8"/>
  <c r="AC20" i="8" s="1"/>
  <c r="X19" i="8"/>
  <c r="AC19" i="8" s="1"/>
  <c r="X18" i="8"/>
  <c r="AC18" i="8" s="1"/>
  <c r="AC17" i="8"/>
  <c r="Z17" i="8"/>
  <c r="Y17" i="8"/>
  <c r="X17" i="8"/>
  <c r="Z16" i="8"/>
  <c r="Y16" i="8"/>
  <c r="X16" i="8"/>
  <c r="AC16" i="8" s="1"/>
  <c r="Y15" i="8"/>
  <c r="X15" i="8"/>
  <c r="Z14" i="8"/>
  <c r="Y14" i="8"/>
  <c r="X14" i="8"/>
  <c r="Z13" i="8"/>
  <c r="Y13" i="8"/>
  <c r="X13" i="8"/>
  <c r="Z12" i="8"/>
  <c r="Z22" i="8" s="1"/>
  <c r="Y12" i="8"/>
  <c r="X12" i="8"/>
  <c r="AJ92" i="6"/>
  <c r="W92" i="6"/>
  <c r="V92" i="6"/>
  <c r="U92" i="6"/>
  <c r="T92" i="6"/>
  <c r="R92" i="6"/>
  <c r="Q92" i="6"/>
  <c r="P92" i="6"/>
  <c r="O92" i="6"/>
  <c r="AC61" i="6"/>
  <c r="AB61" i="6"/>
  <c r="AA61" i="6"/>
  <c r="Z61" i="6"/>
  <c r="Y61" i="6"/>
  <c r="AC55" i="6"/>
  <c r="AB55" i="6"/>
  <c r="AA55" i="6"/>
  <c r="Z55" i="6"/>
  <c r="AC54" i="6"/>
  <c r="AB54" i="6"/>
  <c r="AA54" i="6"/>
  <c r="Z54" i="6"/>
  <c r="Y54" i="6"/>
  <c r="AC48" i="6"/>
  <c r="AB48" i="6"/>
  <c r="AA48" i="6"/>
  <c r="Z48" i="6"/>
  <c r="Y48" i="6"/>
  <c r="AD48" i="6" s="1"/>
  <c r="AC47" i="6"/>
  <c r="AB47" i="6"/>
  <c r="AA47" i="6"/>
  <c r="Z47" i="6"/>
  <c r="Y47" i="6"/>
  <c r="AC46" i="6"/>
  <c r="AB46" i="6"/>
  <c r="AA46" i="6"/>
  <c r="Z46" i="6"/>
  <c r="Y46" i="6"/>
  <c r="AC44" i="6"/>
  <c r="AB44" i="6"/>
  <c r="AA44" i="6"/>
  <c r="Z44" i="6"/>
  <c r="Y44" i="6"/>
  <c r="AC42" i="6"/>
  <c r="AB42" i="6"/>
  <c r="AA42" i="6"/>
  <c r="Z42" i="6"/>
  <c r="Y42" i="6"/>
  <c r="AC41" i="6"/>
  <c r="AB41" i="6"/>
  <c r="AA41" i="6"/>
  <c r="Z41" i="6"/>
  <c r="AD41" i="6" s="1"/>
  <c r="Y41" i="6"/>
  <c r="Y39" i="6"/>
  <c r="AC38" i="6"/>
  <c r="AB38" i="6"/>
  <c r="AA38" i="6"/>
  <c r="Z38" i="6"/>
  <c r="Y38" i="6"/>
  <c r="AC37" i="6"/>
  <c r="AB37" i="6"/>
  <c r="AA37" i="6"/>
  <c r="Z37" i="6"/>
  <c r="Y37" i="6"/>
  <c r="AC36" i="6"/>
  <c r="AB36" i="6"/>
  <c r="AA36" i="6"/>
  <c r="Z36" i="6"/>
  <c r="Y36" i="6"/>
  <c r="AC35" i="6"/>
  <c r="AB35" i="6"/>
  <c r="AA35" i="6"/>
  <c r="Z35" i="6"/>
  <c r="Y35" i="6"/>
  <c r="AC34" i="6"/>
  <c r="AB34" i="6"/>
  <c r="AA34" i="6"/>
  <c r="Z34" i="6"/>
  <c r="Y34" i="6"/>
  <c r="AC33" i="6"/>
  <c r="AB33" i="6"/>
  <c r="AA33" i="6"/>
  <c r="Z33" i="6"/>
  <c r="Y33" i="6"/>
  <c r="AC32" i="6"/>
  <c r="AB32" i="6"/>
  <c r="AA32" i="6"/>
  <c r="Z32" i="6"/>
  <c r="Y32" i="6"/>
  <c r="AC31" i="6"/>
  <c r="AB31" i="6"/>
  <c r="AA31" i="6"/>
  <c r="Z31" i="6"/>
  <c r="Y31" i="6"/>
  <c r="AC30" i="6"/>
  <c r="AB30" i="6"/>
  <c r="AA30" i="6"/>
  <c r="Z30" i="6"/>
  <c r="Y30" i="6"/>
  <c r="AC29" i="6"/>
  <c r="AB29" i="6"/>
  <c r="AA29" i="6"/>
  <c r="Z29" i="6"/>
  <c r="Y29" i="6"/>
  <c r="AC28" i="6"/>
  <c r="AB28" i="6"/>
  <c r="AA28" i="6"/>
  <c r="Z28" i="6"/>
  <c r="Y28" i="6"/>
  <c r="AC27" i="6"/>
  <c r="AB27" i="6"/>
  <c r="AA27" i="6"/>
  <c r="Z27" i="6"/>
  <c r="Y27" i="6"/>
  <c r="AC26" i="6"/>
  <c r="AB26" i="6"/>
  <c r="AA26" i="6"/>
  <c r="Z26" i="6"/>
  <c r="Y26" i="6"/>
  <c r="AC25" i="6"/>
  <c r="AB25" i="6"/>
  <c r="AA25" i="6"/>
  <c r="Z25" i="6"/>
  <c r="Y25" i="6"/>
  <c r="AC24" i="6"/>
  <c r="AB24" i="6"/>
  <c r="AA24" i="6"/>
  <c r="Z24" i="6"/>
  <c r="Y24" i="6"/>
  <c r="AC23" i="6"/>
  <c r="AB23" i="6"/>
  <c r="AA23" i="6"/>
  <c r="Z23" i="6"/>
  <c r="Y23" i="6"/>
  <c r="AC22" i="6"/>
  <c r="AB22" i="6"/>
  <c r="AA22" i="6"/>
  <c r="Z22" i="6"/>
  <c r="Y22" i="6"/>
  <c r="AC21" i="6"/>
  <c r="AB21" i="6"/>
  <c r="AA21" i="6"/>
  <c r="Z21" i="6"/>
  <c r="Y21" i="6"/>
  <c r="AC20" i="6"/>
  <c r="AB20" i="6"/>
  <c r="AA20" i="6"/>
  <c r="Z20" i="6"/>
  <c r="Y20" i="6"/>
  <c r="AC19" i="6"/>
  <c r="AB19" i="6"/>
  <c r="AA19" i="6"/>
  <c r="Z19" i="6"/>
  <c r="Y19" i="6"/>
  <c r="AC18" i="6"/>
  <c r="AB18" i="6"/>
  <c r="AB92" i="6" s="1"/>
  <c r="AA18" i="6"/>
  <c r="Z18" i="6"/>
  <c r="Y18" i="6"/>
  <c r="AC17" i="6"/>
  <c r="AB17" i="6"/>
  <c r="AA17" i="6"/>
  <c r="Z17" i="6"/>
  <c r="Y17" i="6"/>
  <c r="Y16" i="6"/>
  <c r="AD16" i="6" s="1"/>
  <c r="AD15" i="6"/>
  <c r="Y15" i="6"/>
  <c r="Y14" i="6"/>
  <c r="AD14" i="6" s="1"/>
  <c r="AC13" i="6"/>
  <c r="AB13" i="6"/>
  <c r="AA13" i="6"/>
  <c r="Z13" i="6"/>
  <c r="AD13" i="6" s="1"/>
  <c r="Y13" i="6"/>
  <c r="AJ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J106" i="7"/>
  <c r="AC106" i="7"/>
  <c r="AB106" i="7"/>
  <c r="X106" i="7"/>
  <c r="W106" i="7"/>
  <c r="V106" i="7"/>
  <c r="U106" i="7"/>
  <c r="T106" i="7"/>
  <c r="S106" i="7"/>
  <c r="R106" i="7"/>
  <c r="Q106" i="7"/>
  <c r="P106" i="7"/>
  <c r="O106" i="7"/>
  <c r="AA105" i="7"/>
  <c r="Z105" i="7"/>
  <c r="Y105" i="7"/>
  <c r="AA104" i="7"/>
  <c r="Z104" i="7"/>
  <c r="Y104" i="7"/>
  <c r="AA103" i="7"/>
  <c r="Z103" i="7"/>
  <c r="Y103" i="7"/>
  <c r="AA102" i="7"/>
  <c r="Z102" i="7"/>
  <c r="Y102" i="7"/>
  <c r="AA101" i="7"/>
  <c r="Z101" i="7"/>
  <c r="Y101" i="7"/>
  <c r="AA100" i="7"/>
  <c r="Z100" i="7"/>
  <c r="Y100" i="7"/>
  <c r="AA99" i="7"/>
  <c r="Z99" i="7"/>
  <c r="Y99" i="7"/>
  <c r="AA98" i="7"/>
  <c r="Z98" i="7"/>
  <c r="Y98" i="7"/>
  <c r="AA97" i="7"/>
  <c r="Z97" i="7"/>
  <c r="Y97" i="7"/>
  <c r="AA96" i="7"/>
  <c r="Z96" i="7"/>
  <c r="Y96" i="7"/>
  <c r="AA95" i="7"/>
  <c r="Z95" i="7"/>
  <c r="Y95" i="7"/>
  <c r="AA94" i="7"/>
  <c r="Z94" i="7"/>
  <c r="Y94" i="7"/>
  <c r="AA93" i="7"/>
  <c r="Z93" i="7"/>
  <c r="Y93" i="7"/>
  <c r="AA92" i="7"/>
  <c r="Z92" i="7"/>
  <c r="Y92" i="7"/>
  <c r="AA91" i="7"/>
  <c r="Z91" i="7"/>
  <c r="Y91" i="7"/>
  <c r="AA90" i="7"/>
  <c r="Z90" i="7"/>
  <c r="Y90" i="7"/>
  <c r="AA89" i="7"/>
  <c r="Z89" i="7"/>
  <c r="Y89" i="7"/>
  <c r="AA88" i="7"/>
  <c r="Z88" i="7"/>
  <c r="Y88" i="7"/>
  <c r="AA87" i="7"/>
  <c r="Z87" i="7"/>
  <c r="Y87" i="7"/>
  <c r="AA86" i="7"/>
  <c r="Z86" i="7"/>
  <c r="Y86" i="7"/>
  <c r="AA85" i="7"/>
  <c r="Z85" i="7"/>
  <c r="Y85" i="7"/>
  <c r="AA84" i="7"/>
  <c r="Z84" i="7"/>
  <c r="Y84" i="7"/>
  <c r="AA83" i="7"/>
  <c r="Z83" i="7"/>
  <c r="Y83" i="7"/>
  <c r="AA82" i="7"/>
  <c r="Z82" i="7"/>
  <c r="Y82" i="7"/>
  <c r="AA81" i="7"/>
  <c r="Z81" i="7"/>
  <c r="Y81" i="7"/>
  <c r="AA80" i="7"/>
  <c r="Z80" i="7"/>
  <c r="Y80" i="7"/>
  <c r="AA79" i="7"/>
  <c r="Z79" i="7"/>
  <c r="Y79" i="7"/>
  <c r="AA78" i="7"/>
  <c r="Z78" i="7"/>
  <c r="Y78" i="7"/>
  <c r="AA77" i="7"/>
  <c r="Z77" i="7"/>
  <c r="Y77" i="7"/>
  <c r="AA76" i="7"/>
  <c r="Z76" i="7"/>
  <c r="Y76" i="7"/>
  <c r="AA75" i="7"/>
  <c r="Z75" i="7"/>
  <c r="Y75" i="7"/>
  <c r="AA74" i="7"/>
  <c r="Z74" i="7"/>
  <c r="Y74" i="7"/>
  <c r="AA73" i="7"/>
  <c r="Z73" i="7"/>
  <c r="Y73" i="7"/>
  <c r="AA72" i="7"/>
  <c r="Z72" i="7"/>
  <c r="Y72" i="7"/>
  <c r="AA71" i="7"/>
  <c r="Z71" i="7"/>
  <c r="Y71" i="7"/>
  <c r="AA70" i="7"/>
  <c r="Z70" i="7"/>
  <c r="Y70" i="7"/>
  <c r="AA69" i="7"/>
  <c r="Z69" i="7"/>
  <c r="Y69" i="7"/>
  <c r="AA68" i="7"/>
  <c r="Z68" i="7"/>
  <c r="Y68" i="7"/>
  <c r="AA67" i="7"/>
  <c r="Z67" i="7"/>
  <c r="Y67" i="7"/>
  <c r="AA66" i="7"/>
  <c r="Z66" i="7"/>
  <c r="Y66" i="7"/>
  <c r="AA65" i="7"/>
  <c r="Z65" i="7"/>
  <c r="Y65" i="7"/>
  <c r="AA64" i="7"/>
  <c r="Z64" i="7"/>
  <c r="Y64" i="7"/>
  <c r="AA63" i="7"/>
  <c r="Z63" i="7"/>
  <c r="Y63" i="7"/>
  <c r="AA62" i="7"/>
  <c r="Z62" i="7"/>
  <c r="Y62" i="7"/>
  <c r="AA61" i="7"/>
  <c r="Z61" i="7"/>
  <c r="Y61" i="7"/>
  <c r="AA60" i="7"/>
  <c r="Z60" i="7"/>
  <c r="Y60" i="7"/>
  <c r="AA59" i="7"/>
  <c r="Z59" i="7"/>
  <c r="Y59" i="7"/>
  <c r="AA58" i="7"/>
  <c r="Z58" i="7"/>
  <c r="Y58" i="7"/>
  <c r="AA57" i="7"/>
  <c r="Z57" i="7"/>
  <c r="Y57" i="7"/>
  <c r="AA56" i="7"/>
  <c r="Z56" i="7"/>
  <c r="Y56" i="7"/>
  <c r="AA55" i="7"/>
  <c r="Z55" i="7"/>
  <c r="Y55" i="7"/>
  <c r="AA54" i="7"/>
  <c r="Z54" i="7"/>
  <c r="Y54" i="7"/>
  <c r="AA53" i="7"/>
  <c r="Z53" i="7"/>
  <c r="Y53" i="7"/>
  <c r="AA52" i="7"/>
  <c r="Z52" i="7"/>
  <c r="Y52" i="7"/>
  <c r="AA51" i="7"/>
  <c r="Z51" i="7"/>
  <c r="Y51" i="7"/>
  <c r="AA50" i="7"/>
  <c r="Z50" i="7"/>
  <c r="Y50" i="7"/>
  <c r="AA49" i="7"/>
  <c r="Z49" i="7"/>
  <c r="Y49" i="7"/>
  <c r="AA48" i="7"/>
  <c r="Z48" i="7"/>
  <c r="Y48" i="7"/>
  <c r="AA47" i="7"/>
  <c r="Z47" i="7"/>
  <c r="Y47" i="7"/>
  <c r="AA46" i="7"/>
  <c r="Z46" i="7"/>
  <c r="Y46" i="7"/>
  <c r="AA45" i="7"/>
  <c r="Z45" i="7"/>
  <c r="Y45" i="7"/>
  <c r="AA44" i="7"/>
  <c r="Z44" i="7"/>
  <c r="Y44" i="7"/>
  <c r="AA43" i="7"/>
  <c r="Z43" i="7"/>
  <c r="Y43" i="7"/>
  <c r="AA42" i="7"/>
  <c r="Z42" i="7"/>
  <c r="Y42" i="7"/>
  <c r="AA41" i="7"/>
  <c r="Z41" i="7"/>
  <c r="Y41" i="7"/>
  <c r="AA40" i="7"/>
  <c r="Z40" i="7"/>
  <c r="Y40" i="7"/>
  <c r="AA39" i="7"/>
  <c r="Z39" i="7"/>
  <c r="Y39" i="7"/>
  <c r="AA38" i="7"/>
  <c r="Z38" i="7"/>
  <c r="Y38" i="7"/>
  <c r="AA37" i="7"/>
  <c r="Z37" i="7"/>
  <c r="Y37" i="7"/>
  <c r="AA36" i="7"/>
  <c r="Z36" i="7"/>
  <c r="Y36" i="7"/>
  <c r="AA35" i="7"/>
  <c r="Z35" i="7"/>
  <c r="Y35" i="7"/>
  <c r="AA34" i="7"/>
  <c r="Z34" i="7"/>
  <c r="Y34" i="7"/>
  <c r="AA33" i="7"/>
  <c r="Z33" i="7"/>
  <c r="Y33" i="7"/>
  <c r="AA32" i="7"/>
  <c r="Z32" i="7"/>
  <c r="Y32" i="7"/>
  <c r="AA31" i="7"/>
  <c r="Z31" i="7"/>
  <c r="Y31" i="7"/>
  <c r="AA30" i="7"/>
  <c r="Z30" i="7"/>
  <c r="Y30" i="7"/>
  <c r="AA29" i="7"/>
  <c r="Z29" i="7"/>
  <c r="Y29" i="7"/>
  <c r="AA28" i="7"/>
  <c r="Z28" i="7"/>
  <c r="Y28" i="7"/>
  <c r="AA27" i="7"/>
  <c r="Z27" i="7"/>
  <c r="Y27" i="7"/>
  <c r="AA26" i="7"/>
  <c r="Z26" i="7"/>
  <c r="Y26" i="7"/>
  <c r="AA25" i="7"/>
  <c r="Z25" i="7"/>
  <c r="Y25" i="7"/>
  <c r="AA24" i="7"/>
  <c r="Z24" i="7"/>
  <c r="Y24" i="7"/>
  <c r="AA23" i="7"/>
  <c r="Z23" i="7"/>
  <c r="Y23" i="7"/>
  <c r="AA22" i="7"/>
  <c r="Z22" i="7"/>
  <c r="Y22" i="7"/>
  <c r="AA21" i="7"/>
  <c r="Z21" i="7"/>
  <c r="Y21" i="7"/>
  <c r="AA20" i="7"/>
  <c r="Z20" i="7"/>
  <c r="Y20" i="7"/>
  <c r="AA19" i="7"/>
  <c r="Z19" i="7"/>
  <c r="Y19" i="7"/>
  <c r="AA18" i="7"/>
  <c r="Z18" i="7"/>
  <c r="Y18" i="7"/>
  <c r="AA17" i="7"/>
  <c r="Z17" i="7"/>
  <c r="Y17" i="7"/>
  <c r="AA16" i="7"/>
  <c r="Z16" i="7"/>
  <c r="Y16" i="7"/>
  <c r="AA15" i="7"/>
  <c r="Z15" i="7"/>
  <c r="Y15" i="7"/>
  <c r="AA14" i="7"/>
  <c r="Z14" i="7"/>
  <c r="Y14" i="7"/>
  <c r="AA13" i="7"/>
  <c r="Z13" i="7"/>
  <c r="Y13" i="7"/>
  <c r="AK100" i="5"/>
  <c r="AJ100" i="5"/>
  <c r="V100" i="5"/>
  <c r="U100" i="5"/>
  <c r="T100" i="5"/>
  <c r="S100" i="5"/>
  <c r="R100" i="5"/>
  <c r="Q100" i="5"/>
  <c r="P100" i="5"/>
  <c r="O100" i="5"/>
  <c r="AA99" i="5"/>
  <c r="Z99" i="5"/>
  <c r="Y99" i="5"/>
  <c r="AA98" i="5"/>
  <c r="Z98" i="5"/>
  <c r="Y98" i="5"/>
  <c r="AA97" i="5"/>
  <c r="Z97" i="5"/>
  <c r="Y97" i="5"/>
  <c r="AA96" i="5"/>
  <c r="Z96" i="5"/>
  <c r="Y96" i="5"/>
  <c r="AD96" i="5" s="1"/>
  <c r="AA95" i="5"/>
  <c r="Z95" i="5"/>
  <c r="Y95" i="5"/>
  <c r="AA94" i="5"/>
  <c r="Z94" i="5"/>
  <c r="Y94" i="5"/>
  <c r="AA93" i="5"/>
  <c r="Z93" i="5"/>
  <c r="Y93" i="5"/>
  <c r="AA92" i="5"/>
  <c r="Z92" i="5"/>
  <c r="Y92" i="5"/>
  <c r="AA91" i="5"/>
  <c r="Z91" i="5"/>
  <c r="Y91" i="5"/>
  <c r="AA90" i="5"/>
  <c r="Z90" i="5"/>
  <c r="Y90" i="5"/>
  <c r="AA89" i="5"/>
  <c r="Z89" i="5"/>
  <c r="Y89" i="5"/>
  <c r="AA88" i="5"/>
  <c r="Z88" i="5"/>
  <c r="Y88" i="5"/>
  <c r="AD88" i="5" s="1"/>
  <c r="AA87" i="5"/>
  <c r="Z87" i="5"/>
  <c r="Y87" i="5"/>
  <c r="AA86" i="5"/>
  <c r="Z86" i="5"/>
  <c r="Y86" i="5"/>
  <c r="AA85" i="5"/>
  <c r="Z85" i="5"/>
  <c r="Y85" i="5"/>
  <c r="AA84" i="5"/>
  <c r="Z84" i="5"/>
  <c r="Y84" i="5"/>
  <c r="AA83" i="5"/>
  <c r="Z83" i="5"/>
  <c r="Y83" i="5"/>
  <c r="AA82" i="5"/>
  <c r="Z82" i="5"/>
  <c r="Y82" i="5"/>
  <c r="AA81" i="5"/>
  <c r="Z81" i="5"/>
  <c r="Y81" i="5"/>
  <c r="AA80" i="5"/>
  <c r="Z80" i="5"/>
  <c r="Y80" i="5"/>
  <c r="AD80" i="5" s="1"/>
  <c r="AA79" i="5"/>
  <c r="Z79" i="5"/>
  <c r="Y79" i="5"/>
  <c r="AA78" i="5"/>
  <c r="Z78" i="5"/>
  <c r="Y78" i="5"/>
  <c r="AA77" i="5"/>
  <c r="Z77" i="5"/>
  <c r="Y77" i="5"/>
  <c r="AA76" i="5"/>
  <c r="Z76" i="5"/>
  <c r="Y76" i="5"/>
  <c r="AA75" i="5"/>
  <c r="Z75" i="5"/>
  <c r="Y75" i="5"/>
  <c r="AA74" i="5"/>
  <c r="Z74" i="5"/>
  <c r="Y74" i="5"/>
  <c r="AA73" i="5"/>
  <c r="Z73" i="5"/>
  <c r="Y73" i="5"/>
  <c r="AA72" i="5"/>
  <c r="Z72" i="5"/>
  <c r="Y72" i="5"/>
  <c r="AD72" i="5" s="1"/>
  <c r="AA71" i="5"/>
  <c r="Z71" i="5"/>
  <c r="Y71" i="5"/>
  <c r="AA70" i="5"/>
  <c r="Z70" i="5"/>
  <c r="Y70" i="5"/>
  <c r="AA69" i="5"/>
  <c r="Z69" i="5"/>
  <c r="Y69" i="5"/>
  <c r="AA68" i="5"/>
  <c r="Z68" i="5"/>
  <c r="Y68" i="5"/>
  <c r="AA67" i="5"/>
  <c r="Z67" i="5"/>
  <c r="Y67" i="5"/>
  <c r="AA66" i="5"/>
  <c r="Z66" i="5"/>
  <c r="Y66" i="5"/>
  <c r="AA65" i="5"/>
  <c r="Z65" i="5"/>
  <c r="Y65" i="5"/>
  <c r="AB64" i="5"/>
  <c r="AA64" i="5"/>
  <c r="Z64" i="5"/>
  <c r="Y64" i="5"/>
  <c r="AB63" i="5"/>
  <c r="AA63" i="5"/>
  <c r="Z63" i="5"/>
  <c r="Y63" i="5"/>
  <c r="AB62" i="5"/>
  <c r="AA62" i="5"/>
  <c r="Z62" i="5"/>
  <c r="Y62" i="5"/>
  <c r="AB61" i="5"/>
  <c r="AA61" i="5"/>
  <c r="Z61" i="5"/>
  <c r="Y61" i="5"/>
  <c r="AB60" i="5"/>
  <c r="AA60" i="5"/>
  <c r="Z60" i="5"/>
  <c r="Y60" i="5"/>
  <c r="AB59" i="5"/>
  <c r="AA59" i="5"/>
  <c r="Z59" i="5"/>
  <c r="Y59" i="5"/>
  <c r="AB58" i="5"/>
  <c r="AA58" i="5"/>
  <c r="Z58" i="5"/>
  <c r="Y58" i="5"/>
  <c r="AB57" i="5"/>
  <c r="AA57" i="5"/>
  <c r="Z57" i="5"/>
  <c r="Y57" i="5"/>
  <c r="AB56" i="5"/>
  <c r="AA56" i="5"/>
  <c r="Z56" i="5"/>
  <c r="Y56" i="5"/>
  <c r="AB55" i="5"/>
  <c r="AA55" i="5"/>
  <c r="Z55" i="5"/>
  <c r="Y55" i="5"/>
  <c r="AB54" i="5"/>
  <c r="AA54" i="5"/>
  <c r="Z54" i="5"/>
  <c r="Y54" i="5"/>
  <c r="AB53" i="5"/>
  <c r="AA53" i="5"/>
  <c r="Z53" i="5"/>
  <c r="Y53" i="5"/>
  <c r="AB52" i="5"/>
  <c r="AA52" i="5"/>
  <c r="Z52" i="5"/>
  <c r="Y52" i="5"/>
  <c r="AB51" i="5"/>
  <c r="AA51" i="5"/>
  <c r="Z51" i="5"/>
  <c r="Y51" i="5"/>
  <c r="AB50" i="5"/>
  <c r="AA50" i="5"/>
  <c r="Z50" i="5"/>
  <c r="Y50" i="5"/>
  <c r="AB49" i="5"/>
  <c r="AA49" i="5"/>
  <c r="Z49" i="5"/>
  <c r="Y49" i="5"/>
  <c r="AB48" i="5"/>
  <c r="AA48" i="5"/>
  <c r="Z48" i="5"/>
  <c r="Y48" i="5"/>
  <c r="AB47" i="5"/>
  <c r="AA47" i="5"/>
  <c r="Z47" i="5"/>
  <c r="Y47" i="5"/>
  <c r="AB46" i="5"/>
  <c r="AA46" i="5"/>
  <c r="Z46" i="5"/>
  <c r="Y46" i="5"/>
  <c r="AB45" i="5"/>
  <c r="AA45" i="5"/>
  <c r="Z45" i="5"/>
  <c r="Y45" i="5"/>
  <c r="AB44" i="5"/>
  <c r="AA44" i="5"/>
  <c r="Z44" i="5"/>
  <c r="Y44" i="5"/>
  <c r="AB43" i="5"/>
  <c r="AA43" i="5"/>
  <c r="Z43" i="5"/>
  <c r="Y43" i="5"/>
  <c r="AB42" i="5"/>
  <c r="AA42" i="5"/>
  <c r="Z42" i="5"/>
  <c r="Y42" i="5"/>
  <c r="AB41" i="5"/>
  <c r="AA41" i="5"/>
  <c r="Z41" i="5"/>
  <c r="Y41" i="5"/>
  <c r="AB40" i="5"/>
  <c r="AA40" i="5"/>
  <c r="Z40" i="5"/>
  <c r="Y40" i="5"/>
  <c r="AB39" i="5"/>
  <c r="AA39" i="5"/>
  <c r="Z39" i="5"/>
  <c r="Y39" i="5"/>
  <c r="AB38" i="5"/>
  <c r="AA38" i="5"/>
  <c r="Z38" i="5"/>
  <c r="Y38" i="5"/>
  <c r="AB37" i="5"/>
  <c r="AA37" i="5"/>
  <c r="Z37" i="5"/>
  <c r="Y37" i="5"/>
  <c r="AB36" i="5"/>
  <c r="AA36" i="5"/>
  <c r="Z36" i="5"/>
  <c r="Y36" i="5"/>
  <c r="AB35" i="5"/>
  <c r="AA35" i="5"/>
  <c r="Z35" i="5"/>
  <c r="Y35" i="5"/>
  <c r="AB34" i="5"/>
  <c r="AA34" i="5"/>
  <c r="Z34" i="5"/>
  <c r="Y34" i="5"/>
  <c r="AB33" i="5"/>
  <c r="AA33" i="5"/>
  <c r="Z33" i="5"/>
  <c r="Y33" i="5"/>
  <c r="AB32" i="5"/>
  <c r="AA32" i="5"/>
  <c r="Z32" i="5"/>
  <c r="Y32" i="5"/>
  <c r="AB31" i="5"/>
  <c r="AA31" i="5"/>
  <c r="Z31" i="5"/>
  <c r="Y31" i="5"/>
  <c r="AB30" i="5"/>
  <c r="AA30" i="5"/>
  <c r="Z30" i="5"/>
  <c r="Y30" i="5"/>
  <c r="AB29" i="5"/>
  <c r="AA29" i="5"/>
  <c r="Z29" i="5"/>
  <c r="Y29" i="5"/>
  <c r="AB28" i="5"/>
  <c r="AA28" i="5"/>
  <c r="Z28" i="5"/>
  <c r="Y28" i="5"/>
  <c r="AB27" i="5"/>
  <c r="AA27" i="5"/>
  <c r="Z27" i="5"/>
  <c r="Y27" i="5"/>
  <c r="AB26" i="5"/>
  <c r="AA26" i="5"/>
  <c r="Z26" i="5"/>
  <c r="Y26" i="5"/>
  <c r="AB25" i="5"/>
  <c r="AA25" i="5"/>
  <c r="Z25" i="5"/>
  <c r="Y25" i="5"/>
  <c r="AB24" i="5"/>
  <c r="AA24" i="5"/>
  <c r="Z24" i="5"/>
  <c r="Y24" i="5"/>
  <c r="AB23" i="5"/>
  <c r="AA23" i="5"/>
  <c r="Z23" i="5"/>
  <c r="Y23" i="5"/>
  <c r="AB22" i="5"/>
  <c r="AA22" i="5"/>
  <c r="Z22" i="5"/>
  <c r="Y22" i="5"/>
  <c r="AB21" i="5"/>
  <c r="AA21" i="5"/>
  <c r="Z21" i="5"/>
  <c r="Y21" i="5"/>
  <c r="AB20" i="5"/>
  <c r="AA20" i="5"/>
  <c r="Z20" i="5"/>
  <c r="Y20" i="5"/>
  <c r="AB19" i="5"/>
  <c r="AA19" i="5"/>
  <c r="Z19" i="5"/>
  <c r="Y19" i="5"/>
  <c r="AB18" i="5"/>
  <c r="AA18" i="5"/>
  <c r="Z18" i="5"/>
  <c r="Y18" i="5"/>
  <c r="AB17" i="5"/>
  <c r="AA17" i="5"/>
  <c r="Z17" i="5"/>
  <c r="Y17" i="5"/>
  <c r="AB16" i="5"/>
  <c r="AA16" i="5"/>
  <c r="Z16" i="5"/>
  <c r="Y16" i="5"/>
  <c r="AB15" i="5"/>
  <c r="AA15" i="5"/>
  <c r="Z15" i="5"/>
  <c r="Y15" i="5"/>
  <c r="AB14" i="5"/>
  <c r="AA14" i="5"/>
  <c r="Z14" i="5"/>
  <c r="Y14" i="5"/>
  <c r="AC13" i="5"/>
  <c r="AB13" i="5"/>
  <c r="AA13" i="5"/>
  <c r="Z13" i="5"/>
  <c r="Y13" i="5"/>
  <c r="AJ209" i="4"/>
  <c r="V209" i="4"/>
  <c r="U209" i="4"/>
  <c r="T209" i="4"/>
  <c r="Q209" i="4"/>
  <c r="P209" i="4"/>
  <c r="O209" i="4"/>
  <c r="AB208" i="4"/>
  <c r="AA208" i="4"/>
  <c r="Z208" i="4"/>
  <c r="Y208" i="4"/>
  <c r="AB207" i="4"/>
  <c r="AA207" i="4"/>
  <c r="Z207" i="4"/>
  <c r="Y207" i="4"/>
  <c r="AB206" i="4"/>
  <c r="AA206" i="4"/>
  <c r="Z206" i="4"/>
  <c r="Y206" i="4"/>
  <c r="AB205" i="4"/>
  <c r="AA205" i="4"/>
  <c r="Z205" i="4"/>
  <c r="Y205" i="4"/>
  <c r="AB204" i="4"/>
  <c r="AA204" i="4"/>
  <c r="Z204" i="4"/>
  <c r="Y204" i="4"/>
  <c r="AB203" i="4"/>
  <c r="AA203" i="4"/>
  <c r="Z203" i="4"/>
  <c r="Y203" i="4"/>
  <c r="AB202" i="4"/>
  <c r="AA202" i="4"/>
  <c r="Z202" i="4"/>
  <c r="Y202" i="4"/>
  <c r="AA201" i="4"/>
  <c r="Z201" i="4"/>
  <c r="Y201" i="4"/>
  <c r="AA200" i="4"/>
  <c r="Z200" i="4"/>
  <c r="Y200" i="4"/>
  <c r="AD200" i="4" s="1"/>
  <c r="AA199" i="4"/>
  <c r="Z199" i="4"/>
  <c r="Y199" i="4"/>
  <c r="AA198" i="4"/>
  <c r="Z198" i="4"/>
  <c r="Y198" i="4"/>
  <c r="AA197" i="4"/>
  <c r="Z197" i="4"/>
  <c r="Y197" i="4"/>
  <c r="AD197" i="4" s="1"/>
  <c r="AA196" i="4"/>
  <c r="Z196" i="4"/>
  <c r="Y196" i="4"/>
  <c r="AA195" i="4"/>
  <c r="Z195" i="4"/>
  <c r="Y195" i="4"/>
  <c r="AA194" i="4"/>
  <c r="Z194" i="4"/>
  <c r="Y194" i="4"/>
  <c r="AA193" i="4"/>
  <c r="Z193" i="4"/>
  <c r="Y193" i="4"/>
  <c r="AA192" i="4"/>
  <c r="Z192" i="4"/>
  <c r="Y192" i="4"/>
  <c r="AD192" i="4" s="1"/>
  <c r="AA191" i="4"/>
  <c r="Z191" i="4"/>
  <c r="Y191" i="4"/>
  <c r="AA190" i="4"/>
  <c r="Z190" i="4"/>
  <c r="Y190" i="4"/>
  <c r="AA189" i="4"/>
  <c r="Z189" i="4"/>
  <c r="Y189" i="4"/>
  <c r="AD189" i="4" s="1"/>
  <c r="AA188" i="4"/>
  <c r="Z188" i="4"/>
  <c r="Y188" i="4"/>
  <c r="AA187" i="4"/>
  <c r="Z187" i="4"/>
  <c r="Y187" i="4"/>
  <c r="AA186" i="4"/>
  <c r="Z186" i="4"/>
  <c r="Y186" i="4"/>
  <c r="AA185" i="4"/>
  <c r="Z185" i="4"/>
  <c r="Y185" i="4"/>
  <c r="AA184" i="4"/>
  <c r="Z184" i="4"/>
  <c r="Y184" i="4"/>
  <c r="AD184" i="4" s="1"/>
  <c r="AA183" i="4"/>
  <c r="Z183" i="4"/>
  <c r="Y183" i="4"/>
  <c r="AA182" i="4"/>
  <c r="Z182" i="4"/>
  <c r="Y182" i="4"/>
  <c r="AA181" i="4"/>
  <c r="Z181" i="4"/>
  <c r="Y181" i="4"/>
  <c r="AD181" i="4" s="1"/>
  <c r="AA180" i="4"/>
  <c r="Z180" i="4"/>
  <c r="Y180" i="4"/>
  <c r="AA179" i="4"/>
  <c r="Z179" i="4"/>
  <c r="Y179" i="4"/>
  <c r="AA178" i="4"/>
  <c r="Z178" i="4"/>
  <c r="Y178" i="4"/>
  <c r="AA177" i="4"/>
  <c r="Z177" i="4"/>
  <c r="Y177" i="4"/>
  <c r="AA176" i="4"/>
  <c r="Z176" i="4"/>
  <c r="Y176" i="4"/>
  <c r="AD176" i="4" s="1"/>
  <c r="AA175" i="4"/>
  <c r="Z175" i="4"/>
  <c r="Y175" i="4"/>
  <c r="AA174" i="4"/>
  <c r="Z174" i="4"/>
  <c r="Y174" i="4"/>
  <c r="AA173" i="4"/>
  <c r="Z173" i="4"/>
  <c r="Y173" i="4"/>
  <c r="AD173" i="4" s="1"/>
  <c r="AA172" i="4"/>
  <c r="Z172" i="4"/>
  <c r="Y172" i="4"/>
  <c r="AA171" i="4"/>
  <c r="Z171" i="4"/>
  <c r="Y171" i="4"/>
  <c r="AA170" i="4"/>
  <c r="Z170" i="4"/>
  <c r="Y170" i="4"/>
  <c r="AA169" i="4"/>
  <c r="Z169" i="4"/>
  <c r="Y169" i="4"/>
  <c r="AA168" i="4"/>
  <c r="Z168" i="4"/>
  <c r="Y168" i="4"/>
  <c r="AD168" i="4" s="1"/>
  <c r="AA167" i="4"/>
  <c r="Z167" i="4"/>
  <c r="Y167" i="4"/>
  <c r="AA166" i="4"/>
  <c r="Z166" i="4"/>
  <c r="Y166" i="4"/>
  <c r="AA165" i="4"/>
  <c r="Z165" i="4"/>
  <c r="Y165" i="4"/>
  <c r="AD165" i="4" s="1"/>
  <c r="AA164" i="4"/>
  <c r="Z164" i="4"/>
  <c r="Y164" i="4"/>
  <c r="AA163" i="4"/>
  <c r="Z163" i="4"/>
  <c r="Y163" i="4"/>
  <c r="AA162" i="4"/>
  <c r="Z162" i="4"/>
  <c r="Y162" i="4"/>
  <c r="AA161" i="4"/>
  <c r="Z161" i="4"/>
  <c r="Y161" i="4"/>
  <c r="AB160" i="4"/>
  <c r="AA160" i="4"/>
  <c r="Z160" i="4"/>
  <c r="Y160" i="4"/>
  <c r="AD160" i="4" s="1"/>
  <c r="AB159" i="4"/>
  <c r="AA159" i="4"/>
  <c r="Z159" i="4"/>
  <c r="Y159" i="4"/>
  <c r="AB158" i="4"/>
  <c r="AA158" i="4"/>
  <c r="Z158" i="4"/>
  <c r="Y158" i="4"/>
  <c r="AD158" i="4" s="1"/>
  <c r="AB157" i="4"/>
  <c r="AA157" i="4"/>
  <c r="Z157" i="4"/>
  <c r="Y157" i="4"/>
  <c r="AB156" i="4"/>
  <c r="AA156" i="4"/>
  <c r="Z156" i="4"/>
  <c r="Y156" i="4"/>
  <c r="AD156" i="4" s="1"/>
  <c r="AB155" i="4"/>
  <c r="AA155" i="4"/>
  <c r="Z155" i="4"/>
  <c r="Y155" i="4"/>
  <c r="AB154" i="4"/>
  <c r="AA154" i="4"/>
  <c r="Z154" i="4"/>
  <c r="Y154" i="4"/>
  <c r="AD154" i="4" s="1"/>
  <c r="AB153" i="4"/>
  <c r="AA153" i="4"/>
  <c r="Z153" i="4"/>
  <c r="Y153" i="4"/>
  <c r="AB152" i="4"/>
  <c r="AA152" i="4"/>
  <c r="Z152" i="4"/>
  <c r="Y152" i="4"/>
  <c r="AD152" i="4" s="1"/>
  <c r="AB151" i="4"/>
  <c r="AA151" i="4"/>
  <c r="Z151" i="4"/>
  <c r="Y151" i="4"/>
  <c r="AB150" i="4"/>
  <c r="AA150" i="4"/>
  <c r="Z150" i="4"/>
  <c r="Y150" i="4"/>
  <c r="AD150" i="4" s="1"/>
  <c r="AB149" i="4"/>
  <c r="AA149" i="4"/>
  <c r="Z149" i="4"/>
  <c r="Y149" i="4"/>
  <c r="AB148" i="4"/>
  <c r="AA148" i="4"/>
  <c r="Z148" i="4"/>
  <c r="Y148" i="4"/>
  <c r="AD148" i="4" s="1"/>
  <c r="AB147" i="4"/>
  <c r="AA147" i="4"/>
  <c r="Z147" i="4"/>
  <c r="Y147" i="4"/>
  <c r="AB146" i="4"/>
  <c r="AA146" i="4"/>
  <c r="Z146" i="4"/>
  <c r="Y146" i="4"/>
  <c r="AD146" i="4" s="1"/>
  <c r="AB145" i="4"/>
  <c r="AA145" i="4"/>
  <c r="Z145" i="4"/>
  <c r="Y145" i="4"/>
  <c r="AB144" i="4"/>
  <c r="AA144" i="4"/>
  <c r="Z144" i="4"/>
  <c r="Y144" i="4"/>
  <c r="AD144" i="4" s="1"/>
  <c r="AB143" i="4"/>
  <c r="AA143" i="4"/>
  <c r="Z143" i="4"/>
  <c r="Y143" i="4"/>
  <c r="AB142" i="4"/>
  <c r="AA142" i="4"/>
  <c r="Z142" i="4"/>
  <c r="Y142" i="4"/>
  <c r="AD142" i="4" s="1"/>
  <c r="AB141" i="4"/>
  <c r="AA141" i="4"/>
  <c r="Z141" i="4"/>
  <c r="Y141" i="4"/>
  <c r="AB140" i="4"/>
  <c r="AA140" i="4"/>
  <c r="Z140" i="4"/>
  <c r="Y140" i="4"/>
  <c r="AD140" i="4" s="1"/>
  <c r="AB139" i="4"/>
  <c r="AA139" i="4"/>
  <c r="Z139" i="4"/>
  <c r="Y139" i="4"/>
  <c r="AB138" i="4"/>
  <c r="AA138" i="4"/>
  <c r="Z138" i="4"/>
  <c r="Y138" i="4"/>
  <c r="AD138" i="4" s="1"/>
  <c r="AB137" i="4"/>
  <c r="AA137" i="4"/>
  <c r="Z137" i="4"/>
  <c r="Y137" i="4"/>
  <c r="AB136" i="4"/>
  <c r="AA136" i="4"/>
  <c r="Z136" i="4"/>
  <c r="Y136" i="4"/>
  <c r="AD136" i="4" s="1"/>
  <c r="AB135" i="4"/>
  <c r="AA135" i="4"/>
  <c r="Z135" i="4"/>
  <c r="Y135" i="4"/>
  <c r="AB134" i="4"/>
  <c r="AA134" i="4"/>
  <c r="Z134" i="4"/>
  <c r="Y134" i="4"/>
  <c r="AD134" i="4" s="1"/>
  <c r="AB133" i="4"/>
  <c r="AA133" i="4"/>
  <c r="Z133" i="4"/>
  <c r="Y133" i="4"/>
  <c r="AB132" i="4"/>
  <c r="AA132" i="4"/>
  <c r="Z132" i="4"/>
  <c r="Y132" i="4"/>
  <c r="AD132" i="4" s="1"/>
  <c r="AB131" i="4"/>
  <c r="AA131" i="4"/>
  <c r="Z131" i="4"/>
  <c r="Y131" i="4"/>
  <c r="AB130" i="4"/>
  <c r="AA130" i="4"/>
  <c r="Z130" i="4"/>
  <c r="Y130" i="4"/>
  <c r="AD130" i="4" s="1"/>
  <c r="AB129" i="4"/>
  <c r="AA129" i="4"/>
  <c r="Z129" i="4"/>
  <c r="Y129" i="4"/>
  <c r="AB128" i="4"/>
  <c r="AA128" i="4"/>
  <c r="Z128" i="4"/>
  <c r="Y128" i="4"/>
  <c r="AD128" i="4" s="1"/>
  <c r="AB127" i="4"/>
  <c r="AA127" i="4"/>
  <c r="Z127" i="4"/>
  <c r="Y127" i="4"/>
  <c r="AB126" i="4"/>
  <c r="AA126" i="4"/>
  <c r="Z126" i="4"/>
  <c r="Y126" i="4"/>
  <c r="AD126" i="4" s="1"/>
  <c r="AB125" i="4"/>
  <c r="AA125" i="4"/>
  <c r="Z125" i="4"/>
  <c r="Y125" i="4"/>
  <c r="AB124" i="4"/>
  <c r="AA124" i="4"/>
  <c r="Z124" i="4"/>
  <c r="Y124" i="4"/>
  <c r="AD124" i="4" s="1"/>
  <c r="AB123" i="4"/>
  <c r="AA123" i="4"/>
  <c r="Z123" i="4"/>
  <c r="Y123" i="4"/>
  <c r="AB122" i="4"/>
  <c r="AA122" i="4"/>
  <c r="Z122" i="4"/>
  <c r="Y122" i="4"/>
  <c r="AD122" i="4" s="1"/>
  <c r="AB121" i="4"/>
  <c r="AA121" i="4"/>
  <c r="Z121" i="4"/>
  <c r="Y121" i="4"/>
  <c r="AB120" i="4"/>
  <c r="AA120" i="4"/>
  <c r="Z120" i="4"/>
  <c r="Y120" i="4"/>
  <c r="AD120" i="4" s="1"/>
  <c r="AB119" i="4"/>
  <c r="AA119" i="4"/>
  <c r="Z119" i="4"/>
  <c r="Y119" i="4"/>
  <c r="AB118" i="4"/>
  <c r="AA118" i="4"/>
  <c r="Z118" i="4"/>
  <c r="Y118" i="4"/>
  <c r="AD118" i="4" s="1"/>
  <c r="AB117" i="4"/>
  <c r="AA117" i="4"/>
  <c r="Z117" i="4"/>
  <c r="Y117" i="4"/>
  <c r="AB116" i="4"/>
  <c r="AA116" i="4"/>
  <c r="Z116" i="4"/>
  <c r="Y116" i="4"/>
  <c r="AD116" i="4" s="1"/>
  <c r="AB115" i="4"/>
  <c r="AA115" i="4"/>
  <c r="Z115" i="4"/>
  <c r="Y115" i="4"/>
  <c r="AB114" i="4"/>
  <c r="AA114" i="4"/>
  <c r="Z114" i="4"/>
  <c r="Y114" i="4"/>
  <c r="AD114" i="4" s="1"/>
  <c r="AB113" i="4"/>
  <c r="AA113" i="4"/>
  <c r="Z113" i="4"/>
  <c r="Y113" i="4"/>
  <c r="AB112" i="4"/>
  <c r="AA112" i="4"/>
  <c r="Z112" i="4"/>
  <c r="Y112" i="4"/>
  <c r="AD112" i="4" s="1"/>
  <c r="AB111" i="4"/>
  <c r="AA111" i="4"/>
  <c r="Z111" i="4"/>
  <c r="Y111" i="4"/>
  <c r="AB110" i="4"/>
  <c r="AA110" i="4"/>
  <c r="Z110" i="4"/>
  <c r="Y110" i="4"/>
  <c r="AD110" i="4" s="1"/>
  <c r="AB109" i="4"/>
  <c r="AA109" i="4"/>
  <c r="Z109" i="4"/>
  <c r="Y109" i="4"/>
  <c r="AB108" i="4"/>
  <c r="AA108" i="4"/>
  <c r="Z108" i="4"/>
  <c r="Y108" i="4"/>
  <c r="AD108" i="4" s="1"/>
  <c r="AB107" i="4"/>
  <c r="AA107" i="4"/>
  <c r="Z107" i="4"/>
  <c r="Y107" i="4"/>
  <c r="AB106" i="4"/>
  <c r="AA106" i="4"/>
  <c r="Z106" i="4"/>
  <c r="Y106" i="4"/>
  <c r="AD106" i="4" s="1"/>
  <c r="AB105" i="4"/>
  <c r="AA105" i="4"/>
  <c r="Z105" i="4"/>
  <c r="Y105" i="4"/>
  <c r="AB104" i="4"/>
  <c r="AA104" i="4"/>
  <c r="Z104" i="4"/>
  <c r="Y104" i="4"/>
  <c r="AD104" i="4" s="1"/>
  <c r="AB103" i="4"/>
  <c r="AA103" i="4"/>
  <c r="Z103" i="4"/>
  <c r="Y103" i="4"/>
  <c r="AB102" i="4"/>
  <c r="AA102" i="4"/>
  <c r="Z102" i="4"/>
  <c r="Y102" i="4"/>
  <c r="AD102" i="4" s="1"/>
  <c r="AB101" i="4"/>
  <c r="AA101" i="4"/>
  <c r="Z101" i="4"/>
  <c r="Y101" i="4"/>
  <c r="AB100" i="4"/>
  <c r="AA100" i="4"/>
  <c r="Z100" i="4"/>
  <c r="Y100" i="4"/>
  <c r="AD100" i="4" s="1"/>
  <c r="AB99" i="4"/>
  <c r="AA99" i="4"/>
  <c r="Z99" i="4"/>
  <c r="Y99" i="4"/>
  <c r="AB98" i="4"/>
  <c r="AA98" i="4"/>
  <c r="Z98" i="4"/>
  <c r="Y98" i="4"/>
  <c r="AD98" i="4" s="1"/>
  <c r="AB97" i="4"/>
  <c r="AA97" i="4"/>
  <c r="Z97" i="4"/>
  <c r="Y97" i="4"/>
  <c r="AB96" i="4"/>
  <c r="AA96" i="4"/>
  <c r="Z96" i="4"/>
  <c r="Y96" i="4"/>
  <c r="AD96" i="4" s="1"/>
  <c r="AB95" i="4"/>
  <c r="AA95" i="4"/>
  <c r="Z95" i="4"/>
  <c r="Y95" i="4"/>
  <c r="AB94" i="4"/>
  <c r="AA94" i="4"/>
  <c r="Z94" i="4"/>
  <c r="Y94" i="4"/>
  <c r="AD94" i="4" s="1"/>
  <c r="AB93" i="4"/>
  <c r="AA93" i="4"/>
  <c r="Z93" i="4"/>
  <c r="Y93" i="4"/>
  <c r="AB92" i="4"/>
  <c r="AA92" i="4"/>
  <c r="Z92" i="4"/>
  <c r="Y92" i="4"/>
  <c r="AD92" i="4" s="1"/>
  <c r="AB91" i="4"/>
  <c r="AA91" i="4"/>
  <c r="Z91" i="4"/>
  <c r="Y91" i="4"/>
  <c r="AB90" i="4"/>
  <c r="AA90" i="4"/>
  <c r="Z90" i="4"/>
  <c r="Y90" i="4"/>
  <c r="AD90" i="4" s="1"/>
  <c r="AB89" i="4"/>
  <c r="AA89" i="4"/>
  <c r="Z89" i="4"/>
  <c r="Y89" i="4"/>
  <c r="AB88" i="4"/>
  <c r="AA88" i="4"/>
  <c r="Z88" i="4"/>
  <c r="Y88" i="4"/>
  <c r="AD88" i="4" s="1"/>
  <c r="AB87" i="4"/>
  <c r="AA87" i="4"/>
  <c r="Z87" i="4"/>
  <c r="Y87" i="4"/>
  <c r="AB86" i="4"/>
  <c r="AA86" i="4"/>
  <c r="Z86" i="4"/>
  <c r="Y86" i="4"/>
  <c r="AD86" i="4" s="1"/>
  <c r="AB85" i="4"/>
  <c r="AA85" i="4"/>
  <c r="Z85" i="4"/>
  <c r="Y85" i="4"/>
  <c r="AB84" i="4"/>
  <c r="AA84" i="4"/>
  <c r="Z84" i="4"/>
  <c r="Y84" i="4"/>
  <c r="AD84" i="4" s="1"/>
  <c r="AB83" i="4"/>
  <c r="AA83" i="4"/>
  <c r="Z83" i="4"/>
  <c r="Y83" i="4"/>
  <c r="AB82" i="4"/>
  <c r="AA82" i="4"/>
  <c r="Z82" i="4"/>
  <c r="Y82" i="4"/>
  <c r="AD82" i="4" s="1"/>
  <c r="AB81" i="4"/>
  <c r="AA81" i="4"/>
  <c r="Z81" i="4"/>
  <c r="Y81" i="4"/>
  <c r="AB80" i="4"/>
  <c r="AA80" i="4"/>
  <c r="Z80" i="4"/>
  <c r="Y80" i="4"/>
  <c r="AD80" i="4" s="1"/>
  <c r="AB79" i="4"/>
  <c r="AA79" i="4"/>
  <c r="Z79" i="4"/>
  <c r="Y79" i="4"/>
  <c r="AB78" i="4"/>
  <c r="AA78" i="4"/>
  <c r="Z78" i="4"/>
  <c r="Y78" i="4"/>
  <c r="AD78" i="4" s="1"/>
  <c r="AB77" i="4"/>
  <c r="AA77" i="4"/>
  <c r="Z77" i="4"/>
  <c r="Y77" i="4"/>
  <c r="AB76" i="4"/>
  <c r="AA76" i="4"/>
  <c r="Z76" i="4"/>
  <c r="Y76" i="4"/>
  <c r="AD76" i="4" s="1"/>
  <c r="AB75" i="4"/>
  <c r="AA75" i="4"/>
  <c r="Z75" i="4"/>
  <c r="Y75" i="4"/>
  <c r="AB74" i="4"/>
  <c r="AA74" i="4"/>
  <c r="Z74" i="4"/>
  <c r="Y74" i="4"/>
  <c r="AD74" i="4" s="1"/>
  <c r="AB73" i="4"/>
  <c r="AA73" i="4"/>
  <c r="Z73" i="4"/>
  <c r="Y73" i="4"/>
  <c r="AB72" i="4"/>
  <c r="AA72" i="4"/>
  <c r="Z72" i="4"/>
  <c r="Y72" i="4"/>
  <c r="AD72" i="4" s="1"/>
  <c r="AB71" i="4"/>
  <c r="AA71" i="4"/>
  <c r="Z71" i="4"/>
  <c r="Y71" i="4"/>
  <c r="AB70" i="4"/>
  <c r="AA70" i="4"/>
  <c r="Z70" i="4"/>
  <c r="Y70" i="4"/>
  <c r="AD70" i="4" s="1"/>
  <c r="AB69" i="4"/>
  <c r="AA69" i="4"/>
  <c r="Z69" i="4"/>
  <c r="Y69" i="4"/>
  <c r="AB68" i="4"/>
  <c r="AA68" i="4"/>
  <c r="Z68" i="4"/>
  <c r="Y68" i="4"/>
  <c r="AD68" i="4" s="1"/>
  <c r="AB67" i="4"/>
  <c r="AA67" i="4"/>
  <c r="Z67" i="4"/>
  <c r="Y67" i="4"/>
  <c r="AB66" i="4"/>
  <c r="AA66" i="4"/>
  <c r="Z66" i="4"/>
  <c r="Y66" i="4"/>
  <c r="AD66" i="4" s="1"/>
  <c r="AB65" i="4"/>
  <c r="AA65" i="4"/>
  <c r="Z65" i="4"/>
  <c r="Y65" i="4"/>
  <c r="AB64" i="4"/>
  <c r="AA64" i="4"/>
  <c r="Z64" i="4"/>
  <c r="Y64" i="4"/>
  <c r="AD64" i="4" s="1"/>
  <c r="AB63" i="4"/>
  <c r="AA63" i="4"/>
  <c r="Z63" i="4"/>
  <c r="Y63" i="4"/>
  <c r="AB62" i="4"/>
  <c r="AA62" i="4"/>
  <c r="Z62" i="4"/>
  <c r="Y62" i="4"/>
  <c r="AD62" i="4" s="1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B21" i="4"/>
  <c r="AA21" i="4"/>
  <c r="AB20" i="4"/>
  <c r="AA20" i="4"/>
  <c r="Z20" i="4"/>
  <c r="AB19" i="4"/>
  <c r="AA19" i="4"/>
  <c r="Z19" i="4"/>
  <c r="Y19" i="4"/>
  <c r="AB18" i="4"/>
  <c r="AA18" i="4"/>
  <c r="Z18" i="4"/>
  <c r="Y18" i="4"/>
  <c r="AB17" i="4"/>
  <c r="AA17" i="4"/>
  <c r="Z17" i="4"/>
  <c r="Y17" i="4"/>
  <c r="AB16" i="4"/>
  <c r="AA16" i="4"/>
  <c r="Z16" i="4"/>
  <c r="Y16" i="4"/>
  <c r="AB15" i="4"/>
  <c r="AA15" i="4"/>
  <c r="Z15" i="4"/>
  <c r="Y15" i="4"/>
  <c r="AB14" i="4"/>
  <c r="AA14" i="4"/>
  <c r="Z14" i="4"/>
  <c r="AC13" i="4"/>
  <c r="AB13" i="4"/>
  <c r="AA13" i="4"/>
  <c r="Z13" i="4"/>
  <c r="AD13" i="4" s="1"/>
  <c r="AJ140" i="3"/>
  <c r="AD140" i="3"/>
  <c r="AA140" i="3"/>
  <c r="Z140" i="3"/>
  <c r="Y140" i="3"/>
  <c r="V140" i="3"/>
  <c r="U140" i="3"/>
  <c r="T140" i="3"/>
  <c r="S140" i="3"/>
  <c r="R140" i="3"/>
  <c r="Q140" i="3"/>
  <c r="P140" i="3"/>
  <c r="O140" i="3"/>
  <c r="AB226" i="2"/>
  <c r="AA226" i="2"/>
  <c r="Z226" i="2"/>
  <c r="Y226" i="2"/>
  <c r="W226" i="2"/>
  <c r="V226" i="2"/>
  <c r="U226" i="2"/>
  <c r="T226" i="2"/>
  <c r="S226" i="2"/>
  <c r="R226" i="2"/>
  <c r="Q226" i="2"/>
  <c r="P226" i="2"/>
  <c r="O226" i="2"/>
  <c r="AJ225" i="2"/>
  <c r="AJ224" i="2"/>
  <c r="AJ223" i="2"/>
  <c r="AJ222" i="2"/>
  <c r="AJ221" i="2"/>
  <c r="AJ220" i="2"/>
  <c r="AJ219" i="2"/>
  <c r="AJ218" i="2"/>
  <c r="AJ217" i="2"/>
  <c r="AJ216" i="2"/>
  <c r="AD216" i="2"/>
  <c r="AJ215" i="2"/>
  <c r="AD215" i="2"/>
  <c r="AJ214" i="2"/>
  <c r="AD214" i="2"/>
  <c r="AJ213" i="2"/>
  <c r="AD213" i="2"/>
  <c r="AJ212" i="2"/>
  <c r="AD212" i="2"/>
  <c r="AJ211" i="2"/>
  <c r="AD211" i="2"/>
  <c r="AG211" i="2" s="1"/>
  <c r="AJ210" i="2"/>
  <c r="AD210" i="2"/>
  <c r="AJ209" i="2"/>
  <c r="AD209" i="2"/>
  <c r="AJ208" i="2"/>
  <c r="AD208" i="2"/>
  <c r="AJ207" i="2"/>
  <c r="AD207" i="2"/>
  <c r="AJ206" i="2"/>
  <c r="AD206" i="2"/>
  <c r="AJ205" i="2"/>
  <c r="AD205" i="2"/>
  <c r="AJ204" i="2"/>
  <c r="AD204" i="2"/>
  <c r="AJ203" i="2"/>
  <c r="AD203" i="2"/>
  <c r="AJ202" i="2"/>
  <c r="AD202" i="2"/>
  <c r="AJ201" i="2"/>
  <c r="AD201" i="2"/>
  <c r="AJ200" i="2"/>
  <c r="AD200" i="2"/>
  <c r="AJ199" i="2"/>
  <c r="AD199" i="2"/>
  <c r="AJ198" i="2"/>
  <c r="AD198" i="2"/>
  <c r="AJ197" i="2"/>
  <c r="AD197" i="2"/>
  <c r="AJ196" i="2"/>
  <c r="AD196" i="2"/>
  <c r="AJ195" i="2"/>
  <c r="AD195" i="2"/>
  <c r="AJ194" i="2"/>
  <c r="AD194" i="2"/>
  <c r="AJ193" i="2"/>
  <c r="AD193" i="2"/>
  <c r="AJ192" i="2"/>
  <c r="AD192" i="2"/>
  <c r="AJ191" i="2"/>
  <c r="AD191" i="2"/>
  <c r="AJ190" i="2"/>
  <c r="AD190" i="2"/>
  <c r="AJ189" i="2"/>
  <c r="AD189" i="2"/>
  <c r="AJ188" i="2"/>
  <c r="AD188" i="2"/>
  <c r="AJ187" i="2"/>
  <c r="AD187" i="2"/>
  <c r="AJ186" i="2"/>
  <c r="AD186" i="2"/>
  <c r="AJ185" i="2"/>
  <c r="AD185" i="2"/>
  <c r="AJ184" i="2"/>
  <c r="AD184" i="2"/>
  <c r="AJ183" i="2"/>
  <c r="AD183" i="2"/>
  <c r="AJ182" i="2"/>
  <c r="AD182" i="2"/>
  <c r="AJ181" i="2"/>
  <c r="AD181" i="2"/>
  <c r="AJ180" i="2"/>
  <c r="AD180" i="2"/>
  <c r="AJ179" i="2"/>
  <c r="AD179" i="2"/>
  <c r="AJ178" i="2"/>
  <c r="AD178" i="2"/>
  <c r="AJ177" i="2"/>
  <c r="AD177" i="2"/>
  <c r="AJ176" i="2"/>
  <c r="AD176" i="2"/>
  <c r="AJ175" i="2"/>
  <c r="AD175" i="2"/>
  <c r="AJ174" i="2"/>
  <c r="AD174" i="2"/>
  <c r="AJ173" i="2"/>
  <c r="AD173" i="2"/>
  <c r="AJ172" i="2"/>
  <c r="AD172" i="2"/>
  <c r="AJ171" i="2"/>
  <c r="AD171" i="2"/>
  <c r="AJ170" i="2"/>
  <c r="AD170" i="2"/>
  <c r="AJ169" i="2"/>
  <c r="AD169" i="2"/>
  <c r="AJ168" i="2"/>
  <c r="AD168" i="2"/>
  <c r="AJ167" i="2"/>
  <c r="AD167" i="2"/>
  <c r="AJ166" i="2"/>
  <c r="AD166" i="2"/>
  <c r="AJ165" i="2"/>
  <c r="AD165" i="2"/>
  <c r="AJ164" i="2"/>
  <c r="AD164" i="2"/>
  <c r="AJ163" i="2"/>
  <c r="AD163" i="2"/>
  <c r="AJ162" i="2"/>
  <c r="AD162" i="2"/>
  <c r="AJ161" i="2"/>
  <c r="AD161" i="2"/>
  <c r="AJ160" i="2"/>
  <c r="AD160" i="2"/>
  <c r="AJ159" i="2"/>
  <c r="AD159" i="2"/>
  <c r="AJ158" i="2"/>
  <c r="AD158" i="2"/>
  <c r="AJ157" i="2"/>
  <c r="AD157" i="2"/>
  <c r="AJ156" i="2"/>
  <c r="AD156" i="2"/>
  <c r="AJ155" i="2"/>
  <c r="AD155" i="2"/>
  <c r="AJ154" i="2"/>
  <c r="AD154" i="2"/>
  <c r="AJ153" i="2"/>
  <c r="AD153" i="2"/>
  <c r="AJ152" i="2"/>
  <c r="AD152" i="2"/>
  <c r="AJ151" i="2"/>
  <c r="AD151" i="2"/>
  <c r="AJ150" i="2"/>
  <c r="AD150" i="2"/>
  <c r="AJ149" i="2"/>
  <c r="AD149" i="2"/>
  <c r="AJ148" i="2"/>
  <c r="AD148" i="2"/>
  <c r="AJ147" i="2"/>
  <c r="AD147" i="2"/>
  <c r="AJ146" i="2"/>
  <c r="AD146" i="2"/>
  <c r="AJ145" i="2"/>
  <c r="AD145" i="2"/>
  <c r="AJ144" i="2"/>
  <c r="AD144" i="2"/>
  <c r="AJ143" i="2"/>
  <c r="AD143" i="2"/>
  <c r="AJ142" i="2"/>
  <c r="AD142" i="2"/>
  <c r="AJ141" i="2"/>
  <c r="AD141" i="2"/>
  <c r="AJ140" i="2"/>
  <c r="AD140" i="2"/>
  <c r="AJ139" i="2"/>
  <c r="AD139" i="2"/>
  <c r="AJ138" i="2"/>
  <c r="AD138" i="2"/>
  <c r="AJ137" i="2"/>
  <c r="AD137" i="2"/>
  <c r="AJ136" i="2"/>
  <c r="AD136" i="2"/>
  <c r="AJ135" i="2"/>
  <c r="AD135" i="2"/>
  <c r="AJ134" i="2"/>
  <c r="AD134" i="2"/>
  <c r="AJ133" i="2"/>
  <c r="AD133" i="2"/>
  <c r="AJ132" i="2"/>
  <c r="AD132" i="2"/>
  <c r="AJ131" i="2"/>
  <c r="AD131" i="2"/>
  <c r="AJ130" i="2"/>
  <c r="AD130" i="2"/>
  <c r="AJ129" i="2"/>
  <c r="AD129" i="2"/>
  <c r="AJ128" i="2"/>
  <c r="AD128" i="2"/>
  <c r="AJ127" i="2"/>
  <c r="AD127" i="2"/>
  <c r="AJ126" i="2"/>
  <c r="AD126" i="2"/>
  <c r="AJ125" i="2"/>
  <c r="AD125" i="2"/>
  <c r="AJ124" i="2"/>
  <c r="AD124" i="2"/>
  <c r="AJ123" i="2"/>
  <c r="AD123" i="2"/>
  <c r="AJ122" i="2"/>
  <c r="AD122" i="2"/>
  <c r="AJ121" i="2"/>
  <c r="AD121" i="2"/>
  <c r="AJ120" i="2"/>
  <c r="AD120" i="2"/>
  <c r="AJ119" i="2"/>
  <c r="AD119" i="2"/>
  <c r="AJ118" i="2"/>
  <c r="AD118" i="2"/>
  <c r="AJ117" i="2"/>
  <c r="AD117" i="2"/>
  <c r="AJ116" i="2"/>
  <c r="AD116" i="2"/>
  <c r="AJ115" i="2"/>
  <c r="AD115" i="2"/>
  <c r="AJ114" i="2"/>
  <c r="AD114" i="2"/>
  <c r="AJ113" i="2"/>
  <c r="AD113" i="2"/>
  <c r="AJ112" i="2"/>
  <c r="AD112" i="2"/>
  <c r="AJ111" i="2"/>
  <c r="AD111" i="2"/>
  <c r="AJ110" i="2"/>
  <c r="AD110" i="2"/>
  <c r="AJ109" i="2"/>
  <c r="AD109" i="2"/>
  <c r="AJ108" i="2"/>
  <c r="AD108" i="2"/>
  <c r="AJ107" i="2"/>
  <c r="AD107" i="2"/>
  <c r="AJ106" i="2"/>
  <c r="AD106" i="2"/>
  <c r="AJ105" i="2"/>
  <c r="AD105" i="2"/>
  <c r="AJ104" i="2"/>
  <c r="AD104" i="2"/>
  <c r="AJ103" i="2"/>
  <c r="AD103" i="2"/>
  <c r="AJ102" i="2"/>
  <c r="AD102" i="2"/>
  <c r="AJ101" i="2"/>
  <c r="AD101" i="2"/>
  <c r="AJ100" i="2"/>
  <c r="AD100" i="2"/>
  <c r="AJ99" i="2"/>
  <c r="AD99" i="2"/>
  <c r="AJ98" i="2"/>
  <c r="AD98" i="2"/>
  <c r="AJ97" i="2"/>
  <c r="AD97" i="2"/>
  <c r="AJ96" i="2"/>
  <c r="AD96" i="2"/>
  <c r="AJ95" i="2"/>
  <c r="AD95" i="2"/>
  <c r="AJ94" i="2"/>
  <c r="AD94" i="2"/>
  <c r="AJ93" i="2"/>
  <c r="AD93" i="2"/>
  <c r="AJ92" i="2"/>
  <c r="AD92" i="2"/>
  <c r="AJ91" i="2"/>
  <c r="AD91" i="2"/>
  <c r="AJ90" i="2"/>
  <c r="AD90" i="2"/>
  <c r="AJ89" i="2"/>
  <c r="AD89" i="2"/>
  <c r="AJ88" i="2"/>
  <c r="AD88" i="2"/>
  <c r="AJ87" i="2"/>
  <c r="AD87" i="2"/>
  <c r="AJ86" i="2"/>
  <c r="AD86" i="2"/>
  <c r="AJ85" i="2"/>
  <c r="AD85" i="2"/>
  <c r="AJ84" i="2"/>
  <c r="AD84" i="2"/>
  <c r="AJ83" i="2"/>
  <c r="AD83" i="2"/>
  <c r="AJ82" i="2"/>
  <c r="AD82" i="2"/>
  <c r="AJ81" i="2"/>
  <c r="AD81" i="2"/>
  <c r="AJ80" i="2"/>
  <c r="AD80" i="2"/>
  <c r="AJ79" i="2"/>
  <c r="AD79" i="2"/>
  <c r="AJ78" i="2"/>
  <c r="AD78" i="2"/>
  <c r="AJ77" i="2"/>
  <c r="AD77" i="2"/>
  <c r="AJ76" i="2"/>
  <c r="AD76" i="2"/>
  <c r="AJ75" i="2"/>
  <c r="AD75" i="2"/>
  <c r="AJ74" i="2"/>
  <c r="AD74" i="2"/>
  <c r="AJ73" i="2"/>
  <c r="AD73" i="2"/>
  <c r="AJ72" i="2"/>
  <c r="AD72" i="2"/>
  <c r="AJ71" i="2"/>
  <c r="AD71" i="2"/>
  <c r="AJ70" i="2"/>
  <c r="AD70" i="2"/>
  <c r="AJ69" i="2"/>
  <c r="AD69" i="2"/>
  <c r="AJ68" i="2"/>
  <c r="AD68" i="2"/>
  <c r="AJ67" i="2"/>
  <c r="AD67" i="2"/>
  <c r="AJ66" i="2"/>
  <c r="AD66" i="2"/>
  <c r="AJ65" i="2"/>
  <c r="AD65" i="2"/>
  <c r="AJ64" i="2"/>
  <c r="AD64" i="2"/>
  <c r="AJ63" i="2"/>
  <c r="AD63" i="2"/>
  <c r="AJ62" i="2"/>
  <c r="AD62" i="2"/>
  <c r="AJ61" i="2"/>
  <c r="AD61" i="2"/>
  <c r="AJ60" i="2"/>
  <c r="AD60" i="2"/>
  <c r="AJ59" i="2"/>
  <c r="AD59" i="2"/>
  <c r="AJ58" i="2"/>
  <c r="AD58" i="2"/>
  <c r="AJ57" i="2"/>
  <c r="AD57" i="2"/>
  <c r="AJ56" i="2"/>
  <c r="AD56" i="2"/>
  <c r="AJ55" i="2"/>
  <c r="AD55" i="2"/>
  <c r="AJ54" i="2"/>
  <c r="AD54" i="2"/>
  <c r="AJ53" i="2"/>
  <c r="AD53" i="2"/>
  <c r="AJ52" i="2"/>
  <c r="AD52" i="2"/>
  <c r="AJ51" i="2"/>
  <c r="AD51" i="2"/>
  <c r="AJ50" i="2"/>
  <c r="AD50" i="2"/>
  <c r="AJ49" i="2"/>
  <c r="AD49" i="2"/>
  <c r="AJ48" i="2"/>
  <c r="AD48" i="2"/>
  <c r="AJ47" i="2"/>
  <c r="AD47" i="2"/>
  <c r="AJ46" i="2"/>
  <c r="AD46" i="2"/>
  <c r="AJ45" i="2"/>
  <c r="AD45" i="2"/>
  <c r="AJ44" i="2"/>
  <c r="AD44" i="2"/>
  <c r="AJ43" i="2"/>
  <c r="AD43" i="2"/>
  <c r="AJ42" i="2"/>
  <c r="AD42" i="2"/>
  <c r="AJ41" i="2"/>
  <c r="AD41" i="2"/>
  <c r="AJ40" i="2"/>
  <c r="AD40" i="2"/>
  <c r="AJ39" i="2"/>
  <c r="AD39" i="2"/>
  <c r="AJ38" i="2"/>
  <c r="AD38" i="2"/>
  <c r="AJ37" i="2"/>
  <c r="AD37" i="2"/>
  <c r="AJ36" i="2"/>
  <c r="AD36" i="2"/>
  <c r="AJ35" i="2"/>
  <c r="AD35" i="2"/>
  <c r="AJ34" i="2"/>
  <c r="AD34" i="2"/>
  <c r="AJ33" i="2"/>
  <c r="AD33" i="2"/>
  <c r="AJ32" i="2"/>
  <c r="AD32" i="2"/>
  <c r="AJ31" i="2"/>
  <c r="AD31" i="2"/>
  <c r="AJ30" i="2"/>
  <c r="AD30" i="2"/>
  <c r="AJ29" i="2"/>
  <c r="AD29" i="2"/>
  <c r="AJ28" i="2"/>
  <c r="AD28" i="2"/>
  <c r="AJ27" i="2"/>
  <c r="AD27" i="2"/>
  <c r="AJ26" i="2"/>
  <c r="AD26" i="2"/>
  <c r="AJ25" i="2"/>
  <c r="AD25" i="2"/>
  <c r="AJ24" i="2"/>
  <c r="AD24" i="2"/>
  <c r="AJ23" i="2"/>
  <c r="AD23" i="2"/>
  <c r="AJ22" i="2"/>
  <c r="AD22" i="2"/>
  <c r="AJ21" i="2"/>
  <c r="AD21" i="2"/>
  <c r="AJ20" i="2"/>
  <c r="AD20" i="2"/>
  <c r="AJ19" i="2"/>
  <c r="AD19" i="2"/>
  <c r="AJ18" i="2"/>
  <c r="AD18" i="2"/>
  <c r="AJ17" i="2"/>
  <c r="AD17" i="2"/>
  <c r="AJ16" i="2"/>
  <c r="AD16" i="2"/>
  <c r="AJ15" i="2"/>
  <c r="AD15" i="2"/>
  <c r="AJ14" i="2"/>
  <c r="AD14" i="2"/>
  <c r="AJ13" i="2"/>
  <c r="AD13" i="2"/>
  <c r="AD226" i="2" l="1"/>
  <c r="Y209" i="4"/>
  <c r="AD17" i="4"/>
  <c r="AD19" i="4"/>
  <c r="AD162" i="4"/>
  <c r="AD170" i="4"/>
  <c r="AD178" i="4"/>
  <c r="AD186" i="4"/>
  <c r="AD194" i="4"/>
  <c r="AD208" i="4"/>
  <c r="AD14" i="5"/>
  <c r="AD16" i="5"/>
  <c r="AD18" i="5"/>
  <c r="AD20" i="5"/>
  <c r="AD22" i="5"/>
  <c r="AD24" i="5"/>
  <c r="AD26" i="5"/>
  <c r="AD28" i="5"/>
  <c r="AD30" i="5"/>
  <c r="AD32" i="5"/>
  <c r="AD34" i="5"/>
  <c r="AD36" i="5"/>
  <c r="AD38" i="5"/>
  <c r="AD40" i="5"/>
  <c r="AD42" i="5"/>
  <c r="AD44" i="5"/>
  <c r="AD46" i="5"/>
  <c r="AD48" i="5"/>
  <c r="AD50" i="5"/>
  <c r="AD52" i="5"/>
  <c r="AD54" i="5"/>
  <c r="AD56" i="5"/>
  <c r="AD58" i="5"/>
  <c r="AD60" i="5"/>
  <c r="AD62" i="5"/>
  <c r="AD64" i="5"/>
  <c r="AD69" i="5"/>
  <c r="AD77" i="5"/>
  <c r="AD85" i="5"/>
  <c r="AD93" i="5"/>
  <c r="Z106" i="7"/>
  <c r="Z209" i="4"/>
  <c r="AA209" i="4"/>
  <c r="AD14" i="4"/>
  <c r="AD63" i="4"/>
  <c r="AD65" i="4"/>
  <c r="AD67" i="4"/>
  <c r="AD69" i="4"/>
  <c r="AD71" i="4"/>
  <c r="AD73" i="4"/>
  <c r="AJ226" i="2"/>
  <c r="AD21" i="4"/>
  <c r="AD163" i="4"/>
  <c r="AD171" i="4"/>
  <c r="AD179" i="4"/>
  <c r="AD187" i="4"/>
  <c r="AD195" i="4"/>
  <c r="AD67" i="5"/>
  <c r="AD75" i="5"/>
  <c r="AD83" i="5"/>
  <c r="AD91" i="5"/>
  <c r="AD99" i="5"/>
  <c r="AA92" i="6"/>
  <c r="AD17" i="6"/>
  <c r="AD22" i="6"/>
  <c r="AD25" i="6"/>
  <c r="AD30" i="6"/>
  <c r="AD33" i="6"/>
  <c r="AD16" i="4"/>
  <c r="AD18" i="4"/>
  <c r="AD20" i="4"/>
  <c r="AD166" i="4"/>
  <c r="AD174" i="4"/>
  <c r="AD182" i="4"/>
  <c r="AD190" i="4"/>
  <c r="AD198" i="4"/>
  <c r="AD203" i="4"/>
  <c r="AD205" i="4"/>
  <c r="AD207" i="4"/>
  <c r="Y100" i="5"/>
  <c r="AD70" i="5"/>
  <c r="AD78" i="5"/>
  <c r="AD86" i="5"/>
  <c r="AD94" i="5"/>
  <c r="Z92" i="6"/>
  <c r="AD44" i="6"/>
  <c r="AD55" i="6"/>
  <c r="AC14" i="8"/>
  <c r="AD75" i="4"/>
  <c r="AD77" i="4"/>
  <c r="AD79" i="4"/>
  <c r="AD81" i="4"/>
  <c r="AD83" i="4"/>
  <c r="AD85" i="4"/>
  <c r="AD87" i="4"/>
  <c r="AD89" i="4"/>
  <c r="AD91" i="4"/>
  <c r="AD93" i="4"/>
  <c r="AD95" i="4"/>
  <c r="AD97" i="4"/>
  <c r="AD99" i="4"/>
  <c r="AD101" i="4"/>
  <c r="AD103" i="4"/>
  <c r="AD105" i="4"/>
  <c r="AD107" i="4"/>
  <c r="AD109" i="4"/>
  <c r="AD111" i="4"/>
  <c r="AD113" i="4"/>
  <c r="AD115" i="4"/>
  <c r="AD117" i="4"/>
  <c r="AD119" i="4"/>
  <c r="AD121" i="4"/>
  <c r="AD123" i="4"/>
  <c r="AD125" i="4"/>
  <c r="AD127" i="4"/>
  <c r="AD129" i="4"/>
  <c r="AD131" i="4"/>
  <c r="AD133" i="4"/>
  <c r="AD135" i="4"/>
  <c r="AD137" i="4"/>
  <c r="AD139" i="4"/>
  <c r="AD141" i="4"/>
  <c r="AD143" i="4"/>
  <c r="AD145" i="4"/>
  <c r="AD147" i="4"/>
  <c r="AD149" i="4"/>
  <c r="AD151" i="4"/>
  <c r="AD153" i="4"/>
  <c r="AD155" i="4"/>
  <c r="AD157" i="4"/>
  <c r="AD159" i="4"/>
  <c r="AD161" i="4"/>
  <c r="AD169" i="4"/>
  <c r="AD177" i="4"/>
  <c r="AD185" i="4"/>
  <c r="AD193" i="4"/>
  <c r="AD201" i="4"/>
  <c r="AD13" i="5"/>
  <c r="AD15" i="5"/>
  <c r="AD100" i="5" s="1"/>
  <c r="AD17" i="5"/>
  <c r="AD19" i="5"/>
  <c r="AD21" i="5"/>
  <c r="AD23" i="5"/>
  <c r="AD25" i="5"/>
  <c r="AD27" i="5"/>
  <c r="AD29" i="5"/>
  <c r="AD31" i="5"/>
  <c r="AD33" i="5"/>
  <c r="AD35" i="5"/>
  <c r="AD37" i="5"/>
  <c r="AD39" i="5"/>
  <c r="AD41" i="5"/>
  <c r="AD43" i="5"/>
  <c r="AD45" i="5"/>
  <c r="AD47" i="5"/>
  <c r="AD49" i="5"/>
  <c r="AD51" i="5"/>
  <c r="AD53" i="5"/>
  <c r="AD55" i="5"/>
  <c r="AD57" i="5"/>
  <c r="AD59" i="5"/>
  <c r="AD61" i="5"/>
  <c r="AD63" i="5"/>
  <c r="AD65" i="5"/>
  <c r="AD73" i="5"/>
  <c r="AD81" i="5"/>
  <c r="AD89" i="5"/>
  <c r="AD97" i="5"/>
  <c r="AD19" i="6"/>
  <c r="AD24" i="6"/>
  <c r="AD27" i="6"/>
  <c r="AD32" i="6"/>
  <c r="AD35" i="6"/>
  <c r="AD164" i="4"/>
  <c r="AD172" i="4"/>
  <c r="AD180" i="4"/>
  <c r="AD188" i="4"/>
  <c r="AD196" i="4"/>
  <c r="AA100" i="5"/>
  <c r="AD68" i="5"/>
  <c r="AD76" i="5"/>
  <c r="AD84" i="5"/>
  <c r="AD92" i="5"/>
  <c r="AD42" i="6"/>
  <c r="AD47" i="6"/>
  <c r="X22" i="8"/>
  <c r="AD167" i="4"/>
  <c r="AD175" i="4"/>
  <c r="AD183" i="4"/>
  <c r="AD191" i="4"/>
  <c r="AD199" i="4"/>
  <c r="AD71" i="5"/>
  <c r="AD79" i="5"/>
  <c r="AD87" i="5"/>
  <c r="AD95" i="5"/>
  <c r="AD18" i="6"/>
  <c r="AD21" i="6"/>
  <c r="AD26" i="6"/>
  <c r="AD29" i="6"/>
  <c r="AD34" i="6"/>
  <c r="AD37" i="6"/>
  <c r="Y22" i="8"/>
  <c r="AD202" i="4"/>
  <c r="AD204" i="4"/>
  <c r="AD206" i="4"/>
  <c r="AD66" i="5"/>
  <c r="AD74" i="5"/>
  <c r="AD82" i="5"/>
  <c r="AD90" i="5"/>
  <c r="AD98" i="5"/>
  <c r="AD46" i="6"/>
  <c r="AD54" i="6"/>
  <c r="AD20" i="6"/>
  <c r="AD23" i="6"/>
  <c r="AD28" i="6"/>
  <c r="AD31" i="6"/>
  <c r="AD61" i="6"/>
  <c r="AC13" i="8"/>
  <c r="AD105" i="1"/>
  <c r="AC12" i="8"/>
  <c r="AD14" i="7"/>
  <c r="AD18" i="7"/>
  <c r="AD22" i="7"/>
  <c r="AD26" i="7"/>
  <c r="AD30" i="7"/>
  <c r="AD34" i="7"/>
  <c r="AD38" i="7"/>
  <c r="AD42" i="7"/>
  <c r="AD46" i="7"/>
  <c r="AD50" i="7"/>
  <c r="AD54" i="7"/>
  <c r="AD58" i="7"/>
  <c r="AD62" i="7"/>
  <c r="AD66" i="7"/>
  <c r="AD70" i="7"/>
  <c r="AD74" i="7"/>
  <c r="AD78" i="7"/>
  <c r="AD82" i="7"/>
  <c r="AD86" i="7"/>
  <c r="AD90" i="7"/>
  <c r="AD94" i="7"/>
  <c r="AD98" i="7"/>
  <c r="AD102" i="7"/>
  <c r="AA106" i="7"/>
  <c r="AD15" i="7"/>
  <c r="AD19" i="7"/>
  <c r="AD23" i="7"/>
  <c r="AD27" i="7"/>
  <c r="AD31" i="7"/>
  <c r="AD35" i="7"/>
  <c r="AD39" i="7"/>
  <c r="AD43" i="7"/>
  <c r="AD47" i="7"/>
  <c r="AD51" i="7"/>
  <c r="AD55" i="7"/>
  <c r="AD59" i="7"/>
  <c r="AD63" i="7"/>
  <c r="AD67" i="7"/>
  <c r="AD71" i="7"/>
  <c r="AD75" i="7"/>
  <c r="AD79" i="7"/>
  <c r="AD83" i="7"/>
  <c r="AD87" i="7"/>
  <c r="AD91" i="7"/>
  <c r="AD95" i="7"/>
  <c r="AD99" i="7"/>
  <c r="AD103" i="7"/>
  <c r="AD16" i="7"/>
  <c r="AD20" i="7"/>
  <c r="AD24" i="7"/>
  <c r="AD28" i="7"/>
  <c r="AD32" i="7"/>
  <c r="AD36" i="7"/>
  <c r="AD40" i="7"/>
  <c r="AD44" i="7"/>
  <c r="AD48" i="7"/>
  <c r="AD52" i="7"/>
  <c r="AD56" i="7"/>
  <c r="AD60" i="7"/>
  <c r="AD64" i="7"/>
  <c r="AD68" i="7"/>
  <c r="AD72" i="7"/>
  <c r="AD76" i="7"/>
  <c r="AD80" i="7"/>
  <c r="AD84" i="7"/>
  <c r="AD88" i="7"/>
  <c r="AD92" i="7"/>
  <c r="AD96" i="7"/>
  <c r="AD100" i="7"/>
  <c r="AD104" i="7"/>
  <c r="Y106" i="7"/>
  <c r="AD17" i="7"/>
  <c r="AD21" i="7"/>
  <c r="AD25" i="7"/>
  <c r="AD29" i="7"/>
  <c r="AD33" i="7"/>
  <c r="AD37" i="7"/>
  <c r="AD41" i="7"/>
  <c r="AD45" i="7"/>
  <c r="AD49" i="7"/>
  <c r="AD53" i="7"/>
  <c r="AD57" i="7"/>
  <c r="AD61" i="7"/>
  <c r="AD65" i="7"/>
  <c r="AD69" i="7"/>
  <c r="AD73" i="7"/>
  <c r="AD77" i="7"/>
  <c r="AD81" i="7"/>
  <c r="AD85" i="7"/>
  <c r="AD89" i="7"/>
  <c r="AD93" i="7"/>
  <c r="AD97" i="7"/>
  <c r="AD101" i="7"/>
  <c r="AD105" i="7"/>
  <c r="AD92" i="6"/>
  <c r="AD38" i="6"/>
  <c r="Y92" i="6"/>
  <c r="AD13" i="7"/>
  <c r="Z100" i="5"/>
  <c r="AD15" i="4"/>
  <c r="AD209" i="4" s="1"/>
  <c r="AC22" i="8" l="1"/>
  <c r="AD106" i="7"/>
</calcChain>
</file>

<file path=xl/sharedStrings.xml><?xml version="1.0" encoding="utf-8"?>
<sst xmlns="http://schemas.openxmlformats.org/spreadsheetml/2006/main" count="11166" uniqueCount="2901">
  <si>
    <t>R E P U B L I Q U E   A L G E R I E N N E   D E M O C R A T I Q U E   E T   P O P U L A I R E</t>
  </si>
  <si>
    <t>MINISTERE DE L'AGRICULTURE ET DU DEVELOPPEMENT RURAL</t>
  </si>
  <si>
    <t>CONSERVATION DES FORETS DE LA WILAYA DE:</t>
  </si>
  <si>
    <t>CAMPAGNE   2011</t>
  </si>
  <si>
    <t>N°</t>
  </si>
  <si>
    <t>DAIRA</t>
  </si>
  <si>
    <t>COMMUNE</t>
  </si>
  <si>
    <t>NOM FORET</t>
  </si>
  <si>
    <t>COORDONNEES GEOGRAPHIQUES</t>
  </si>
  <si>
    <t>DECLARATION</t>
  </si>
  <si>
    <t>INTERVENTION</t>
  </si>
  <si>
    <t>EXTINCTION</t>
  </si>
  <si>
    <t>ESSENCE</t>
  </si>
  <si>
    <t xml:space="preserve">SUPERFICIES PARCOURUES PAR LE FEU </t>
  </si>
  <si>
    <t>CONDITIONS METEO</t>
  </si>
  <si>
    <t>ORGANISMES</t>
  </si>
  <si>
    <t>EVALUATION</t>
  </si>
  <si>
    <t>ENQUETE</t>
  </si>
  <si>
    <t>OU</t>
  </si>
  <si>
    <t xml:space="preserve">LONGITUDE </t>
  </si>
  <si>
    <t xml:space="preserve">LATITUDE </t>
  </si>
  <si>
    <t>G P S</t>
  </si>
  <si>
    <t>DATE</t>
  </si>
  <si>
    <t>HEURE</t>
  </si>
  <si>
    <t>DOMANIALE</t>
  </si>
  <si>
    <t>PRIVEE</t>
  </si>
  <si>
    <t>TOTALE</t>
  </si>
  <si>
    <t>CAUSE (*)</t>
  </si>
  <si>
    <t>AUTEUR (*)</t>
  </si>
  <si>
    <t>SIGNALE</t>
  </si>
  <si>
    <t>(TEMPERATURE ET VENTS)</t>
  </si>
  <si>
    <t>PARTICIPANTS</t>
  </si>
  <si>
    <t>DES DEGATS</t>
  </si>
  <si>
    <t>(**)</t>
  </si>
  <si>
    <t>LIEU DIT</t>
  </si>
  <si>
    <t>x</t>
  </si>
  <si>
    <t>y</t>
  </si>
  <si>
    <t>(Altitude)</t>
  </si>
  <si>
    <t>PRINCIPALE (*)</t>
  </si>
  <si>
    <t>FORET</t>
  </si>
  <si>
    <t>MAQUIS</t>
  </si>
  <si>
    <t>BROUSS</t>
  </si>
  <si>
    <t>ALFA</t>
  </si>
  <si>
    <t>AUTRES</t>
  </si>
  <si>
    <t>TOTAL</t>
  </si>
  <si>
    <t>PAR (*)</t>
  </si>
  <si>
    <t>(VITESSE ET DIRECTION)</t>
  </si>
  <si>
    <t>A LA LUTTE (*)</t>
  </si>
  <si>
    <t>FINANCIERE EN (DA)</t>
  </si>
  <si>
    <t>Bechloul</t>
  </si>
  <si>
    <t>Elasnam</t>
  </si>
  <si>
    <t>F.D Azrou/ Bousserdoun</t>
  </si>
  <si>
    <t>36°22'6.46</t>
  </si>
  <si>
    <t>4°3'6.233</t>
  </si>
  <si>
    <t>P A</t>
  </si>
  <si>
    <t>ACTA</t>
  </si>
  <si>
    <t>Incon</t>
  </si>
  <si>
    <t>BM</t>
  </si>
  <si>
    <t xml:space="preserve">40°, Vent Calme </t>
  </si>
  <si>
    <t>SF+EAPC</t>
  </si>
  <si>
    <t>En cours</t>
  </si>
  <si>
    <t>F.D AZROU CANTON BOUSSERDOUN</t>
  </si>
  <si>
    <t>PA</t>
  </si>
  <si>
    <t>INCC</t>
  </si>
  <si>
    <t xml:space="preserve">40°, Vent modère </t>
  </si>
  <si>
    <t>SF</t>
  </si>
  <si>
    <t>VOL</t>
  </si>
  <si>
    <t>SF+PC+EAPC</t>
  </si>
  <si>
    <t>SEG</t>
  </si>
  <si>
    <t>F.P SEG CANTON OULED BOUSLAA</t>
  </si>
  <si>
    <t xml:space="preserve">MAQUIS </t>
  </si>
  <si>
    <t>IMP</t>
  </si>
  <si>
    <t>PV</t>
  </si>
  <si>
    <t>SF+PC</t>
  </si>
  <si>
    <t>36°21'40.05</t>
  </si>
  <si>
    <t>4°3'45.90</t>
  </si>
  <si>
    <t>Ouled rached</t>
  </si>
  <si>
    <t>F.D AHL KSAR CANTON TIGUERINE</t>
  </si>
  <si>
    <t>M'chedallah</t>
  </si>
  <si>
    <t>Aghbalou</t>
  </si>
  <si>
    <t>F.D OUED SAHEL CANTON AGHBALOU</t>
  </si>
  <si>
    <t>MAQUIS CV</t>
  </si>
  <si>
    <t>SF+PND+PC</t>
  </si>
  <si>
    <t>Haizer</t>
  </si>
  <si>
    <t>F.D.HAIZER CANTON BENI M'DOUR</t>
  </si>
  <si>
    <t>36°27'5.20</t>
  </si>
  <si>
    <t>4°2'55.29</t>
  </si>
  <si>
    <t xml:space="preserve">42°, Vent modère </t>
  </si>
  <si>
    <t>F.D.HAIZER CANTON BOUMECHREF</t>
  </si>
  <si>
    <t>36°24'23.88</t>
  </si>
  <si>
    <t>4°1'28.21</t>
  </si>
  <si>
    <t>12/072011</t>
  </si>
  <si>
    <t xml:space="preserve">38°, Vent modère </t>
  </si>
  <si>
    <t>F.D OUED SAHEL CANTON OUED EL BARED</t>
  </si>
  <si>
    <t>DECS</t>
  </si>
  <si>
    <t>Taghzout</t>
  </si>
  <si>
    <t>F.D.BOUIRA CANTON TAFERKA</t>
  </si>
  <si>
    <t>36°24'26.62</t>
  </si>
  <si>
    <t>3°57'11.29</t>
  </si>
  <si>
    <t>Ath mensour</t>
  </si>
  <si>
    <t>F.D.BENI MENSOUR CANTON AZROU GUELLAL</t>
  </si>
  <si>
    <t>Bordj Okhriss</t>
  </si>
  <si>
    <t>F.D.OUED OKHRISS CANTON TCHATCHE</t>
  </si>
  <si>
    <t>DW</t>
  </si>
  <si>
    <t>SF+EAPC+PC+DW</t>
  </si>
  <si>
    <t>El hakimia</t>
  </si>
  <si>
    <t>F.D.KESSANA CANTON KARROUMA</t>
  </si>
  <si>
    <t>Saharidj</t>
  </si>
  <si>
    <t>F.D.OUED SAHEL CANTON IGHIL BOUMASSE</t>
  </si>
  <si>
    <t>SF+EAPC+PC</t>
  </si>
  <si>
    <t>F.D.OUED SAHEL CANTON OUED RANA</t>
  </si>
  <si>
    <t>10PF</t>
  </si>
  <si>
    <t>F.D. BOUIRA CANTON SIDI SALEH</t>
  </si>
  <si>
    <t>36°25'10.83</t>
  </si>
  <si>
    <t>3°59'8.45</t>
  </si>
  <si>
    <t>F.D. HAIZER CANTON MIMOUNA</t>
  </si>
  <si>
    <t>43DISS</t>
  </si>
  <si>
    <t>INC</t>
  </si>
  <si>
    <t>F.D.HAIZER CANTON IGHIL MEDJBAR</t>
  </si>
  <si>
    <t>36°21'41.00</t>
  </si>
  <si>
    <t>4°2'21.65</t>
  </si>
  <si>
    <t>5PF</t>
  </si>
  <si>
    <t xml:space="preserve">F.D.HAIZER CANTON IGUENI </t>
  </si>
  <si>
    <t xml:space="preserve">MAQUIS CV </t>
  </si>
  <si>
    <t>F.D. BOUIRA CANTON TAFERKA</t>
  </si>
  <si>
    <t>36°22'42.36</t>
  </si>
  <si>
    <t>3°57'49.77</t>
  </si>
  <si>
    <t>F.D.HAIZER CANTON CHERGUI</t>
  </si>
  <si>
    <t>SF+PC+PND</t>
  </si>
  <si>
    <t>F.D. HAIZER CANTON IGHIL MEDJEBAR</t>
  </si>
  <si>
    <t>36°22'56.17</t>
  </si>
  <si>
    <t>4°1'34.76</t>
  </si>
  <si>
    <t>F.D. AZROU CANTON TOUMLILINE</t>
  </si>
  <si>
    <t>36°22'59.29</t>
  </si>
  <si>
    <t>4°6'31.84</t>
  </si>
  <si>
    <t xml:space="preserve">F.P IGHIL AZEM </t>
  </si>
  <si>
    <t>3PF</t>
  </si>
  <si>
    <t>Ahl Ksar</t>
  </si>
  <si>
    <t>F,D AHL KSAR CANTON TIZA</t>
  </si>
  <si>
    <t>36°22'53.32</t>
  </si>
  <si>
    <t>4°0'58.59</t>
  </si>
  <si>
    <t>F.D,.HAIZER CANTON TARACHA</t>
  </si>
  <si>
    <t>F.D. AHL KSAR CANTON IGHIL MEDJEBAR</t>
  </si>
  <si>
    <t>36°23'3.14</t>
  </si>
  <si>
    <t xml:space="preserve">  4° 0'50.73</t>
  </si>
  <si>
    <t>Bouira</t>
  </si>
  <si>
    <t xml:space="preserve">F.D. BOUIRA CANTON  TADJNANET OUEST </t>
  </si>
  <si>
    <t>36°25'16.58</t>
  </si>
  <si>
    <t>3°55'7.59</t>
  </si>
  <si>
    <t>38°,Vent modère</t>
  </si>
  <si>
    <t>El Adjiba</t>
  </si>
  <si>
    <t>F.D. AZROU CANTON BEN AISSI</t>
  </si>
  <si>
    <t>F.P.</t>
  </si>
  <si>
    <t>F.D. AHL KSAR CANTON BOUGUENDOUZ</t>
  </si>
  <si>
    <t>F.D. HAIZER CANTON KHENDRICHE</t>
  </si>
  <si>
    <t>36°24'50.543</t>
  </si>
  <si>
    <t xml:space="preserve">  4° 0'24.41</t>
  </si>
  <si>
    <t>Dechmia</t>
  </si>
  <si>
    <t>F.D.SOUR DJOUB CANTON AIN HAMMAM</t>
  </si>
  <si>
    <t>F.D. AHL KSAR CANTON DRAA OULED MHAMED</t>
  </si>
  <si>
    <t>El hachemia</t>
  </si>
  <si>
    <t xml:space="preserve">F.P.CANTON OUED BAOUCHE </t>
  </si>
  <si>
    <t>F.P.CANTON ERRICH</t>
  </si>
  <si>
    <t>36°23'41.245</t>
  </si>
  <si>
    <t>3°51'41.39</t>
  </si>
  <si>
    <t>CL</t>
  </si>
  <si>
    <t>40°,vent modère</t>
  </si>
  <si>
    <t>F.D.AZROU CANTON ERESSANE</t>
  </si>
  <si>
    <t>F.D. HAIZER CANTON IGHIL OUDJEBAR</t>
  </si>
  <si>
    <t>36°21'25.17</t>
  </si>
  <si>
    <t>4°1'45.27</t>
  </si>
  <si>
    <t>F.D. AHL KSAR CANTON TIZA</t>
  </si>
  <si>
    <t>F.D. SEBEKHA CANTON BOUMEDJRAINE</t>
  </si>
  <si>
    <t>Ahnif</t>
  </si>
  <si>
    <t>F.D.ESSEBKHA CANTON IDIS</t>
  </si>
  <si>
    <t>INA</t>
  </si>
  <si>
    <t>F.P.CANTON TOUMLILINE</t>
  </si>
  <si>
    <t>36°25'9.79</t>
  </si>
  <si>
    <t>4°5'33.94</t>
  </si>
  <si>
    <t>F.D.HAIZER CANTON KHENDOUS</t>
  </si>
  <si>
    <t>36°25'25.08</t>
  </si>
  <si>
    <t>4°6'54.53</t>
  </si>
  <si>
    <t>36°21'41.57</t>
  </si>
  <si>
    <t>4°1'29.49</t>
  </si>
  <si>
    <t>36°24'45.33</t>
  </si>
  <si>
    <t>3°53'6.65</t>
  </si>
  <si>
    <t>Mesdour</t>
  </si>
  <si>
    <t>F.P</t>
  </si>
  <si>
    <t>NEG</t>
  </si>
  <si>
    <t>F.D. BECHLOUL</t>
  </si>
  <si>
    <t>36°25'25.79</t>
  </si>
  <si>
    <t>4°5'54.30</t>
  </si>
  <si>
    <t>F.D. HAIZER CANTON CHERGUI</t>
  </si>
  <si>
    <t>F.D.OUED ISSAHEL CANTON IGHZER WAKOUR</t>
  </si>
  <si>
    <t>0,5 PF</t>
  </si>
  <si>
    <t xml:space="preserve">0,5 PF </t>
  </si>
  <si>
    <t>36°24'27.14</t>
  </si>
  <si>
    <t>4°6'13.34</t>
  </si>
  <si>
    <t>Lakhdaria</t>
  </si>
  <si>
    <t>Boudarbala</t>
  </si>
  <si>
    <t>F.D.BOUDERBALA CANTON BOUDES</t>
  </si>
  <si>
    <t>Ain turk</t>
  </si>
  <si>
    <t>F.D.BOUIRA CANTON TIKOUKA</t>
  </si>
  <si>
    <t>36°25'12.42</t>
  </si>
  <si>
    <t>3°51'10.60</t>
  </si>
  <si>
    <t>Oued El Berdi</t>
  </si>
  <si>
    <t>F.D.OUED ELBERDI CANTON BAB EL WASSIF</t>
  </si>
  <si>
    <t>F.D. DECHMIA CANTON DEHLA HAMRA</t>
  </si>
  <si>
    <t>Kadiria</t>
  </si>
  <si>
    <t xml:space="preserve">F.D. BENI KHALDOUNE CANTON BAKAS ELKBIR </t>
  </si>
  <si>
    <t>Ridane</t>
  </si>
  <si>
    <t>F.D. S.E.G CANTON RIDANE FIDH ELKBIR</t>
  </si>
  <si>
    <t xml:space="preserve">F.D.HAIZER CANTON THIZI KISS </t>
  </si>
  <si>
    <t>F.D. AZROU BENI AISSI CANTON KOURIAT</t>
  </si>
  <si>
    <t>Djebahia</t>
  </si>
  <si>
    <t>F.P. CANTON EL HAMMAM</t>
  </si>
  <si>
    <t>F.D. OUED SAHEL CANTON OUED EL BARED</t>
  </si>
  <si>
    <t>F.D.SOUR.DJOUAB CANTON AIN TAGUA</t>
  </si>
  <si>
    <t>F.D. BOUIRA TASSALA</t>
  </si>
  <si>
    <t>36°24'57.59</t>
  </si>
  <si>
    <t>3°59'32.329</t>
  </si>
  <si>
    <t>Guerguour</t>
  </si>
  <si>
    <t>F.D. BENI KHALFOUNE</t>
  </si>
  <si>
    <t>F.D. IGHIL MATEN CANTON ARKAZ</t>
  </si>
  <si>
    <t>36°25'45.49</t>
  </si>
  <si>
    <t xml:space="preserve"> 4° 5'34.57</t>
  </si>
  <si>
    <t>36°24'30.42</t>
  </si>
  <si>
    <t>3°50'49.91</t>
  </si>
  <si>
    <t>36°23'2.26</t>
  </si>
  <si>
    <t>4°2'10.99</t>
  </si>
  <si>
    <t>40°,Vent modère</t>
  </si>
  <si>
    <t>F.D. EL HACHEMIA CANTON HALOUFA</t>
  </si>
  <si>
    <t>F.P.BENI YEDDOU</t>
  </si>
  <si>
    <t>el adjiba</t>
  </si>
  <si>
    <t>Inc</t>
  </si>
  <si>
    <t>F.D. HAIZER CANTON IGHERMATEN</t>
  </si>
  <si>
    <t xml:space="preserve"> 36°24'21.12</t>
  </si>
  <si>
    <t>4°1'32.22</t>
  </si>
  <si>
    <t>F.D. HAIZER CANTON BOUMECHEREF</t>
  </si>
  <si>
    <t>36°24'23.83</t>
  </si>
  <si>
    <t>F.D. HAIZER CANTON LALA ZEMERA</t>
  </si>
  <si>
    <t>16/2011</t>
  </si>
  <si>
    <t>Bordj okhriss</t>
  </si>
  <si>
    <t>bordj okhriss</t>
  </si>
  <si>
    <t>F.D. BORDJ OKHRISS CANTON EL BAHIRA</t>
  </si>
  <si>
    <t>36°21'54.29</t>
  </si>
  <si>
    <t>4°1'53.79</t>
  </si>
  <si>
    <t xml:space="preserve">36°, Vent modère </t>
  </si>
  <si>
    <t>EL Asnam</t>
  </si>
  <si>
    <t>F.D.AZROU CANTON BOUSSERDOUNE</t>
  </si>
  <si>
    <t>36°23'2.70</t>
  </si>
  <si>
    <t>4°1'30.86</t>
  </si>
  <si>
    <t>bouira</t>
  </si>
  <si>
    <t>F.D.BOUIRA CANTON ERRICH</t>
  </si>
  <si>
    <t>36°25'17.93</t>
  </si>
  <si>
    <t>3°52'51.083</t>
  </si>
  <si>
    <t>F.D. HAIZER CANTON IGHIL MEDJBAR</t>
  </si>
  <si>
    <t>F.D. BOUIRA CANTON TIKOUKA</t>
  </si>
  <si>
    <t>36°24'27.25</t>
  </si>
  <si>
    <t>3°50'41.84</t>
  </si>
  <si>
    <t>VOl</t>
  </si>
  <si>
    <t>F.D. HAIZER CANTON ZEMOURA</t>
  </si>
  <si>
    <t>36°26'8.91</t>
  </si>
  <si>
    <t>3°48'50.85</t>
  </si>
  <si>
    <t>14:!10</t>
  </si>
  <si>
    <t>F.D. HAIZER CANTON IDHOUMAZ</t>
  </si>
  <si>
    <t>36°24'54.03</t>
  </si>
  <si>
    <t>4°4'53.51</t>
  </si>
  <si>
    <t>F.D. BOUIRA CANTON TAFARKA</t>
  </si>
  <si>
    <t>36°25'15.43</t>
  </si>
  <si>
    <t>3°57'0.02</t>
  </si>
  <si>
    <t>haizer</t>
  </si>
  <si>
    <t>36°25'9.84</t>
  </si>
  <si>
    <t>4°5'29.93</t>
  </si>
  <si>
    <t>guerrouma</t>
  </si>
  <si>
    <t>F.P.EL AACHA</t>
  </si>
  <si>
    <t>3°52'51.08</t>
  </si>
  <si>
    <t>EUC</t>
  </si>
  <si>
    <t>El adjiba</t>
  </si>
  <si>
    <t>F.D.AZROU CANTON BOULIMA</t>
  </si>
  <si>
    <t>F.D.KESSANA CANTON AIN ZERRARA</t>
  </si>
  <si>
    <t>M'CHEDALLAH</t>
  </si>
  <si>
    <t>SAHARIDJ</t>
  </si>
  <si>
    <t>F.P. CANTON LALA KHEDIDJA</t>
  </si>
  <si>
    <t>B</t>
  </si>
  <si>
    <t xml:space="preserve">Vol </t>
  </si>
  <si>
    <t>BECHLOUL</t>
  </si>
  <si>
    <t>EL ADJIBA</t>
  </si>
  <si>
    <t>F.P. CANTON TACHACHIT</t>
  </si>
  <si>
    <t>Total</t>
  </si>
  <si>
    <t>DIRECTION GENERALE DES FORETS</t>
  </si>
  <si>
    <t>CONSERVATION DES FORETS DE LA WILAYA DE BOUIRA</t>
  </si>
  <si>
    <t>CAMPAGNE   2012</t>
  </si>
  <si>
    <t>DU 1/06/2012 AU 31/10/2012</t>
  </si>
  <si>
    <t>CAUSE</t>
  </si>
  <si>
    <t>AUTEUR</t>
  </si>
  <si>
    <t>(*)</t>
  </si>
  <si>
    <t>PRINCIPALE</t>
  </si>
  <si>
    <t>PAR</t>
  </si>
  <si>
    <t>A LA LUTTE</t>
  </si>
  <si>
    <t xml:space="preserve"> 01.10.01.12</t>
  </si>
  <si>
    <t>BOUIRA</t>
  </si>
  <si>
    <t>F.D. BOUIRA CANTON ERRICH</t>
  </si>
  <si>
    <t>T°=38°C, VENT CALME</t>
  </si>
  <si>
    <t>SF,PC</t>
  </si>
  <si>
    <t>EN COURS</t>
  </si>
  <si>
    <t xml:space="preserve"> 02.10.06.12  </t>
  </si>
  <si>
    <t>AHNIF</t>
  </si>
  <si>
    <t>F.D.SABKHA CANTON TIKSRAI</t>
  </si>
  <si>
    <t>40 PLTS OLIVIER</t>
  </si>
  <si>
    <t>ACT</t>
  </si>
  <si>
    <t xml:space="preserve"> 03.10.09.12  </t>
  </si>
  <si>
    <t>HAIZER</t>
  </si>
  <si>
    <t>TAGHZOUT</t>
  </si>
  <si>
    <t>T°=42°C,VENT CALME</t>
  </si>
  <si>
    <t xml:space="preserve"> 04.10.05.12</t>
  </si>
  <si>
    <t>KADIRIA</t>
  </si>
  <si>
    <t>F.D.BENI KHALFOUNE CANTON GUERGUOUR</t>
  </si>
  <si>
    <t>/</t>
  </si>
  <si>
    <t xml:space="preserve"> 05.10.15.12  </t>
  </si>
  <si>
    <t>EL HACHEMIA</t>
  </si>
  <si>
    <t>ELHACHEMIA</t>
  </si>
  <si>
    <t>F.P. AIN MEDJENIB</t>
  </si>
  <si>
    <t>T°=40°C,VENT CALME</t>
  </si>
  <si>
    <t xml:space="preserve"> 06.10.22.12  </t>
  </si>
  <si>
    <t>AHL KSAR</t>
  </si>
  <si>
    <t>F.D . TIZA CANTON IGHZER ABELGHOUM</t>
  </si>
  <si>
    <t>T°=35°C,VENT MODERE</t>
  </si>
  <si>
    <t xml:space="preserve"> 07.10.15.12  </t>
  </si>
  <si>
    <t>F.D.OUED OKHRIS CANTON AIN KETTAR</t>
  </si>
  <si>
    <t xml:space="preserve"> 08.10.09.12</t>
  </si>
  <si>
    <t>MAUIS CV</t>
  </si>
  <si>
    <t xml:space="preserve"> 09.10.12.12</t>
  </si>
  <si>
    <t xml:space="preserve">F.D. HAIZER CANTON BOUMECHAREF </t>
  </si>
  <si>
    <t xml:space="preserve"> 10.10.05.12</t>
  </si>
  <si>
    <t>F.D.KADIRIA CANTON EUCALYPTUS</t>
  </si>
  <si>
    <t xml:space="preserve"> EUC</t>
  </si>
  <si>
    <t xml:space="preserve"> 11.10.12.12</t>
  </si>
  <si>
    <t>F.D HAIZER CANTON IGHIL OUDJBER</t>
  </si>
  <si>
    <t>4Ha blé</t>
  </si>
  <si>
    <t xml:space="preserve"> 12.10.06.12</t>
  </si>
  <si>
    <t>F.D.SABKHA CANTON ACIF OUMRIGH</t>
  </si>
  <si>
    <t>T°=35°C,VENT VIOLENT</t>
  </si>
  <si>
    <t xml:space="preserve"> 13.10.31.12</t>
  </si>
  <si>
    <t>S.E.G</t>
  </si>
  <si>
    <t>DECHMIA</t>
  </si>
  <si>
    <t>F.D. DJOUAB CANTON BOUGUAADANE</t>
  </si>
  <si>
    <t>T°=36°C,VENT VIOLENT</t>
  </si>
  <si>
    <t>SF,PC,EAPC</t>
  </si>
  <si>
    <t xml:space="preserve"> 14.10.09.12</t>
  </si>
  <si>
    <t xml:space="preserve"> 15.10.09.12</t>
  </si>
  <si>
    <t>F.D.BOUIRA CANTON TADJENANET EST</t>
  </si>
  <si>
    <t xml:space="preserve"> 16.10.43.12</t>
  </si>
  <si>
    <t>ATH MENSOUR</t>
  </si>
  <si>
    <t>F.D. BENI MENSOUR CANTON AZROU OUKELLAL</t>
  </si>
  <si>
    <t>T°=37°C,VENT MODERE</t>
  </si>
  <si>
    <t xml:space="preserve"> 17.10.13.12</t>
  </si>
  <si>
    <t>LAKHDARIA</t>
  </si>
  <si>
    <t>F.P .HEZAMA</t>
  </si>
  <si>
    <t>T°38° ,vent irrigulier</t>
  </si>
  <si>
    <t>SF,CP</t>
  </si>
  <si>
    <t xml:space="preserve"> 18.10.14.12</t>
  </si>
  <si>
    <t>MAALA</t>
  </si>
  <si>
    <t>F.P .BERICHA</t>
  </si>
  <si>
    <t>T°37 °à40° ,vent irrigulier</t>
  </si>
  <si>
    <t xml:space="preserve"> 19.10.22.12</t>
  </si>
  <si>
    <t>F.D.SABKHA CANTON AKERROU IHEDJADJEN</t>
  </si>
  <si>
    <t>20 Ha OLIVIERS</t>
  </si>
  <si>
    <t>impr</t>
  </si>
  <si>
    <t>T°36 °à40° ,vent irrigulier</t>
  </si>
  <si>
    <t xml:space="preserve"> 20.10.06.12  </t>
  </si>
  <si>
    <t>F.D. OUED SAHEL CANTON IGHIL BOUAMES</t>
  </si>
  <si>
    <t>T°38° à42°,vent moyen</t>
  </si>
  <si>
    <t>SF,PC,EAPC,PND</t>
  </si>
  <si>
    <t xml:space="preserve"> 21.10.22.12</t>
  </si>
  <si>
    <t>F.D.AZROU CANTON IGHIL ZENOUN</t>
  </si>
  <si>
    <t>T°36° à 40°, vent violant</t>
  </si>
  <si>
    <t xml:space="preserve"> 22.10.31.12</t>
  </si>
  <si>
    <t>F.D. DHELAA HAMRA CANTON FIDH METMAR</t>
  </si>
  <si>
    <t>T°38° à 41°,vent moyen</t>
  </si>
  <si>
    <t>SF,PC,DW</t>
  </si>
  <si>
    <t xml:space="preserve"> 23.10.15.12  </t>
  </si>
  <si>
    <t>OUED BERDI</t>
  </si>
  <si>
    <t>F.D.KESSANA CANTON TWILA</t>
  </si>
  <si>
    <t>T°38° ,vent moyen</t>
  </si>
  <si>
    <t xml:space="preserve"> 24.10.22.12  </t>
  </si>
  <si>
    <t>AL ASNAM</t>
  </si>
  <si>
    <t>F.D.AZROU CANTON BOUSSARDOUNE</t>
  </si>
  <si>
    <t>0707/2012</t>
  </si>
  <si>
    <t>T°42°, VENT CALME</t>
  </si>
  <si>
    <t>25.10.09.12</t>
  </si>
  <si>
    <t>F.D. BOUIRA CANTON TIKBOUCHTH</t>
  </si>
  <si>
    <t>26.10.09.12</t>
  </si>
  <si>
    <t xml:space="preserve"> 27.10.31.12</t>
  </si>
  <si>
    <t>EL HAKIMIA</t>
  </si>
  <si>
    <t>F.P DRAA LAHRECHE</t>
  </si>
  <si>
    <t>T°40°, VENT CALME</t>
  </si>
  <si>
    <t xml:space="preserve"> 28.10.31.12</t>
  </si>
  <si>
    <t>F.P. KOUAL</t>
  </si>
  <si>
    <t xml:space="preserve"> 29.10.31.12</t>
  </si>
  <si>
    <t>F.P KERBOUBA</t>
  </si>
  <si>
    <t xml:space="preserve"> 30.10.06.12  </t>
  </si>
  <si>
    <t>F.D SABKHA CANTON IDHIS</t>
  </si>
  <si>
    <t>36° à 40°, vent moyen direction est ouest</t>
  </si>
  <si>
    <t>31.10.35.12</t>
  </si>
  <si>
    <t>AIN BESSAM</t>
  </si>
  <si>
    <t>F.D METNANE CANTON DRAA SELLAT</t>
  </si>
  <si>
    <t xml:space="preserve">  </t>
  </si>
  <si>
    <t>32.10.18.12</t>
  </si>
  <si>
    <t>BORDJ OKHRIS</t>
  </si>
  <si>
    <t>F.D OUED OKHRIS CANTON GUENDIL</t>
  </si>
  <si>
    <t xml:space="preserve"> 33.10.31.12</t>
  </si>
  <si>
    <t>F. COMMUNALE SIDI SADDEK</t>
  </si>
  <si>
    <t xml:space="preserve"> 34.10.22.12  </t>
  </si>
  <si>
    <t>EL ASNAM</t>
  </si>
  <si>
    <t>F.D AZROU CANTON AGUOUNI</t>
  </si>
  <si>
    <t xml:space="preserve">36° à 40°, vent toutes directions </t>
  </si>
  <si>
    <t>SF,PC,PND, EAPC</t>
  </si>
  <si>
    <t xml:space="preserve"> 35.10.09.12  </t>
  </si>
  <si>
    <t>F.D HAIZER CANTON KHENDOUS</t>
  </si>
  <si>
    <t>36.10.18.12</t>
  </si>
  <si>
    <t>F.D OUED OKHRIS CANTON KARIAT ERRAWAAA</t>
  </si>
  <si>
    <t xml:space="preserve"> 37.10.22.12  </t>
  </si>
  <si>
    <t>F.D AZROU CANTON BENI AISSI</t>
  </si>
  <si>
    <t>38° à 42°, vent violant direction ouest est</t>
  </si>
  <si>
    <t xml:space="preserve"> 38.10.09.12  </t>
  </si>
  <si>
    <t>616,9/617</t>
  </si>
  <si>
    <t>348/348,2</t>
  </si>
  <si>
    <t>T°=38°C,VENT CALME</t>
  </si>
  <si>
    <t xml:space="preserve"> 39.10.22.12  </t>
  </si>
  <si>
    <t>37° à 41°, vent moyen direction nord est</t>
  </si>
  <si>
    <t xml:space="preserve"> 40.10.09.12  </t>
  </si>
  <si>
    <t>F.P INESMAINE</t>
  </si>
  <si>
    <t>41.10.18.12</t>
  </si>
  <si>
    <t>TAGUEDIT</t>
  </si>
  <si>
    <t>F.D DJBEL ATECH CANTON THENIAT EL HATEB</t>
  </si>
  <si>
    <t xml:space="preserve"> 42.10.06.12</t>
  </si>
  <si>
    <t>F.D OUED SAHEL CANTON IGHZER OUAKOUR</t>
  </si>
  <si>
    <t>cit</t>
  </si>
  <si>
    <t>32° à 35°,vent moyen et irrégulier</t>
  </si>
  <si>
    <t xml:space="preserve"> 43.10.15.12  </t>
  </si>
  <si>
    <t>F.D KESSANA CANTON AIN ZERARA</t>
  </si>
  <si>
    <t xml:space="preserve"> 44.10.01.12</t>
  </si>
  <si>
    <t>F. COMMUNALE RAS BOUIRA</t>
  </si>
  <si>
    <t xml:space="preserve"> 45.10.09.12  </t>
  </si>
  <si>
    <t>F.D BOUIRA CANTON TIKBOUCHETH</t>
  </si>
  <si>
    <t xml:space="preserve"> 46.10.06.12  </t>
  </si>
  <si>
    <t>GUERROUMA</t>
  </si>
  <si>
    <t>F.P TIKHERIBINE</t>
  </si>
  <si>
    <t>47.10.31.12</t>
  </si>
  <si>
    <t>F.P.SETOUH</t>
  </si>
  <si>
    <t>48.10.31.12</t>
  </si>
  <si>
    <t>F.D. SOUR DJOUAB CANTON DJEBEL NOUFEL+ F.PARTICULIER</t>
  </si>
  <si>
    <t>49.10.15.12</t>
  </si>
  <si>
    <t>F.P.LOUNES</t>
  </si>
  <si>
    <t>50.10.31.12</t>
  </si>
  <si>
    <t>F.D. SOUR DJOUAB CANTON DJEBEL NOUFEL</t>
  </si>
  <si>
    <t>51.10.22.12</t>
  </si>
  <si>
    <t>OULED RACHED</t>
  </si>
  <si>
    <t>F.D. AHL KSAR CANTON ILEMASSEN</t>
  </si>
  <si>
    <t>38° à 41°, vent moyen direction ouest est</t>
  </si>
  <si>
    <t>52.10.31.12</t>
  </si>
  <si>
    <t>T°=40°C,VENT MOYEN</t>
  </si>
  <si>
    <t>53.10.05.12</t>
  </si>
  <si>
    <t>F.D. BENI KHELFOUNE CANTON MADJENE OUSSOUFI OUEST</t>
  </si>
  <si>
    <t>03 Ha OLIVIERS</t>
  </si>
  <si>
    <t>54.10.33.12</t>
  </si>
  <si>
    <t>F.D. AZROU CANTON TACHACHIT</t>
  </si>
  <si>
    <t>780 à 890</t>
  </si>
  <si>
    <t xml:space="preserve"> PA</t>
  </si>
  <si>
    <t>60  Ha OLIVIERS</t>
  </si>
  <si>
    <t>60 Ha OLIVIERS</t>
  </si>
  <si>
    <t xml:space="preserve">39° à 41°, vent violant et irrégulier ,toute directions </t>
  </si>
  <si>
    <t>SF,PC,PND</t>
  </si>
  <si>
    <t>55.10.18.12</t>
  </si>
  <si>
    <t>MESDOUR</t>
  </si>
  <si>
    <t>F.D. BORDJ OKHRIS CANTON KENDIL OU BOUMHIRIA</t>
  </si>
  <si>
    <t>56.10.22.12</t>
  </si>
  <si>
    <t>F.D. ZANANIME CANTON KARA</t>
  </si>
  <si>
    <t>T°40° à 41°,vent moyen</t>
  </si>
  <si>
    <t>57.10.01.12</t>
  </si>
  <si>
    <t>AIN TURK</t>
  </si>
  <si>
    <t>T°=30°C, VENT CALME</t>
  </si>
  <si>
    <t>58.10.05.12</t>
  </si>
  <si>
    <t>MAQUIS CL</t>
  </si>
  <si>
    <t>01 ha oliviers</t>
  </si>
  <si>
    <t>T°36° à 38°,vent moyen</t>
  </si>
  <si>
    <t>59.10.04.12</t>
  </si>
  <si>
    <t>SOUK EL KHEMIS</t>
  </si>
  <si>
    <t>F.P. OUED LEKHAL</t>
  </si>
  <si>
    <t>60.10.37.12</t>
  </si>
  <si>
    <t>AGHBALOU</t>
  </si>
  <si>
    <t>F.D. OUED SAHEL CANTON IGHIL OUKEROUCHE</t>
  </si>
  <si>
    <t>PC</t>
  </si>
  <si>
    <t>34° à 36° ,vent moyen direction ouest est</t>
  </si>
  <si>
    <t>61.10.08.12</t>
  </si>
  <si>
    <t>AIT LAZIZ</t>
  </si>
  <si>
    <t>F.D. BOUIRA CANTON TADJENANET OUEST</t>
  </si>
  <si>
    <t>T°=42°C, VENT CALME</t>
  </si>
  <si>
    <t>62.10.08.12</t>
  </si>
  <si>
    <t>63.10.33.12</t>
  </si>
  <si>
    <t>AHL ELKSAR</t>
  </si>
  <si>
    <t>F.D. AHL EL KSAR CANTON TARATCHA</t>
  </si>
  <si>
    <t>T°40 C,Vent varie entre (20 à 30 km/h) Nord-Est</t>
  </si>
  <si>
    <t>64.10.12.12</t>
  </si>
  <si>
    <t>F.D. BOUIRA CANTON TADJENANET EST</t>
  </si>
  <si>
    <t>610,8/611</t>
  </si>
  <si>
    <t>351/351,5</t>
  </si>
  <si>
    <t>T°=44°C,VENT CALME</t>
  </si>
  <si>
    <t>65.10.31.12</t>
  </si>
  <si>
    <t>AOMAR</t>
  </si>
  <si>
    <t>F.D. AOMAR CANTON TIZI LARBAA</t>
  </si>
  <si>
    <t>66.10.05.12</t>
  </si>
  <si>
    <t>F.P. REGUANIA</t>
  </si>
  <si>
    <t>67.10.05.12</t>
  </si>
  <si>
    <t>F.D. BENI KHELFOUNE CANTON MADJENE OUSSOUFI EST</t>
  </si>
  <si>
    <t>68.10.12.12</t>
  </si>
  <si>
    <t>F.D. BOUIRA CANTON TADJENANET EST INESEMANE</t>
  </si>
  <si>
    <t>69.10.05.12</t>
  </si>
  <si>
    <t>F.D. BENI KHELFOUNE CANTON TALOUINE</t>
  </si>
  <si>
    <t>T°42°,vent moyen</t>
  </si>
  <si>
    <t>70.10.13.12</t>
  </si>
  <si>
    <t>F.P.CHEKOUF</t>
  </si>
  <si>
    <t>71.10.01.12</t>
  </si>
  <si>
    <t>613/615</t>
  </si>
  <si>
    <t>346,5/348</t>
  </si>
  <si>
    <t>PP</t>
  </si>
  <si>
    <t>T°=45°C, VENT CALME</t>
  </si>
  <si>
    <t>72.10.33.12</t>
  </si>
  <si>
    <t>F.D. AZROU CANTON BOUSSERDOUNE</t>
  </si>
  <si>
    <t>625/627</t>
  </si>
  <si>
    <t>346/346,8</t>
  </si>
  <si>
    <t>5 HA OLIVIER</t>
  </si>
  <si>
    <t>T°45 C,Vent calme</t>
  </si>
  <si>
    <t>73.10.12.12</t>
  </si>
  <si>
    <t>F.D. HAIZER CANTON IGHIL OUDJBAR</t>
  </si>
  <si>
    <t>617,1/617,4</t>
  </si>
  <si>
    <t>342,7/342,8</t>
  </si>
  <si>
    <t>1 HA OLIVIER</t>
  </si>
  <si>
    <t>T°=45°C,VENT CALME</t>
  </si>
  <si>
    <t>74.10.12.12</t>
  </si>
  <si>
    <t>F.D.HAIZER CANTON BENI MEDOUR</t>
  </si>
  <si>
    <t>624/625</t>
  </si>
  <si>
    <t>346,6/347,6</t>
  </si>
  <si>
    <t>T°=46°C,VENT CALME</t>
  </si>
  <si>
    <t>75.10.05/13.12</t>
  </si>
  <si>
    <t>LAKHDARIA+KADIRIA</t>
  </si>
  <si>
    <t>MAALA+ KADIRIA</t>
  </si>
  <si>
    <t>F.P. KELAA CANTON ZERRARA</t>
  </si>
  <si>
    <t>20 HA OLIVIER</t>
  </si>
  <si>
    <t>76.10.13.12</t>
  </si>
  <si>
    <t>F.D.BENI KHALFOUNE CANTON TALOUINE</t>
  </si>
  <si>
    <t>77.10.38.12</t>
  </si>
  <si>
    <t>F.P. EL HAMMAM</t>
  </si>
  <si>
    <t>CIT</t>
  </si>
  <si>
    <t>T°36 C,Direction de vent Est</t>
  </si>
  <si>
    <t>78.10.13.12</t>
  </si>
  <si>
    <t>F.D.BENI KHALFOUNE CANTON TAGUERMOUNT</t>
  </si>
  <si>
    <t>79.10.12.12</t>
  </si>
  <si>
    <t>F.P. LAACHE OUFALKOU</t>
  </si>
  <si>
    <t>T° 38 C, vent calme</t>
  </si>
  <si>
    <t>80.10.13.12</t>
  </si>
  <si>
    <t>F.P. CHEKOUF</t>
  </si>
  <si>
    <t>81.10.37.12</t>
  </si>
  <si>
    <t>M'CHDALLAH</t>
  </si>
  <si>
    <t>F.D.OUED SAHEL CANTON M'ZARIR</t>
  </si>
  <si>
    <t>T°38 C,Vent violent et irrégulier entre (30 à 35 km/h) Nord ouest-Est</t>
  </si>
  <si>
    <t>82.10.33.12</t>
  </si>
  <si>
    <t>AHL EL KSAR</t>
  </si>
  <si>
    <t>T°38 C,Vitesse entre (36 à 38 km/h) Nord ouest-Sud</t>
  </si>
  <si>
    <t>83.10.33.12</t>
  </si>
  <si>
    <t>F.D.AZROU CANTON TACHACHITH</t>
  </si>
  <si>
    <t>T°39 à 41°C,Vent moyen</t>
  </si>
  <si>
    <t>84.10.33.12</t>
  </si>
  <si>
    <t>T°37  à 40°C,Vent moyen</t>
  </si>
  <si>
    <t>85.10.38.12</t>
  </si>
  <si>
    <t>F.D. KRIRECHE</t>
  </si>
  <si>
    <t>Direction de vent  sud</t>
  </si>
  <si>
    <t>86.10.33.12</t>
  </si>
  <si>
    <t>F.D. AHL  KSAR CANTON TARATCHA</t>
  </si>
  <si>
    <t>T°36  à 39°C,Vent moyen</t>
  </si>
  <si>
    <t>87.10.37.12</t>
  </si>
  <si>
    <t>T°39 à 41°C,Vent calme</t>
  </si>
  <si>
    <t>88.10.33.12</t>
  </si>
  <si>
    <t>89.10.37.12</t>
  </si>
  <si>
    <t>F.D.SEBKHA CANTON TAVOUDIT</t>
  </si>
  <si>
    <t>10 HA ARBRE FRUITIERS</t>
  </si>
  <si>
    <t>T°38 à 42°C,Vent violent  en Nord est</t>
  </si>
  <si>
    <t>90.10.31.12</t>
  </si>
  <si>
    <t>F.D. BENI KHALFOUNE CANTON MINOUNA</t>
  </si>
  <si>
    <t>T° 42 C,vent très violant , direction nord sud</t>
  </si>
  <si>
    <t>91.10.38.12</t>
  </si>
  <si>
    <t>F.D.KARROUMA+ F.P.</t>
  </si>
  <si>
    <t>T°39 C,Direction de vent Est</t>
  </si>
  <si>
    <t>92.10.33.12</t>
  </si>
  <si>
    <t>F.D. AZROU CANTON BENI AISSI</t>
  </si>
  <si>
    <t>5HA OLIVIER</t>
  </si>
  <si>
    <t>T°40 à 42°C,Vent violent  en toutes directions</t>
  </si>
  <si>
    <t>93.10.12.12</t>
  </si>
  <si>
    <t>T°46 ,vent calme</t>
  </si>
  <si>
    <t>94.10.01.12</t>
  </si>
  <si>
    <t>T°42 C,Direction calme</t>
  </si>
  <si>
    <t>95.10.12.12</t>
  </si>
  <si>
    <t>F.D.HAIZER CANTON IDHOUMAZ</t>
  </si>
  <si>
    <t>624/624,5</t>
  </si>
  <si>
    <t>346/346,5</t>
  </si>
  <si>
    <t>96.10.12.12</t>
  </si>
  <si>
    <t>F.D.HAIZER CANTON IGHIL OUDJBAR</t>
  </si>
  <si>
    <t>97.10.33.12</t>
  </si>
  <si>
    <t>F.D.AHL KSAR CANTON IDOUKASSEN</t>
  </si>
  <si>
    <t>T°38 à 41°C</t>
  </si>
  <si>
    <t>98.10.18.12</t>
  </si>
  <si>
    <t>F.D.BORDJ OKHRISS CANTON EL KARA</t>
  </si>
  <si>
    <t>T°38 C,Direction de vent Ouest</t>
  </si>
  <si>
    <t>99.10.33.12</t>
  </si>
  <si>
    <t>626,2/624,8</t>
  </si>
  <si>
    <t>341,3/342,7</t>
  </si>
  <si>
    <t>100.10.12.12</t>
  </si>
  <si>
    <t>F.D. HAIZER CANTON BOUMECHREF</t>
  </si>
  <si>
    <t>621,8/619,8</t>
  </si>
  <si>
    <t>345,5/347</t>
  </si>
  <si>
    <t>101.10.33.12</t>
  </si>
  <si>
    <t>AHL  KSAR</t>
  </si>
  <si>
    <t>F.D.AHL KSAR CANTON EL KARA</t>
  </si>
  <si>
    <t>T°38 à 40°C</t>
  </si>
  <si>
    <t>102.10.18.12</t>
  </si>
  <si>
    <t>BORDJ OKHRISS</t>
  </si>
  <si>
    <t>F.D. OUED OKHRIS CANTON DJEBEL MEKNINE</t>
  </si>
  <si>
    <t>RIVER</t>
  </si>
  <si>
    <t>T°42 C,Direction de vent Est</t>
  </si>
  <si>
    <t>103.10.38.12</t>
  </si>
  <si>
    <t>F.D. KRIRICHE</t>
  </si>
  <si>
    <t>T°39 C,Direction de vent Ouest</t>
  </si>
  <si>
    <t>104.10.38.12</t>
  </si>
  <si>
    <t>F.D. SEG CANTON HARHARA</t>
  </si>
  <si>
    <t>105.10.37.12</t>
  </si>
  <si>
    <t>F.D. SABKHA CANTON IGHZER OMENCHAR</t>
  </si>
  <si>
    <t>T°38 à 42°C</t>
  </si>
  <si>
    <t>106.10.01.12</t>
  </si>
  <si>
    <t>F.D. BOUIRA CANTON TADJENANET</t>
  </si>
  <si>
    <t>609,8/610,2</t>
  </si>
  <si>
    <t>348,5/349</t>
  </si>
  <si>
    <t>107.10.38.12</t>
  </si>
  <si>
    <t xml:space="preserve">F.D.SEG. CANTON HERHARA </t>
  </si>
  <si>
    <t>108.10.33.12</t>
  </si>
  <si>
    <t>F.D.AZROU CANTON BOUCHAOUENE</t>
  </si>
  <si>
    <t>625,8/626,8</t>
  </si>
  <si>
    <t>344/345</t>
  </si>
  <si>
    <t>109.10.01.12</t>
  </si>
  <si>
    <t>F.D.BOUIRA CANTON TADJENANET OUEST</t>
  </si>
  <si>
    <t>110.10.33.12</t>
  </si>
  <si>
    <t>F.D AZROU CANTON BOUSSERDOUNE</t>
  </si>
  <si>
    <t>111.10.33.12</t>
  </si>
  <si>
    <t>618/618,2</t>
  </si>
  <si>
    <t>341/341,2</t>
  </si>
  <si>
    <t>112.10.01.12</t>
  </si>
  <si>
    <t>F.D BOUIRA CANTON TADJENANET OUEST</t>
  </si>
  <si>
    <t>113.10.01.12</t>
  </si>
  <si>
    <t>114.10.12.12</t>
  </si>
  <si>
    <t>115.10.01.12</t>
  </si>
  <si>
    <t>F.D. BOUIRA CANTON ERRICH/ CANTON AIN TURK</t>
  </si>
  <si>
    <t>603,2/605</t>
  </si>
  <si>
    <t>347/344,5</t>
  </si>
  <si>
    <t>SF,PC,EAPC,ADE</t>
  </si>
  <si>
    <t>116.10.37.12</t>
  </si>
  <si>
    <t>F.D. BENI MENSOUR CANTON AZROU KELLAL</t>
  </si>
  <si>
    <t>T°36 à 40°C</t>
  </si>
  <si>
    <t>117.10.38.12</t>
  </si>
  <si>
    <t>RIDANE</t>
  </si>
  <si>
    <t>F.D.SEG. CANTON GHASSOULE</t>
  </si>
  <si>
    <t>T°37 C,Direction de vent Est</t>
  </si>
  <si>
    <t>118.10.37.12</t>
  </si>
  <si>
    <t>F.D.OUED SAHEL CANTON M'ZARIR LALA KHEDIDJA</t>
  </si>
  <si>
    <t>T°36 à 38°C</t>
  </si>
  <si>
    <t>119.10.33.12</t>
  </si>
  <si>
    <t>F.D HAIZER CANTON IGHIL MEDJBAR</t>
  </si>
  <si>
    <t>120.10.33.12</t>
  </si>
  <si>
    <t>15 HA ARBRE FRUITIER</t>
  </si>
  <si>
    <t>121.10.31.12</t>
  </si>
  <si>
    <t>F.D.BENI KHALFOUNE CANTON RABTA</t>
  </si>
  <si>
    <t>122.10.01.12</t>
  </si>
  <si>
    <t>F.D.BOUIRA CANTON MEDJEN GUNAROU</t>
  </si>
  <si>
    <t>123.10.37.12</t>
  </si>
  <si>
    <t>F.D. OUED SAHEL CANTON M'ZARIR</t>
  </si>
  <si>
    <t>T°40 à 42°C Vent violent et irrégulier</t>
  </si>
  <si>
    <t>124.10.05.12</t>
  </si>
  <si>
    <t>F.D.BENI KHALFOUNE CANTON MATOUSSA</t>
  </si>
  <si>
    <t xml:space="preserve">500HA OLIVIER </t>
  </si>
  <si>
    <t>125.10.13.12</t>
  </si>
  <si>
    <t>BOUDARBALA</t>
  </si>
  <si>
    <t>F.D.BOUDARBALA  ET AMMEL CANTON IGHIL OUSSOUEL</t>
  </si>
  <si>
    <t>126.10.12/33.12</t>
  </si>
  <si>
    <t>BECHLOUL ET HAIZER</t>
  </si>
  <si>
    <t>EL ASNAM/ HAIZER</t>
  </si>
  <si>
    <t>F.D HAIZER CANTON IGHIL MEDJBAR+ CANTON IGHIL OUDJBAR</t>
  </si>
  <si>
    <t>618,6/620</t>
  </si>
  <si>
    <t>742,8/341</t>
  </si>
  <si>
    <t>13:00/14:00</t>
  </si>
  <si>
    <t>127.10.18.12</t>
  </si>
  <si>
    <t>F.D.OUED OKHRIS CANTON EL KARA</t>
  </si>
  <si>
    <t>T°40 C,Direction de vent Est</t>
  </si>
  <si>
    <t>128.10.33.12</t>
  </si>
  <si>
    <t>F.D.AHL KSAR CANTON TIGRINE</t>
  </si>
  <si>
    <t>129.10.01.12</t>
  </si>
  <si>
    <t>130.10.37.12</t>
  </si>
  <si>
    <t>T°36 à 39°C,Vent calme</t>
  </si>
  <si>
    <t>131.10.13.12</t>
  </si>
  <si>
    <t>F.P. BOUKHELFOUNE</t>
  </si>
  <si>
    <t>0,5 HA OLIVIER</t>
  </si>
  <si>
    <t>132.10.37.12</t>
  </si>
  <si>
    <t>T°28 à 34°C</t>
  </si>
  <si>
    <t>133.10.01.12</t>
  </si>
  <si>
    <t>F.D.BOUIRA CANTON MEDJED GUNAROU</t>
  </si>
  <si>
    <t>603/602,5</t>
  </si>
  <si>
    <t>344,2/343,9</t>
  </si>
  <si>
    <t>20 HA OLIVIER ET 02 HA ARBRE FRUITIER</t>
  </si>
  <si>
    <t>134.10.37.12</t>
  </si>
  <si>
    <t>F.D.OUED SAHEL CANTON AGHBALOU</t>
  </si>
  <si>
    <t>1,5 HA ARBRE FRUITIER</t>
  </si>
  <si>
    <t>T°24 à 30°C,Vent calme</t>
  </si>
  <si>
    <t>135.10.13.12</t>
  </si>
  <si>
    <t>F.P. GUERGUOUR</t>
  </si>
  <si>
    <t>2 HA OLIVIER</t>
  </si>
  <si>
    <t>2HA OLIVIER</t>
  </si>
  <si>
    <t>136.10.13.12</t>
  </si>
  <si>
    <t>F.D. BENI KHALFOUNE CANTON TALOUINE</t>
  </si>
  <si>
    <t>7 HA OLIVIER</t>
  </si>
  <si>
    <t>7HA OLIVIER</t>
  </si>
  <si>
    <t>137.10.01.12</t>
  </si>
  <si>
    <t>F.D. BOUIRA CATON TIKOUKA</t>
  </si>
  <si>
    <t>603/602</t>
  </si>
  <si>
    <t>347/345,7</t>
  </si>
  <si>
    <t>T°40 ,vent calme</t>
  </si>
  <si>
    <t>138.10.01.12</t>
  </si>
  <si>
    <t>139.10.18.12</t>
  </si>
  <si>
    <t>F.D OUED OKHRIS CANTON EL KARA</t>
  </si>
  <si>
    <t>140.10.01.12</t>
  </si>
  <si>
    <t>F.D BOUIRA CANTON TIKOUKA</t>
  </si>
  <si>
    <t>345,7/347</t>
  </si>
  <si>
    <t>141.10.01.12</t>
  </si>
  <si>
    <t>142.10.12.12</t>
  </si>
  <si>
    <t>F.D BOUIRA CANTON TIKBOUCHET</t>
  </si>
  <si>
    <t>143.10.01.12</t>
  </si>
  <si>
    <t>144.10.31.12</t>
  </si>
  <si>
    <t>F.D BENI KHALFOUNE CANTON MIMOUNA CANTON HABASS</t>
  </si>
  <si>
    <t>145.10.18.12</t>
  </si>
  <si>
    <t>F.D DRAA TAGUA CANTON EL KARA</t>
  </si>
  <si>
    <t>146.10.12.12</t>
  </si>
  <si>
    <t>F.D HAIZER CANTON KHANDOUS</t>
  </si>
  <si>
    <t>616,8/617</t>
  </si>
  <si>
    <t>348,4/348,8</t>
  </si>
  <si>
    <t>T° 42 C,vent violant</t>
  </si>
  <si>
    <t>147.10.01.12</t>
  </si>
  <si>
    <t>T°30C, vent calme</t>
  </si>
  <si>
    <t>148.10.12.12</t>
  </si>
  <si>
    <t>616,5/617,5</t>
  </si>
  <si>
    <t>347,5/348</t>
  </si>
  <si>
    <t>149.10.13.12</t>
  </si>
  <si>
    <t>F.P MKHEBCHA</t>
  </si>
  <si>
    <t>0,5 HA ARBRE FRUITIER</t>
  </si>
  <si>
    <t>150.10.33.12</t>
  </si>
  <si>
    <t>F.P TIHEMEZINE</t>
  </si>
  <si>
    <t xml:space="preserve">6 HA OLIVIER </t>
  </si>
  <si>
    <t>151.10.37.12</t>
  </si>
  <si>
    <t>8 HA OLIVIER</t>
  </si>
  <si>
    <t>T°34 à 36°C,Ouest Est</t>
  </si>
  <si>
    <t>152.10.01.12</t>
  </si>
  <si>
    <t>F.D.BOUIRA CANTON MEDJN GUNAROU</t>
  </si>
  <si>
    <t>T°38C, vent calme</t>
  </si>
  <si>
    <t>153.10.05.12</t>
  </si>
  <si>
    <t>F.D BENI KHALFOUNE CANTON AGUENI YESSEKER</t>
  </si>
  <si>
    <t>154.10.01.12</t>
  </si>
  <si>
    <t>F.D BOUIRA CANTON TADJENANET EST</t>
  </si>
  <si>
    <t>T°C 28, vent calme</t>
  </si>
  <si>
    <t>155.10.37.12</t>
  </si>
  <si>
    <t>T°34 à 37°C, Nord Est</t>
  </si>
  <si>
    <t>156.10.12.12</t>
  </si>
  <si>
    <t>F.D HAIZER CANTON BOUMECHREF</t>
  </si>
  <si>
    <t>T°38 C ,vent calme</t>
  </si>
  <si>
    <t>157.10.13.12</t>
  </si>
  <si>
    <t>ZBARBAR</t>
  </si>
  <si>
    <t>F.P RAHMANIA</t>
  </si>
  <si>
    <t>1HA OLIVIER</t>
  </si>
  <si>
    <t>158.10.15.12</t>
  </si>
  <si>
    <t>F.D KESSANA CANTON GUOUMARA</t>
  </si>
  <si>
    <t>T°38 C,Direction de vent Est</t>
  </si>
  <si>
    <t>159.10.37.12</t>
  </si>
  <si>
    <t>160.10.33.12</t>
  </si>
  <si>
    <t>F.D AHL KSAR CANTON TARATCHA</t>
  </si>
  <si>
    <t>T°34 à 36°C, Nord Est</t>
  </si>
  <si>
    <t>161.10.15.12</t>
  </si>
  <si>
    <t>F.D.KESSANA CANTON GUOUMARA</t>
  </si>
  <si>
    <t>162.10.01.12</t>
  </si>
  <si>
    <t>T°28 C,vent calme</t>
  </si>
  <si>
    <t>163.10.23.12</t>
  </si>
  <si>
    <t>F.D. SEG CANTON EL HARHARA</t>
  </si>
  <si>
    <t>T°40 C,Direction de vent Nord</t>
  </si>
  <si>
    <t>164.10.15.12</t>
  </si>
  <si>
    <t>F.D. KESSANA CANTON AIN ZERRARA</t>
  </si>
  <si>
    <t>T°36 C,Direction de vent Nord</t>
  </si>
  <si>
    <t>165.10.38.12</t>
  </si>
  <si>
    <t>F.D. BOUDARBALA CANTON AIN SOULTANE</t>
  </si>
  <si>
    <t>166.10.42.12</t>
  </si>
  <si>
    <t>167.10.37.12</t>
  </si>
  <si>
    <t>F.D.AHL KSAR CANTON TELAWINE</t>
  </si>
  <si>
    <t>T°37 à 41°C,Vent calme</t>
  </si>
  <si>
    <t>168.10.45.12</t>
  </si>
  <si>
    <t>F.D.OUED SAHEL CANTON IGHIL BOUAMES</t>
  </si>
  <si>
    <t>1 Ha arbre fruitier</t>
  </si>
  <si>
    <t>T°38 à 42°C,Vent calme</t>
  </si>
  <si>
    <t>169.10.34 .12</t>
  </si>
  <si>
    <t>F.P. BENI AISSI</t>
  </si>
  <si>
    <t>170.10.23.12</t>
  </si>
  <si>
    <t>F.D. SEG CANTON EL HARHARE</t>
  </si>
  <si>
    <t>171.10.37.12</t>
  </si>
  <si>
    <t>F.D.AHL KSAR CANTON TARATCHA</t>
  </si>
  <si>
    <t>T°36 à 40°C,Vent calme</t>
  </si>
  <si>
    <t>172.10.12.12</t>
  </si>
  <si>
    <t>173.10.01.12</t>
  </si>
  <si>
    <t>T° 42 C,vent modère à violant par moment</t>
  </si>
  <si>
    <t>174.10.12.12</t>
  </si>
  <si>
    <t xml:space="preserve"> 15:50</t>
  </si>
  <si>
    <t xml:space="preserve"> 17:00</t>
  </si>
  <si>
    <t>175.10.18.12</t>
  </si>
  <si>
    <t>TAGHUEDIT</t>
  </si>
  <si>
    <t>F.D.OUED OKHRIS CANTON OUED BUASKER</t>
  </si>
  <si>
    <t>T°=36°C, DIRECTION DU VENT VERS L' EST</t>
  </si>
  <si>
    <t>176.10.18.12</t>
  </si>
  <si>
    <t>F.D.OUED OKHRIS CANTON AIN CHREB OU HREB</t>
  </si>
  <si>
    <t xml:space="preserve"> 13:55</t>
  </si>
  <si>
    <t xml:space="preserve"> 14:12</t>
  </si>
  <si>
    <t xml:space="preserve"> 15:30</t>
  </si>
  <si>
    <t>T°=37°C, DIRECTION DU VENT VERS L' EST</t>
  </si>
  <si>
    <t>177.10.12.12</t>
  </si>
  <si>
    <t xml:space="preserve"> 18:30</t>
  </si>
  <si>
    <t xml:space="preserve"> 18:50</t>
  </si>
  <si>
    <t xml:space="preserve"> 19:30</t>
  </si>
  <si>
    <t>178.10.23.12</t>
  </si>
  <si>
    <t>F.P CANTON FADJ DIRAH</t>
  </si>
  <si>
    <t>179.10.12.12</t>
  </si>
  <si>
    <t>180.10.12.12</t>
  </si>
  <si>
    <t>MAQUIS CL/PA</t>
  </si>
  <si>
    <t>01 Ha oliviers</t>
  </si>
  <si>
    <t>181.10.01.12</t>
  </si>
  <si>
    <t>CHENE L/ EUC</t>
  </si>
  <si>
    <t>182.10.01.12</t>
  </si>
  <si>
    <t>183.10.22.12</t>
  </si>
  <si>
    <t>TAKERBOUZT</t>
  </si>
  <si>
    <t>F.D.AGHBALOU CANTON IGHIL OUKERROUCHE</t>
  </si>
  <si>
    <t>0,5 Ha Oliviers</t>
  </si>
  <si>
    <t>184.10.01.12</t>
  </si>
  <si>
    <t>MAQUIS  PA</t>
  </si>
  <si>
    <t>02 Ha oliviers</t>
  </si>
  <si>
    <t>185.10.01.12</t>
  </si>
  <si>
    <t>F.D. BOUIRA CANTON MADJD GUENAROU</t>
  </si>
  <si>
    <t>186.10.23.12</t>
  </si>
  <si>
    <t>F.P CANTON KERBOUBA</t>
  </si>
  <si>
    <t>187.10.13.12</t>
  </si>
  <si>
    <t>F.P CANTON KOUDIA ELHAMRA</t>
  </si>
  <si>
    <t>188.10.13.12</t>
  </si>
  <si>
    <t>F.P CANTON TALA GUILEF</t>
  </si>
  <si>
    <t>189.10.23.12</t>
  </si>
  <si>
    <t>F.C. CANTON ELRADAR</t>
  </si>
  <si>
    <t>190.10.01.12</t>
  </si>
  <si>
    <t>191.10.13.12</t>
  </si>
  <si>
    <t>F.P.CANTON THNIA ZERGUA</t>
  </si>
  <si>
    <t>192.10.13.12</t>
  </si>
  <si>
    <t>F.P.CANTON TIKHERBINE</t>
  </si>
  <si>
    <t>193.10.22.12</t>
  </si>
  <si>
    <t>10 Ha ARBRES FRUITIERS</t>
  </si>
  <si>
    <t>194.10.31.12</t>
  </si>
  <si>
    <t xml:space="preserve">F.D BENI KHALFOUNE CANTON MIMOUNA </t>
  </si>
  <si>
    <t>1,5 Ha OLIVIERS</t>
  </si>
  <si>
    <t>195.10.22.12</t>
  </si>
  <si>
    <t>F.D.OUED SAHEL CANTON OUED SAHEL LALA KHEDIDJA</t>
  </si>
  <si>
    <t>196.10.13.12</t>
  </si>
  <si>
    <t>197.10.18.12</t>
  </si>
  <si>
    <t>F.D KOUDIAT BOUZID CANTON ELCHADA</t>
  </si>
  <si>
    <t>198.10.22.12</t>
  </si>
  <si>
    <t>F,P CANTON IGHIL BOUTEKUIT</t>
  </si>
  <si>
    <t>199.10.12.12</t>
  </si>
  <si>
    <t>F,D BOUIRA CANTON LALA ZEMRA</t>
  </si>
  <si>
    <t>200.10.22.12</t>
  </si>
  <si>
    <t>F,P CANTON ABOU DID</t>
  </si>
  <si>
    <t>201.10.23.12</t>
  </si>
  <si>
    <t>F,D  CANTON OULED BOUSSALAH</t>
  </si>
  <si>
    <t>202.10.31.12</t>
  </si>
  <si>
    <t>EL DJEBAHIA</t>
  </si>
  <si>
    <t>F,P AIN CHRIKI</t>
  </si>
  <si>
    <t>05 Ha oliviers</t>
  </si>
  <si>
    <t>203.10.31.12</t>
  </si>
  <si>
    <t>T°36  à 38°C,Vent moyen</t>
  </si>
  <si>
    <t>204.10.31.12</t>
  </si>
  <si>
    <t>F,D  CANTON EL MEDJANA</t>
  </si>
  <si>
    <t>T°34  à 36°C,Vent moyen</t>
  </si>
  <si>
    <t>205.10.31.12</t>
  </si>
  <si>
    <t>DIRAH</t>
  </si>
  <si>
    <t>F,P  CANTON TERRAKA</t>
  </si>
  <si>
    <t>206.10.31.12</t>
  </si>
  <si>
    <t>F,D BOUIRA CANTON TIKOUKA</t>
  </si>
  <si>
    <t>207.10.31.12</t>
  </si>
  <si>
    <t>F,D SOUR DJOUAB CANTON HARHARA</t>
  </si>
  <si>
    <t>208.10.31.12</t>
  </si>
  <si>
    <t>F.D OUED SAHEL CANTON TAMOURT OUKEMADH</t>
  </si>
  <si>
    <t>209.10.31.12</t>
  </si>
  <si>
    <t>F.P BOUGUEZINE</t>
  </si>
  <si>
    <t>210.10.31.12</t>
  </si>
  <si>
    <t>F.POULED EL ANANE</t>
  </si>
  <si>
    <t>211.10.31.12</t>
  </si>
  <si>
    <t>T°32  à 36°C,Vent moyen</t>
  </si>
  <si>
    <t>212.10.31.12</t>
  </si>
  <si>
    <t>F,D KESSANA CANTON AIN ZERARA</t>
  </si>
  <si>
    <t>213.10.31.12</t>
  </si>
  <si>
    <t>F.P BOUALMA</t>
  </si>
  <si>
    <t>CHENE LIEGE</t>
  </si>
  <si>
    <t xml:space="preserve">663,5 Ha oliviers + 40 plants oliviers + 04 Ha blé + 40,5 Ha Arbres fruitiers </t>
  </si>
  <si>
    <t>CAMPAGNE   2013</t>
  </si>
  <si>
    <t>DU 1/06/2013 AU 31/10/2013</t>
  </si>
  <si>
    <t>NOM DE LA FORET</t>
  </si>
  <si>
    <t xml:space="preserve">ALTITUDE </t>
  </si>
  <si>
    <t>(m)</t>
  </si>
  <si>
    <t xml:space="preserve"> 01.10.15.13</t>
  </si>
  <si>
    <t>F.D. KSANA CANTON AIN HAZEM</t>
  </si>
  <si>
    <t xml:space="preserve"> 200 Arbres fruitiers + 500 Bottes </t>
  </si>
  <si>
    <t>T° 35° C</t>
  </si>
  <si>
    <t xml:space="preserve"> 02.10.06.13  </t>
  </si>
  <si>
    <t>F.D.SABKHA  CANTON  TAFOUDIT</t>
  </si>
  <si>
    <t>04 HA PAILLE</t>
  </si>
  <si>
    <t xml:space="preserve">310 Arbres fruitiers </t>
  </si>
  <si>
    <t>T°34° à 38° C,Vent moyen  Nord-Est</t>
  </si>
  <si>
    <t xml:space="preserve"> 03.10.06.13  </t>
  </si>
  <si>
    <t>F.PARTICULIERE CANTON AZROU OUBADOU</t>
  </si>
  <si>
    <t xml:space="preserve"> 360 Arbres fruitiers </t>
  </si>
  <si>
    <t>T°32° à 36° C,Vent calme</t>
  </si>
  <si>
    <t xml:space="preserve"> 04.10.31.13</t>
  </si>
  <si>
    <t xml:space="preserve">F.D.  LIEU DIT DARDAR </t>
  </si>
  <si>
    <t xml:space="preserve"> 200 Arbres fruitiers </t>
  </si>
  <si>
    <t>T° 37° C</t>
  </si>
  <si>
    <t>SF,PC,APC</t>
  </si>
  <si>
    <t xml:space="preserve"> 05.10.06.13  </t>
  </si>
  <si>
    <t xml:space="preserve"> 260 Arbres fruitiers </t>
  </si>
  <si>
    <t xml:space="preserve">T° élevée +37° </t>
  </si>
  <si>
    <t xml:space="preserve"> 06.10.01.13  </t>
  </si>
  <si>
    <t>F.D BOUIRA  CANTAN ERRICH</t>
  </si>
  <si>
    <t xml:space="preserve"> 160 Arbres fruitiers s </t>
  </si>
  <si>
    <t>T°45 ,Vent faible Nord-sud</t>
  </si>
  <si>
    <t xml:space="preserve"> 07.10.31.13  </t>
  </si>
  <si>
    <t xml:space="preserve"> 300 Arbres fruitiers + 340 Bottes </t>
  </si>
  <si>
    <t>T° 38° C</t>
  </si>
  <si>
    <t xml:space="preserve"> 08.10.31.13</t>
  </si>
  <si>
    <t>F.D         CANTON GUELTA ZERGUA -HALOUFA</t>
  </si>
  <si>
    <t xml:space="preserve"> 280 Arbres fruitiers + 218 Bottes </t>
  </si>
  <si>
    <t xml:space="preserve"> 09.10.22.13</t>
  </si>
  <si>
    <t>AHL EL KSER</t>
  </si>
  <si>
    <t>F.D. AHL EL KSER CANTON TARATCHA</t>
  </si>
  <si>
    <t xml:space="preserve"> 500 Arbres fruitiers  </t>
  </si>
  <si>
    <t>T° élevée 38° à 40°C Vent moyen  Nord-ouest</t>
  </si>
  <si>
    <t xml:space="preserve"> 10.10.31.13</t>
  </si>
  <si>
    <t>F.D.  SOUR GHOUZLANE CANTON HARHARA</t>
  </si>
  <si>
    <t xml:space="preserve"> 400 Arbres fruitiers  </t>
  </si>
  <si>
    <t xml:space="preserve"> 11.10.06.13</t>
  </si>
  <si>
    <t>F.PARTICULIERE LIEU DIT MEKHECHEM</t>
  </si>
  <si>
    <t xml:space="preserve"> 155 Arbres fruitiers </t>
  </si>
  <si>
    <t>T°35° à 37° C,Vent calme</t>
  </si>
  <si>
    <t>SF,PC,PND,POP</t>
  </si>
  <si>
    <t xml:space="preserve"> 12.10.22.13</t>
  </si>
  <si>
    <t xml:space="preserve"> 230 Arbres fruitiers </t>
  </si>
  <si>
    <t>T° élevée 35° à 38°C Vent faible</t>
  </si>
  <si>
    <t xml:space="preserve"> 13.10.18.13</t>
  </si>
  <si>
    <t>F.D. OUED OKHRISS CANTON  EL BHIRA</t>
  </si>
  <si>
    <t xml:space="preserve"> 170 Arbres fruitiers  </t>
  </si>
  <si>
    <t xml:space="preserve"> 14.10.18.13</t>
  </si>
  <si>
    <t xml:space="preserve"> 100 Arbres fruitiers </t>
  </si>
  <si>
    <t xml:space="preserve"> 15.10.18.13</t>
  </si>
  <si>
    <t xml:space="preserve"> MESDOUR</t>
  </si>
  <si>
    <t>F.D. OUED OKHRISS CANTON TAZENKOURT</t>
  </si>
  <si>
    <t xml:space="preserve"> 16.10.18.13</t>
  </si>
  <si>
    <t>F.D. OUED OKHRISS CANTON DJEBEL ATTACHE EST</t>
  </si>
  <si>
    <t>01/082013</t>
  </si>
  <si>
    <t xml:space="preserve"> 17.10.22.13</t>
  </si>
  <si>
    <t>F.D . HAIZER CANTON IGHIL MEDJBER</t>
  </si>
  <si>
    <t xml:space="preserve">150 Arbres fruitiers +400 Bottes </t>
  </si>
  <si>
    <t>T°42°C ,Vent faible Nord-sud</t>
  </si>
  <si>
    <t xml:space="preserve"> 18.10.22.13</t>
  </si>
  <si>
    <t>F.D AHL ELKSER CANTON ILEMASSEN (M'LAOUA)</t>
  </si>
  <si>
    <t>510 Bottes + 200 Arbres fruitiers</t>
  </si>
  <si>
    <t>T°35° à 38° C,Vent moyen  Sud-Est</t>
  </si>
  <si>
    <t xml:space="preserve"> 19.10.13.13</t>
  </si>
  <si>
    <t>F.PARTICULIERE LIEU DIT TIFIRAS</t>
  </si>
  <si>
    <t>300 Bottes+ 100 Arbres fruitiers</t>
  </si>
  <si>
    <t>T°38°C vent  irrégulier</t>
  </si>
  <si>
    <t>CF,PC</t>
  </si>
  <si>
    <t xml:space="preserve"> 20.10.05.13  </t>
  </si>
  <si>
    <t>F.PARTICULIERE LIEU DIT   AZOUGAR</t>
  </si>
  <si>
    <t xml:space="preserve">175 Arbres fruitiers </t>
  </si>
  <si>
    <t>T°37°C vent  irrégulier</t>
  </si>
  <si>
    <t xml:space="preserve"> 21.10.13.13</t>
  </si>
  <si>
    <t>F.PARTICULIERE LIEU DIT  TALA ILEF</t>
  </si>
  <si>
    <t xml:space="preserve">100 Arbres fruitiers </t>
  </si>
  <si>
    <t>T°38°C vent violent, irrégulier</t>
  </si>
  <si>
    <t xml:space="preserve"> 22.10.01.13</t>
  </si>
  <si>
    <t xml:space="preserve">F.PARTICULIERE CANTAN ERRICH </t>
  </si>
  <si>
    <t xml:space="preserve"> 23.10.35.13  </t>
  </si>
  <si>
    <t>F.D METTENANE CANTON DJEBEL HELLALLA</t>
  </si>
  <si>
    <t>200 Arbres Fruitiers + 440 bottes</t>
  </si>
  <si>
    <t xml:space="preserve"> 24.10.35.13  </t>
  </si>
  <si>
    <t>F.D METTENANE CANTON DRAA SOULLAT</t>
  </si>
  <si>
    <t xml:space="preserve"> 25.10.06.13  </t>
  </si>
  <si>
    <t>T°35° à 38° C,Vent moyen  Nord-Est</t>
  </si>
  <si>
    <t xml:space="preserve"> 26.10.15.13</t>
  </si>
  <si>
    <t>F.PARTICULIERE  KOUDIET ZERGUA</t>
  </si>
  <si>
    <t>190 Arbres fruitiers + 360 Bottes</t>
  </si>
  <si>
    <t>T°38°C vent moyen</t>
  </si>
  <si>
    <t xml:space="preserve"> 27.10.18.13</t>
  </si>
  <si>
    <t>F.PARTICULIERE LIEU DIT  EL   HOUACHE</t>
  </si>
  <si>
    <t xml:space="preserve"> 28.10.31.13</t>
  </si>
  <si>
    <t>F.D. SOUR GHOUZLANE CANTON HARHARA</t>
  </si>
  <si>
    <t>T° 39° C</t>
  </si>
  <si>
    <t xml:space="preserve"> 29.10.15.13</t>
  </si>
  <si>
    <t>F.D.KESSANA  CANTON AIN ZERARA</t>
  </si>
  <si>
    <t xml:space="preserve"> 30.10.22.13</t>
  </si>
  <si>
    <t>F.D AHL EL KSER CANTON TARATCHA</t>
  </si>
  <si>
    <t>150 Arbres fruitiers  + 500 Bottes</t>
  </si>
  <si>
    <t xml:space="preserve"> 31.10.01.13</t>
  </si>
  <si>
    <t>80 arbres fruitiers + 400 Bottes</t>
  </si>
  <si>
    <t xml:space="preserve">T°30°C ,Vent faible </t>
  </si>
  <si>
    <t xml:space="preserve"> 32.10.22.13</t>
  </si>
  <si>
    <t xml:space="preserve">F.D AHL ELKSER CANTON ILEMASSEN </t>
  </si>
  <si>
    <t>T°38° à 40° C,Vent Calme</t>
  </si>
  <si>
    <t xml:space="preserve"> 33.10.31.13</t>
  </si>
  <si>
    <t>DECHEMIA</t>
  </si>
  <si>
    <t>T° 30° C</t>
  </si>
  <si>
    <t xml:space="preserve"> 34.10.15.13</t>
  </si>
  <si>
    <t>F.D.KESSANA  CANTON GOUMARA</t>
  </si>
  <si>
    <t>160 Arbres fruitiers + 250 Bottes</t>
  </si>
  <si>
    <t xml:space="preserve"> 35.10.13.13</t>
  </si>
  <si>
    <t xml:space="preserve">F.PARTICULIERE LIEU DIT CHEKOUF </t>
  </si>
  <si>
    <t>241 Arbres fruitiers</t>
  </si>
  <si>
    <t>T°38°C Vent fort</t>
  </si>
  <si>
    <t>CF</t>
  </si>
  <si>
    <t xml:space="preserve"> 36.10.18.13</t>
  </si>
  <si>
    <t>F.D. OUED OKHRISS CANTON GUEBILA</t>
  </si>
  <si>
    <t xml:space="preserve"> 37.10.06.13  </t>
  </si>
  <si>
    <t xml:space="preserve">40 Arbres fruitiers </t>
  </si>
  <si>
    <t>T°35° à 38° C,Vent Fort et irrégulier</t>
  </si>
  <si>
    <t>SF,PC,PND,APC</t>
  </si>
  <si>
    <t xml:space="preserve"> 38.10.06.13  </t>
  </si>
  <si>
    <t>F.D.OUED SAHEL CANTON AGHBALOU LIEU DIT IGHGZER LGUAZOUZ</t>
  </si>
  <si>
    <t>T°35° à 38° C,Vent Violent et irrégulier</t>
  </si>
  <si>
    <t xml:space="preserve"> 39.10.31.13</t>
  </si>
  <si>
    <t>F.D.  SOUR  EL GHOUZLANE CANTON EL ZEBCHA</t>
  </si>
  <si>
    <t xml:space="preserve"> 40.10.15.13</t>
  </si>
  <si>
    <t xml:space="preserve">150 Arbres fruitiers  </t>
  </si>
  <si>
    <t xml:space="preserve"> 41.10.01.13</t>
  </si>
  <si>
    <t>T°35°C ,Vent calme</t>
  </si>
  <si>
    <t xml:space="preserve"> 42.10.01.13</t>
  </si>
  <si>
    <t>F.D BOUIRA  CANTAN TIKOUKA</t>
  </si>
  <si>
    <t xml:space="preserve">100 Arbres fruitiers  </t>
  </si>
  <si>
    <t>T°40°C ,Vent violent</t>
  </si>
  <si>
    <t xml:space="preserve"> 43.10.31.13</t>
  </si>
  <si>
    <t>F.PARTICULIERE LIEU DIT SIDI SADEK</t>
  </si>
  <si>
    <t>440 Bottes</t>
  </si>
  <si>
    <t xml:space="preserve"> 44.10.18.13</t>
  </si>
  <si>
    <t xml:space="preserve">F.D. OUED OKHRISS CANTON DJEBEL ATTACHE </t>
  </si>
  <si>
    <t xml:space="preserve"> 45.10.35.13  </t>
  </si>
  <si>
    <t>T°40°C ,Vent fort</t>
  </si>
  <si>
    <t xml:space="preserve"> 46.10.12,13  </t>
  </si>
  <si>
    <t>F.D HAIZER CANTON  IDOUMAZ</t>
  </si>
  <si>
    <t xml:space="preserve"> 47.10.01.13</t>
  </si>
  <si>
    <t>75 Arbres fruitiers +320 Bottes</t>
  </si>
  <si>
    <t>T°42°C ,Vent calme</t>
  </si>
  <si>
    <t xml:space="preserve"> 48.10.12,13  </t>
  </si>
  <si>
    <t>T°42°C ,Vent modéré</t>
  </si>
  <si>
    <t xml:space="preserve"> 49.10.22.13</t>
  </si>
  <si>
    <t>F.D AHL EL KSER CANTON  TIZI KSIRI</t>
  </si>
  <si>
    <t xml:space="preserve">650 Bottes </t>
  </si>
  <si>
    <t>T°40° à 42° C,Vent moyen  Nord-Est</t>
  </si>
  <si>
    <t xml:space="preserve"> 50.10.22.13</t>
  </si>
  <si>
    <t>F.D AHL EL KSER CANTON BELLASSI</t>
  </si>
  <si>
    <t xml:space="preserve">97 Arbres fruitiers </t>
  </si>
  <si>
    <t>T°38° à 42° C,Vent Calme</t>
  </si>
  <si>
    <t xml:space="preserve"> 51.10.31.13</t>
  </si>
  <si>
    <t xml:space="preserve">F.D SOUR EL GHOUZLANE CANTON ELMOUDJANA +F.PARTICULIERE </t>
  </si>
  <si>
    <t xml:space="preserve"> 52.10.01.13</t>
  </si>
  <si>
    <t>200 Arbres fruitiers</t>
  </si>
  <si>
    <t xml:space="preserve"> 53.10.35.13  </t>
  </si>
  <si>
    <t xml:space="preserve"> 54.10.01.13</t>
  </si>
  <si>
    <t>T°33°C ,Vent calme</t>
  </si>
  <si>
    <t xml:space="preserve"> 55.10.06.13  </t>
  </si>
  <si>
    <t xml:space="preserve">140 Arbres fruitires </t>
  </si>
  <si>
    <t>T°33° à 36° C,Vent Fort et irrégulier</t>
  </si>
  <si>
    <t xml:space="preserve"> 56.10.13.13</t>
  </si>
  <si>
    <t>BOUKRAM</t>
  </si>
  <si>
    <t>F.PARTICULIERE CANTON  BOUHALLOA TARARIGHT,OUED EL THNINE</t>
  </si>
  <si>
    <t>97 Arbres fruitiers + 300 Bottes</t>
  </si>
  <si>
    <t xml:space="preserve"> 57.10.22.13</t>
  </si>
  <si>
    <t>F.D AHL EL KSER CANTON TIZI KSIRI</t>
  </si>
  <si>
    <t>350 Arbres fruitiers</t>
  </si>
  <si>
    <t>T°35° à 38° C,Vent Calme</t>
  </si>
  <si>
    <t xml:space="preserve"> 58.10.31.13</t>
  </si>
  <si>
    <t>F.PARTICULIERE CANTON DJEBEL DIRAH</t>
  </si>
  <si>
    <t>T° 36° C</t>
  </si>
  <si>
    <t xml:space="preserve"> 59.10.12,13  </t>
  </si>
  <si>
    <t>F.D HAIZER CANTON  IGHIL MEDJEBER</t>
  </si>
  <si>
    <t xml:space="preserve"> 60.10.06.13  </t>
  </si>
  <si>
    <t>F.D.OUED SAHEL CANTON  OUED ELBARED</t>
  </si>
  <si>
    <t xml:space="preserve">140 Arbres fruitiers </t>
  </si>
  <si>
    <t>T°33° à 36° C,Vent Calme</t>
  </si>
  <si>
    <t xml:space="preserve"> 61.10.01.13</t>
  </si>
  <si>
    <t>T°42°C ,Vent violent</t>
  </si>
  <si>
    <t xml:space="preserve"> 62.10.12,13  </t>
  </si>
  <si>
    <t xml:space="preserve"> 63.10.06.13  </t>
  </si>
  <si>
    <t>F.D.OUED SEBKHA CANTON TARIKHT</t>
  </si>
  <si>
    <t xml:space="preserve">80 Arbres fruitiers </t>
  </si>
  <si>
    <t>T°33° à 38° C,Vent Calme</t>
  </si>
  <si>
    <t xml:space="preserve"> 64.10.01.13</t>
  </si>
  <si>
    <t>F.D BOUIRA  CANTAN MEDJGNAROU</t>
  </si>
  <si>
    <t xml:space="preserve"> 65.10.22.13</t>
  </si>
  <si>
    <t>F.D AHL EL KSER CANTON OULED LAKHEMIS</t>
  </si>
  <si>
    <t>190 Arbres fruitiers +450 Bottes</t>
  </si>
  <si>
    <t>T°36° à 40° C,Vent moyen  Nord-Est</t>
  </si>
  <si>
    <t xml:space="preserve"> 66.10.01.13</t>
  </si>
  <si>
    <t>F.D BOUIRA  CANTAN MEDJGUENAROU</t>
  </si>
  <si>
    <t>T°35°C ,Vent modéré</t>
  </si>
  <si>
    <t xml:space="preserve"> 67.10.31.13</t>
  </si>
  <si>
    <t>F.D   SOUR GHOUZLANE LIEU DIT ELMOUDJANA -EL HARHARA</t>
  </si>
  <si>
    <t xml:space="preserve">192 Arbres fruitiers </t>
  </si>
  <si>
    <t xml:space="preserve"> 68.10.13.13</t>
  </si>
  <si>
    <t>Z'BARBAR</t>
  </si>
  <si>
    <t>F.PARTICULIERE EL KRANA</t>
  </si>
  <si>
    <t xml:space="preserve"> 160 Arbres fruitiers + 340 Bottes </t>
  </si>
  <si>
    <t>T°34°C vent violent, irrégulier</t>
  </si>
  <si>
    <t xml:space="preserve"> 69.10.31.13</t>
  </si>
  <si>
    <t>ELHAKIMIA</t>
  </si>
  <si>
    <t>F.D SOUR EL GHOUZLANE CHAABET DEHANE</t>
  </si>
  <si>
    <t>3°45'32,64"Est</t>
  </si>
  <si>
    <t>36°05'38,54"Nord</t>
  </si>
  <si>
    <t xml:space="preserve">180 Arbres fruitiers </t>
  </si>
  <si>
    <t>T° 33° C</t>
  </si>
  <si>
    <t xml:space="preserve"> 70.10.18.13</t>
  </si>
  <si>
    <t>F.D. OUED OKHRISS  DRAA ZEBOUDJA - EL BHIRA</t>
  </si>
  <si>
    <t xml:space="preserve">130 Arbres fruitiers  + 300 Bottes </t>
  </si>
  <si>
    <t xml:space="preserve"> 71.10.01.13</t>
  </si>
  <si>
    <t xml:space="preserve"> 72.10.13.13</t>
  </si>
  <si>
    <t xml:space="preserve"> 73.10.12,13  </t>
  </si>
  <si>
    <t>F.D BOUIRA CANTON TAFERKA</t>
  </si>
  <si>
    <t>T°35°C ,Vent  violent à modéré</t>
  </si>
  <si>
    <t xml:space="preserve"> 74.10.15.13</t>
  </si>
  <si>
    <t xml:space="preserve">90 Arbres fruitiers </t>
  </si>
  <si>
    <t xml:space="preserve"> 75.10.18.13</t>
  </si>
  <si>
    <t xml:space="preserve"> 76.10.18.13</t>
  </si>
  <si>
    <t>F.D. OUED OKHRISS  KAF ERRAHMA -GUEBILA</t>
  </si>
  <si>
    <t xml:space="preserve"> 77.10.06.13  </t>
  </si>
  <si>
    <t>130 Arbres fruitiers</t>
  </si>
  <si>
    <t>T°32° à 36° C,Vent moyen  Nord-Est</t>
  </si>
  <si>
    <t xml:space="preserve"> 78.10.13.13</t>
  </si>
  <si>
    <t>F. PARTICULIERE KOUDIET BELHECHAT</t>
  </si>
  <si>
    <t>90 Arbres fruitiers + 245 Bottes</t>
  </si>
  <si>
    <t>T°36°C vent violent, irrégulier</t>
  </si>
  <si>
    <t xml:space="preserve"> 79.10.18.13</t>
  </si>
  <si>
    <t xml:space="preserve">F.D. OUED OKHRISS  TAKAROUCHT- EL BHIRA </t>
  </si>
  <si>
    <t xml:space="preserve"> 80.10.12,13  </t>
  </si>
  <si>
    <t xml:space="preserve">100 Arbres fruitiers + 600 Bottes  </t>
  </si>
  <si>
    <t xml:space="preserve"> 81.10.05.13  </t>
  </si>
  <si>
    <t>F.D MOULAY YAHIA CANTON BABOR</t>
  </si>
  <si>
    <t xml:space="preserve">170 Arbres fruitiers </t>
  </si>
  <si>
    <t>T°38°C ,Vent fort</t>
  </si>
  <si>
    <t xml:space="preserve"> 82.10.06.13  </t>
  </si>
  <si>
    <t>F.D.OUED SAHEL CANTON IGHIL IGUENNI</t>
  </si>
  <si>
    <t>T°30° à 32° C,Vent Calme</t>
  </si>
  <si>
    <t xml:space="preserve"> 83.10.35.13  </t>
  </si>
  <si>
    <t>F.D METTENANE CANTON OUED FEHAM</t>
  </si>
  <si>
    <t xml:space="preserve">100 Arbres fruitiers +200 Bottes </t>
  </si>
  <si>
    <t xml:space="preserve"> 84.10.31.13</t>
  </si>
  <si>
    <t>F.D SOUR DJOUAB    EL MARDJA TOUILA</t>
  </si>
  <si>
    <t>SF,APC</t>
  </si>
  <si>
    <t xml:space="preserve"> 85.10.01.13</t>
  </si>
  <si>
    <t>F.D BOUIRA  CANTAN TADJNANT OUEST</t>
  </si>
  <si>
    <t xml:space="preserve">350 Arbres fruitiers </t>
  </si>
  <si>
    <t>T°40°C ,Vent modéré</t>
  </si>
  <si>
    <t xml:space="preserve"> 86.10.06.13  </t>
  </si>
  <si>
    <t>F.D.SEBKHA CANTON TARIKHT LIEU DIT CHEREA</t>
  </si>
  <si>
    <t>T°34° à 38° C</t>
  </si>
  <si>
    <t xml:space="preserve"> 87.10.31.13</t>
  </si>
  <si>
    <t>F.PARTICULIERE EL MOUDJANA</t>
  </si>
  <si>
    <t xml:space="preserve"> 88.10.05.13  </t>
  </si>
  <si>
    <t>F.PARTICLIERE  BOULARBAH</t>
  </si>
  <si>
    <t>EUCA</t>
  </si>
  <si>
    <t xml:space="preserve"> 89.10.31.13</t>
  </si>
  <si>
    <t>F.PARTICULIERE    DJEBEL BOUKRICHE</t>
  </si>
  <si>
    <t>3°49'34,67"Est</t>
  </si>
  <si>
    <t>36°06'7,21"Nord</t>
  </si>
  <si>
    <t xml:space="preserve">130 Arbres fruitiers </t>
  </si>
  <si>
    <t xml:space="preserve"> 90.10.18.13</t>
  </si>
  <si>
    <t>F.D. OUED OKHRISS  EL DOUAOUEDJA</t>
  </si>
  <si>
    <t xml:space="preserve"> 91.10.01.13</t>
  </si>
  <si>
    <t xml:space="preserve">70 Arbres fruitiers </t>
  </si>
  <si>
    <t>T°40°C ,Vent calme</t>
  </si>
  <si>
    <t xml:space="preserve"> 92.10.06.13  </t>
  </si>
  <si>
    <t>F.D.OUED SAHEL CANTON OUED EL BARED</t>
  </si>
  <si>
    <t>T°35° à 38° C,Vent irrégulier</t>
  </si>
  <si>
    <t xml:space="preserve"> 93.10.06.13  </t>
  </si>
  <si>
    <t>F.D.SEBKHA             IGHZER OUMENCHAR</t>
  </si>
  <si>
    <t>02 Ha Chaume + 500 Bottes</t>
  </si>
  <si>
    <t>T°38° à 42° C,Vent Violent et irrégulier</t>
  </si>
  <si>
    <t xml:space="preserve"> 94.10.06.13  </t>
  </si>
  <si>
    <t xml:space="preserve">49 Arbres fruitiers </t>
  </si>
  <si>
    <t>T°30° à 35° C,Vent Calme</t>
  </si>
  <si>
    <t xml:space="preserve"> 95.10.31.13</t>
  </si>
  <si>
    <t>F.PARTICULIERE   EL MOUDJANA</t>
  </si>
  <si>
    <t xml:space="preserve"> 96.10.06.13  </t>
  </si>
  <si>
    <t>F.D.SEBKHA CANTON  TARIKHT</t>
  </si>
  <si>
    <t xml:space="preserve">370 Arbres fruitiers </t>
  </si>
  <si>
    <t>T°34° à 40° C</t>
  </si>
  <si>
    <t xml:space="preserve"> 97.10.18.13</t>
  </si>
  <si>
    <t>F.D. OUED OKHRISS      TAKERROUCHT-EL BHIRA</t>
  </si>
  <si>
    <t xml:space="preserve"> 98.10.18.13</t>
  </si>
  <si>
    <t>F.PARTICULIERE    GUEBILA- LEDJOUAMAA</t>
  </si>
  <si>
    <t>185 Arbres fruitiers</t>
  </si>
  <si>
    <t xml:space="preserve"> 99.10.01.13</t>
  </si>
  <si>
    <t xml:space="preserve">120 Arbres fruitiers </t>
  </si>
  <si>
    <t>Vent  violent à modéré</t>
  </si>
  <si>
    <t xml:space="preserve"> 100.10.31.13</t>
  </si>
  <si>
    <t>F.D LIEU DIT  EL MAGROUNATE</t>
  </si>
  <si>
    <t xml:space="preserve"> 101.10.06.13  </t>
  </si>
  <si>
    <t>F.PARTICULIERE   BENI HAMMAD</t>
  </si>
  <si>
    <t xml:space="preserve"> 102.10.31.13</t>
  </si>
  <si>
    <t>F.PARTICULIERE   HADJ BEKKOUCHE</t>
  </si>
  <si>
    <t>11/00</t>
  </si>
  <si>
    <t xml:space="preserve"> 103.10.06.13  </t>
  </si>
  <si>
    <t>F.D.OUED SAHEL CANTON  OUED EL BARED LIEU DIT TAKACHOUCHT</t>
  </si>
  <si>
    <t>T°38° à 40° C,Vent moyen  Nord-Est</t>
  </si>
  <si>
    <t xml:space="preserve"> 104.10.05.13  </t>
  </si>
  <si>
    <t>DJEBAHIA</t>
  </si>
  <si>
    <t>F.PARTICLIERE  EL HAMRAA</t>
  </si>
  <si>
    <t xml:space="preserve">119 Arbres fruitiers </t>
  </si>
  <si>
    <t xml:space="preserve"> 105.10.05.13  </t>
  </si>
  <si>
    <t>F.PARTICLIERE  BENI MAANED</t>
  </si>
  <si>
    <t xml:space="preserve"> 106.10.01.13</t>
  </si>
  <si>
    <t xml:space="preserve">60 Arbres fruitiers +250 Bottes </t>
  </si>
  <si>
    <t xml:space="preserve">T°30 ,Vent faible </t>
  </si>
  <si>
    <t xml:space="preserve"> 107.10.01.13</t>
  </si>
  <si>
    <t xml:space="preserve">70 Arbres fruitiers +300 Bottes </t>
  </si>
  <si>
    <t>T°32 ,Vent modéré</t>
  </si>
  <si>
    <t xml:space="preserve"> 108.10.01.13</t>
  </si>
  <si>
    <t>49 Arbres fruitiers+320 Bottes</t>
  </si>
  <si>
    <t xml:space="preserve">T°31 ,Vent faible </t>
  </si>
  <si>
    <t xml:space="preserve"> 109.10.06.13  </t>
  </si>
  <si>
    <t>F.P LIEU DIT KOURITE</t>
  </si>
  <si>
    <t>60 Arbres fruitiers +150 Bottes</t>
  </si>
  <si>
    <t>T°34 ,Vent moyen</t>
  </si>
  <si>
    <t xml:space="preserve"> 110.10.01.13</t>
  </si>
  <si>
    <t>260 Bottes</t>
  </si>
  <si>
    <t xml:space="preserve">T°32 ,Vent modéré </t>
  </si>
  <si>
    <t xml:space="preserve"> 111.10.05.13  </t>
  </si>
  <si>
    <t>F.P LIEU DIT TABOURT</t>
  </si>
  <si>
    <t xml:space="preserve">200 Arbres fruitiers </t>
  </si>
  <si>
    <t xml:space="preserve">T°34 ,Vent modéré </t>
  </si>
  <si>
    <t>113.10.00.13</t>
  </si>
  <si>
    <t>EL MOUKRANI</t>
  </si>
  <si>
    <t>F.P LIEU DIT HOUADCHIA</t>
  </si>
  <si>
    <t xml:space="preserve">T°33 ,Vent faible </t>
  </si>
  <si>
    <t xml:space="preserve"> 113.10.15.13</t>
  </si>
  <si>
    <t>EL HACHIMIA</t>
  </si>
  <si>
    <t>F.D LIEU DIT AIN ZEARRARA</t>
  </si>
  <si>
    <t>60 Arbres fruitiers</t>
  </si>
  <si>
    <t xml:space="preserve"> 114.10.13.13</t>
  </si>
  <si>
    <t>GUARROUMA</t>
  </si>
  <si>
    <t>F.D LIEU DIT ZOUAOUNA</t>
  </si>
  <si>
    <t xml:space="preserve"> 115.10.13.13</t>
  </si>
  <si>
    <t>BOUDERBALLA</t>
  </si>
  <si>
    <t>F,D FOUDERBALLA, CANTON  BOUNEDASS</t>
  </si>
  <si>
    <t xml:space="preserve"> 116.10.05.13  </t>
  </si>
  <si>
    <t>F,D BENI KHALFOUNE, CANTON MIMOUNA</t>
  </si>
  <si>
    <t>MCL</t>
  </si>
  <si>
    <t xml:space="preserve">T°32,Vent faible </t>
  </si>
  <si>
    <t xml:space="preserve"> 117.10.13.13</t>
  </si>
  <si>
    <t>LAKHEDARIA</t>
  </si>
  <si>
    <t>F.P LIEU DIT IGHIL AZERFANE</t>
  </si>
  <si>
    <t>BROU</t>
  </si>
  <si>
    <t>310 Arbres fruitiers</t>
  </si>
  <si>
    <t xml:space="preserve">T°30,Vent faible </t>
  </si>
  <si>
    <t xml:space="preserve"> 118.10.13.13</t>
  </si>
  <si>
    <t>ZEBARBAR</t>
  </si>
  <si>
    <t>F.P LIEU DIT LAKRANA</t>
  </si>
  <si>
    <t>400 Arbres fruitiers</t>
  </si>
  <si>
    <t xml:space="preserve"> 119.10.06.13  </t>
  </si>
  <si>
    <t>F.D OUED SAHEL, LIEU DIT IGHEZAR LEGAZOUZ</t>
  </si>
  <si>
    <t>MCV</t>
  </si>
  <si>
    <t xml:space="preserve">180 Arbres fruitiers + 400 Bottes </t>
  </si>
  <si>
    <t>T°29 ,Vent modéré</t>
  </si>
  <si>
    <t xml:space="preserve"> 120.10.05.13  </t>
  </si>
  <si>
    <t>F.P LIEU DIT BENI MAANED</t>
  </si>
  <si>
    <t>510 Arbres fruitiers</t>
  </si>
  <si>
    <t>T°33 ,Vent modéré</t>
  </si>
  <si>
    <t xml:space="preserve"> 121.10.05.13  </t>
  </si>
  <si>
    <t>F.P LIEU DIT BENI MAABED</t>
  </si>
  <si>
    <t>380 Arbres fruitiers</t>
  </si>
  <si>
    <t xml:space="preserve"> 122.10.31.13</t>
  </si>
  <si>
    <t>F.D KESSANA LIEU DIT KEROUMA</t>
  </si>
  <si>
    <t>310 Arbres fruitiers+250 Bottes</t>
  </si>
  <si>
    <t xml:space="preserve"> 123.10.31.13</t>
  </si>
  <si>
    <t>F.D, LIEU DIT LEHAWECHE LEMAHROUG</t>
  </si>
  <si>
    <t>280 Arbres fruitiers+200 Bottes</t>
  </si>
  <si>
    <t xml:space="preserve"> 124.10.35.13  </t>
  </si>
  <si>
    <t xml:space="preserve">AIN BESSAM </t>
  </si>
  <si>
    <t>F.P, LIEU DIT SIDI HAMZA</t>
  </si>
  <si>
    <t>100 Arbres fruitiers</t>
  </si>
  <si>
    <t xml:space="preserve"> 125.10.05.13  </t>
  </si>
  <si>
    <t>F.P, LIEU DIT AIN CHERIKI</t>
  </si>
  <si>
    <t>250 Arbres fruitiers</t>
  </si>
  <si>
    <t xml:space="preserve"> 126.10.01.13</t>
  </si>
  <si>
    <t xml:space="preserve">BOUIRA </t>
  </si>
  <si>
    <t xml:space="preserve">F.D BOUIRA CANTON ERRICH </t>
  </si>
  <si>
    <t xml:space="preserve"> 127.10.06.13  </t>
  </si>
  <si>
    <t>F.P, LIEU DIT IGHEZAR BOUCHEN</t>
  </si>
  <si>
    <t xml:space="preserve">T°29 ,Vent faible </t>
  </si>
  <si>
    <t xml:space="preserve">TOTAL GENERAL </t>
  </si>
  <si>
    <t>26 Ha Chaume + 10 693 Bottes+14 374 Arbres fruitiers</t>
  </si>
  <si>
    <t>26 Ha Chaume + 10 693 Bottes + 14 374 Arbres Fruitiers</t>
  </si>
  <si>
    <t>CAMPAGNE   2014</t>
  </si>
  <si>
    <t>DU 1/06/2014 AU 31/10/2014</t>
  </si>
  <si>
    <t>NOM DE LA  FORET</t>
  </si>
  <si>
    <t>FD Béni khalfoune</t>
  </si>
  <si>
    <t>36°33'14''N</t>
  </si>
  <si>
    <t>3°41'31''E</t>
  </si>
  <si>
    <t>Maquis  CL</t>
  </si>
  <si>
    <t>T° 32°C à 34°C, vent faible</t>
  </si>
  <si>
    <t xml:space="preserve">FD Béni khalfoune </t>
  </si>
  <si>
    <t>36°32'57''N</t>
  </si>
  <si>
    <t>3°41'47''E</t>
  </si>
  <si>
    <t>Guerouma</t>
  </si>
  <si>
    <t>F Particulier Boulaazazene</t>
  </si>
  <si>
    <t>36°26'53''N</t>
  </si>
  <si>
    <t>3°27'14''E</t>
  </si>
  <si>
    <t xml:space="preserve">T° 40°C,vent faible </t>
  </si>
  <si>
    <t>FD Bouira</t>
  </si>
  <si>
    <t>36°25'31.49"N</t>
  </si>
  <si>
    <t>3°55'10.42"E</t>
  </si>
  <si>
    <t>Brouss</t>
  </si>
  <si>
    <t>T° 40°C,vent faible nord sud</t>
  </si>
  <si>
    <t>FD Sabkha</t>
  </si>
  <si>
    <t>36°16'16.01"N</t>
  </si>
  <si>
    <t>4°09'30.34"E</t>
  </si>
  <si>
    <t>T° 36°C à 39°C, vent faible</t>
  </si>
  <si>
    <t>36°16'42.63"N</t>
  </si>
  <si>
    <t>4°08'36.37"E</t>
  </si>
  <si>
    <t>36°24'43"N</t>
  </si>
  <si>
    <t>3°56'18"E</t>
  </si>
  <si>
    <t xml:space="preserve">FD Oued Sahel </t>
  </si>
  <si>
    <t>36°26'44,57"N</t>
  </si>
  <si>
    <t>4°16'30,62"E</t>
  </si>
  <si>
    <t>Maquis CV</t>
  </si>
  <si>
    <t>PND</t>
  </si>
  <si>
    <t>30° à 35° vent calme</t>
  </si>
  <si>
    <t>SF +PC+PND</t>
  </si>
  <si>
    <t>Z'barbar</t>
  </si>
  <si>
    <t>F Particuliere El Zouabria</t>
  </si>
  <si>
    <t>36°28'41"N</t>
  </si>
  <si>
    <t>3°30'51"E</t>
  </si>
  <si>
    <t>35°C,vent faible Nord Sud</t>
  </si>
  <si>
    <t>El Hachemia</t>
  </si>
  <si>
    <t>Fcommunale Sidi Hamza</t>
  </si>
  <si>
    <t>36°54'11.7194"</t>
  </si>
  <si>
    <t>3°27'41.8926"</t>
  </si>
  <si>
    <t>SF + PC +EAPC+EMPS+VOL</t>
  </si>
  <si>
    <t xml:space="preserve">FD Azrous </t>
  </si>
  <si>
    <t>36°23'06,06"N</t>
  </si>
  <si>
    <t>4°09'02,48"E</t>
  </si>
  <si>
    <t>33 °à 36° vent moyen ,direction Nord Sud</t>
  </si>
  <si>
    <t>SF +PC</t>
  </si>
  <si>
    <t xml:space="preserve">FD Oued Okhriss </t>
  </si>
  <si>
    <t>36°05'28,975"</t>
  </si>
  <si>
    <t>03°56'34,094"</t>
  </si>
  <si>
    <t>vitesse 20 Km/h, direction nord</t>
  </si>
  <si>
    <t>SF+PC+DW+EMPS</t>
  </si>
  <si>
    <t xml:space="preserve">FD Bouira </t>
  </si>
  <si>
    <t>36°27'2.8494"</t>
  </si>
  <si>
    <t>4°1'34.9051"</t>
  </si>
  <si>
    <t>Maquis  CV</t>
  </si>
  <si>
    <t>40°C,vent faible Nord Sud</t>
  </si>
  <si>
    <t xml:space="preserve">SF </t>
  </si>
  <si>
    <t xml:space="preserve">FD Haizer </t>
  </si>
  <si>
    <t>36°24'50.2379"</t>
  </si>
  <si>
    <t>4°0'52.5178"</t>
  </si>
  <si>
    <t>SF+ PC</t>
  </si>
  <si>
    <t>Ouled Rached</t>
  </si>
  <si>
    <t xml:space="preserve">FD Ahl kser </t>
  </si>
  <si>
    <t>36°09'24,87"N</t>
  </si>
  <si>
    <t>4°06'22,65"E</t>
  </si>
  <si>
    <t>SF +PC+EAPC</t>
  </si>
  <si>
    <t>Ain Bessam</t>
  </si>
  <si>
    <t>Ain Lahdjar</t>
  </si>
  <si>
    <t xml:space="preserve">FD Metenane </t>
  </si>
  <si>
    <t>36°55'33.4380"</t>
  </si>
  <si>
    <t>3°29'31.8078"</t>
  </si>
  <si>
    <t>34°C,vent Nord (15/20Km/h)</t>
  </si>
  <si>
    <t>El Asnam</t>
  </si>
  <si>
    <t>36°24'37.8092"</t>
  </si>
  <si>
    <t>4°4'53.2277"</t>
  </si>
  <si>
    <t>36°21'48.6816"</t>
  </si>
  <si>
    <t>4°0'33.4386"</t>
  </si>
  <si>
    <t>34°C,vent faible Nord Sud</t>
  </si>
  <si>
    <t>36°33'49"N</t>
  </si>
  <si>
    <t>3°42'06"E</t>
  </si>
  <si>
    <t xml:space="preserve">10 Ha Olivier </t>
  </si>
  <si>
    <t>44°C,</t>
  </si>
  <si>
    <t xml:space="preserve">FD Kessana </t>
  </si>
  <si>
    <t>36°54'10.3265"</t>
  </si>
  <si>
    <t>3°35'6.3120"</t>
  </si>
  <si>
    <t xml:space="preserve">38°C, vent Sud (35/40 Km/h) </t>
  </si>
  <si>
    <t>SF+PC+EAPC+EMPS</t>
  </si>
  <si>
    <t>36°55'26.9637"</t>
  </si>
  <si>
    <t>3°28'39.2042"</t>
  </si>
  <si>
    <t xml:space="preserve">40°C, vent Sud (25/30 Km/h) </t>
  </si>
  <si>
    <t>36°35'17"N</t>
  </si>
  <si>
    <t>3°42'15"E</t>
  </si>
  <si>
    <t>42°C</t>
  </si>
  <si>
    <t>36°25'19.7934"</t>
  </si>
  <si>
    <t>4°0'20.8842"</t>
  </si>
  <si>
    <t>44°C,vent faible Nord Sud</t>
  </si>
  <si>
    <t>26°21'41"</t>
  </si>
  <si>
    <t>4°00'48"</t>
  </si>
  <si>
    <t>Souk El Khemiss</t>
  </si>
  <si>
    <t>El Mokrani</t>
  </si>
  <si>
    <t>F Particuliere Lieu dit Ouled lahek</t>
  </si>
  <si>
    <t>36°55'38.2586"</t>
  </si>
  <si>
    <t>3°21'30.9147"</t>
  </si>
  <si>
    <t xml:space="preserve">42°C,vent Sud (25/30 Km/h) </t>
  </si>
  <si>
    <t>Boukram</t>
  </si>
  <si>
    <t>F Particuliere Lieu dit Ouled khlil</t>
  </si>
  <si>
    <t>36°31'35"N</t>
  </si>
  <si>
    <t>3°24'34"E</t>
  </si>
  <si>
    <t>05 Ha A,Fruitiers</t>
  </si>
  <si>
    <t>45°C</t>
  </si>
  <si>
    <t>SF+ PC+EAPC+EMPS</t>
  </si>
  <si>
    <t xml:space="preserve">FD Sour Djouab </t>
  </si>
  <si>
    <t>36°09'34,142"</t>
  </si>
  <si>
    <t>03°35'9,571"</t>
  </si>
  <si>
    <t>32°C,vent moyen ,direction Nord Ouest</t>
  </si>
  <si>
    <t>36°07'19,434"</t>
  </si>
  <si>
    <t>4°3'40,21"</t>
  </si>
  <si>
    <t>40°C,vitesse 30 Km /h</t>
  </si>
  <si>
    <t>36°25'22.6232"</t>
  </si>
  <si>
    <t>3°55'51.8672"</t>
  </si>
  <si>
    <t>SF +PC+POP</t>
  </si>
  <si>
    <t>36°25'29.9619"</t>
  </si>
  <si>
    <t>3°59'40.8928"</t>
  </si>
  <si>
    <t>36°26'35.0802"</t>
  </si>
  <si>
    <t>3°59'21.8788"</t>
  </si>
  <si>
    <t>36°24'37.9011"</t>
  </si>
  <si>
    <t>4°4'45.1987"</t>
  </si>
  <si>
    <t>F Particuliere lieu dit el kettar</t>
  </si>
  <si>
    <t>36°30'59"N</t>
  </si>
  <si>
    <t>3°40'48"E</t>
  </si>
  <si>
    <t>1Ha Olivier</t>
  </si>
  <si>
    <t>36°24'24.0571"</t>
  </si>
  <si>
    <t>4°1'12.1564"</t>
  </si>
  <si>
    <t>F Particuliere Lieu dit El kettar</t>
  </si>
  <si>
    <t>36°30'56"N</t>
  </si>
  <si>
    <t>41°C</t>
  </si>
  <si>
    <t>36°24'57.0772"</t>
  </si>
  <si>
    <t>4°0'20.5076"</t>
  </si>
  <si>
    <t>36°26'35.3798"</t>
  </si>
  <si>
    <t>3°58'53.7652"</t>
  </si>
  <si>
    <t>1,5 Ha Diss</t>
  </si>
  <si>
    <t>38°C,vent modéré Nord Sud</t>
  </si>
  <si>
    <t>en cours</t>
  </si>
  <si>
    <t>F Particuliere Lieu dit Inesmane</t>
  </si>
  <si>
    <t>36°25'10.2456"</t>
  </si>
  <si>
    <t>3°56'27.8149"</t>
  </si>
  <si>
    <t>0,5 Ha Olivier</t>
  </si>
  <si>
    <t>38°C,vent faible Nord Sud</t>
  </si>
  <si>
    <t>36°25'32.1945"</t>
  </si>
  <si>
    <t>3°56'8.0808"</t>
  </si>
  <si>
    <t>Ain Turk</t>
  </si>
  <si>
    <t xml:space="preserve">FD moulai yahia </t>
  </si>
  <si>
    <t>36°26'54.2325"</t>
  </si>
  <si>
    <t>3°49'3.5523"</t>
  </si>
  <si>
    <t>36°25'33.1715"</t>
  </si>
  <si>
    <t>3°55'35.9680"</t>
  </si>
  <si>
    <t>0,2 Ha Olivier</t>
  </si>
  <si>
    <t xml:space="preserve">35°C,vent  Nord </t>
  </si>
  <si>
    <t>SF+¨PC+EMPS</t>
  </si>
  <si>
    <t>F Particuliere Lieu dit Tiliouine</t>
  </si>
  <si>
    <t>36°33'46"N</t>
  </si>
  <si>
    <t>3°40'58"E</t>
  </si>
  <si>
    <t>38°C</t>
  </si>
  <si>
    <t xml:space="preserve">F particulier thadarth ledjedid </t>
  </si>
  <si>
    <t>36°25'33"N</t>
  </si>
  <si>
    <t>4°18'48"E</t>
  </si>
  <si>
    <t>32° à 37°vent moyen et irrégulier direction Nord Est</t>
  </si>
  <si>
    <t>F Communale Tiyare</t>
  </si>
  <si>
    <t>36°30'57"N</t>
  </si>
  <si>
    <t>3°41'56"E</t>
  </si>
  <si>
    <t>Euc</t>
  </si>
  <si>
    <t>36°C</t>
  </si>
  <si>
    <t>F Particuliere Ouled Bouguerne</t>
  </si>
  <si>
    <t>36°30'38"N</t>
  </si>
  <si>
    <t>3°32'34"E</t>
  </si>
  <si>
    <t>34°C</t>
  </si>
  <si>
    <t>36°54'0.6706"</t>
  </si>
  <si>
    <t>3°31'3.7926"</t>
  </si>
  <si>
    <t>SF+PC+EMPS</t>
  </si>
  <si>
    <t>36°30'27"N</t>
  </si>
  <si>
    <t>3°32'28"E</t>
  </si>
  <si>
    <t>0,25 Ha Olivier</t>
  </si>
  <si>
    <t>36°34'16"E</t>
  </si>
  <si>
    <t>3°39'16"E</t>
  </si>
  <si>
    <t>01 Ha Olivier</t>
  </si>
  <si>
    <t>F Particuliere elguettarna</t>
  </si>
  <si>
    <t>36°28'39"N</t>
  </si>
  <si>
    <t>3°29'35"E</t>
  </si>
  <si>
    <t>Omar</t>
  </si>
  <si>
    <t>F.D Moulay Yahia</t>
  </si>
  <si>
    <t>36°28'26"N</t>
  </si>
  <si>
    <t>3°50'51"E</t>
  </si>
  <si>
    <t>Maquis CL</t>
  </si>
  <si>
    <t>F particulier Ouled Gacem</t>
  </si>
  <si>
    <t>36°29'37"N</t>
  </si>
  <si>
    <t>3°32'46"E</t>
  </si>
  <si>
    <t>40°C</t>
  </si>
  <si>
    <t>SF+ PC+EAPC</t>
  </si>
  <si>
    <t>Guerrouma</t>
  </si>
  <si>
    <t>F particulier Tirika</t>
  </si>
  <si>
    <t>36°30'35"N</t>
  </si>
  <si>
    <t>3°26'34"E</t>
  </si>
  <si>
    <t>FD sour djouab</t>
  </si>
  <si>
    <t>36°08'20,18"N</t>
  </si>
  <si>
    <t>3°35'20,05"E</t>
  </si>
  <si>
    <t>autre(extraction de charbon)</t>
  </si>
  <si>
    <t>29° vent faible</t>
  </si>
  <si>
    <t>SF+PC+DW+EAPC+POP+EMPC+COM</t>
  </si>
  <si>
    <t>36°25'27.93"N</t>
  </si>
  <si>
    <t>4°00'59.38"E</t>
  </si>
  <si>
    <t>36°25'13.06"N</t>
  </si>
  <si>
    <t>3°50'32.20"</t>
  </si>
  <si>
    <t>Maquis</t>
  </si>
  <si>
    <t>Bordj oKhriss</t>
  </si>
  <si>
    <t>FD Oued Okhriss</t>
  </si>
  <si>
    <t>36°6'59.0935"</t>
  </si>
  <si>
    <t>4°4'4.0055"</t>
  </si>
  <si>
    <t>FD Moulay Yahia</t>
  </si>
  <si>
    <t>36°27'28"N</t>
  </si>
  <si>
    <t>3°48'52"E</t>
  </si>
  <si>
    <t>1,5 Ha olivier</t>
  </si>
  <si>
    <t>F communale Sisi Hamza</t>
  </si>
  <si>
    <t>36°15'37.6857"</t>
  </si>
  <si>
    <t>3°44'4.8677"</t>
  </si>
  <si>
    <t>40°C,vent Sud 25/30Km/h</t>
  </si>
  <si>
    <t>SF +PC+VOL</t>
  </si>
  <si>
    <t>F communale(Ras Bouira)</t>
  </si>
  <si>
    <t>36°21'42.89"N</t>
  </si>
  <si>
    <t>3°55'52.30"E</t>
  </si>
  <si>
    <t>FD Ahl Ksar</t>
  </si>
  <si>
    <t>36°13'07,78"N</t>
  </si>
  <si>
    <t>4°03'11,40"E</t>
  </si>
  <si>
    <t>32°à37°c vent moyen et irrégulier,direction Nord Est</t>
  </si>
  <si>
    <t>FD Kadara(Ammal)</t>
  </si>
  <si>
    <t>36°35'56"N</t>
  </si>
  <si>
    <t>3°32'47"E</t>
  </si>
  <si>
    <t>44°C</t>
  </si>
  <si>
    <t>F particulier( Metoussa)</t>
  </si>
  <si>
    <t>36°35'15"N</t>
  </si>
  <si>
    <t>FD Beni Khalfoune</t>
  </si>
  <si>
    <t>36°34'27"N</t>
  </si>
  <si>
    <t>3°40'11"E</t>
  </si>
  <si>
    <t>F Particulier Djebel fettak(ould el hadj)</t>
  </si>
  <si>
    <t>36°24'45.7342"</t>
  </si>
  <si>
    <t>3°35'44.1125"</t>
  </si>
  <si>
    <t>42°C,vent  Sud25/30Km/h</t>
  </si>
  <si>
    <t>36°7'32.3441"</t>
  </si>
  <si>
    <t>3°56'0.4126"</t>
  </si>
  <si>
    <t>36°38'56"N</t>
  </si>
  <si>
    <t>3°41'40"E</t>
  </si>
  <si>
    <t>6 Ha Arbres fruitiers</t>
  </si>
  <si>
    <t xml:space="preserve">FD Beni Khalfoune </t>
  </si>
  <si>
    <t>36°35'04"N</t>
  </si>
  <si>
    <t>3°42'59"E</t>
  </si>
  <si>
    <t>36°7'50.8642"</t>
  </si>
  <si>
    <t>3°58'0.6510"</t>
  </si>
  <si>
    <t>FD Kssana</t>
  </si>
  <si>
    <t>36°9'50.6481"</t>
  </si>
  <si>
    <t>3°58'38.1423"</t>
  </si>
  <si>
    <t>41°C,vent sud</t>
  </si>
  <si>
    <t>F communale(Sidi Hamza)</t>
  </si>
  <si>
    <t>36°13'14.0026"</t>
  </si>
  <si>
    <t>3°46'23.7079"</t>
  </si>
  <si>
    <t>SF +PC+EAPC+EMPS+COMR</t>
  </si>
  <si>
    <t>F particulier guerrouma zaouya</t>
  </si>
  <si>
    <t>36°29'06"N</t>
  </si>
  <si>
    <t>3°25'45"E</t>
  </si>
  <si>
    <t>02 Ha olivier</t>
  </si>
  <si>
    <t>36°13'08,95N</t>
  </si>
  <si>
    <t>4°03'05,08"E</t>
  </si>
  <si>
    <t>35°à38°c vent moyen direction Nord Est</t>
  </si>
  <si>
    <t>F particulier El djebssa</t>
  </si>
  <si>
    <t>36°10'6.8746"</t>
  </si>
  <si>
    <t>3°58'38.3437"</t>
  </si>
  <si>
    <t>30°C,vent  Sud</t>
  </si>
  <si>
    <t>FD Isser</t>
  </si>
  <si>
    <t>36°29'44"N</t>
  </si>
  <si>
    <t>3°33'23"E</t>
  </si>
  <si>
    <t>39°C</t>
  </si>
  <si>
    <t>FD Haizer</t>
  </si>
  <si>
    <t>36°25'20.34"N</t>
  </si>
  <si>
    <t>4°01'14.12"</t>
  </si>
  <si>
    <t xml:space="preserve">40°C,vent faible Sud Nord </t>
  </si>
  <si>
    <t>36°15'38,91"N</t>
  </si>
  <si>
    <t>4°06'46,37"E</t>
  </si>
  <si>
    <t xml:space="preserve">36°à40°c vent calme </t>
  </si>
  <si>
    <t>36°29'38"N</t>
  </si>
  <si>
    <t>3°33'21"E</t>
  </si>
  <si>
    <t>36°29'33"N</t>
  </si>
  <si>
    <t>3°31'30"E</t>
  </si>
  <si>
    <t>36°15'38,99"N</t>
  </si>
  <si>
    <t>4°07'16,54"E</t>
  </si>
  <si>
    <t>36° à  39° C</t>
  </si>
  <si>
    <t>F particulier Guerouma Zaouia)</t>
  </si>
  <si>
    <t>36°29'02"N</t>
  </si>
  <si>
    <t>3°25'44"E</t>
  </si>
  <si>
    <t>FD Kessana</t>
  </si>
  <si>
    <t>36°10'29.7447"</t>
  </si>
  <si>
    <t>3°51'14.3067"</t>
  </si>
  <si>
    <t>41°C,vennt sud</t>
  </si>
  <si>
    <t>SF +PC+EAPC+EMPS</t>
  </si>
  <si>
    <t>F particulier (Boukhelfoune)</t>
  </si>
  <si>
    <t>36°30'07"N</t>
  </si>
  <si>
    <t>3°23'50"E</t>
  </si>
  <si>
    <t>36°25'3.76"N</t>
  </si>
  <si>
    <t>4°4'12.77"E</t>
  </si>
  <si>
    <t>FD Mettenane</t>
  </si>
  <si>
    <t>36°24'51.8639"</t>
  </si>
  <si>
    <t>3°46'14.5482"</t>
  </si>
  <si>
    <t>SF+COMR+EMPS</t>
  </si>
  <si>
    <t>FD Boudarbala</t>
  </si>
  <si>
    <t>36°36'22"N</t>
  </si>
  <si>
    <t>3°30'30"E</t>
  </si>
  <si>
    <t>36°24'14.91"N</t>
  </si>
  <si>
    <t>3°53'06.72"E</t>
  </si>
  <si>
    <t xml:space="preserve">40°C, faible Sud Nord </t>
  </si>
  <si>
    <t>36°10'55.6507"</t>
  </si>
  <si>
    <t>3°51'22.5944"</t>
  </si>
  <si>
    <t>40°C,vent sud</t>
  </si>
  <si>
    <t>36°25'46.77"N</t>
  </si>
  <si>
    <t>4°5'33.88"E</t>
  </si>
  <si>
    <t>41°C, Modéré</t>
  </si>
  <si>
    <t>F Particulier ( Boukhelfoune)</t>
  </si>
  <si>
    <t>3°22'49"E</t>
  </si>
  <si>
    <t>F Particulier ( Boukram zaouia)</t>
  </si>
  <si>
    <t>36°31'06"N</t>
  </si>
  <si>
    <t>3°23'55"E</t>
  </si>
  <si>
    <t>03 Ha olivier</t>
  </si>
  <si>
    <t>FD Sour djouab</t>
  </si>
  <si>
    <t>36°5'50,60"N</t>
  </si>
  <si>
    <t>3°36'11,46"E</t>
  </si>
  <si>
    <t>31°C vent moyenne</t>
  </si>
  <si>
    <t>SF+PC+DW</t>
  </si>
  <si>
    <t>FD beni mensour</t>
  </si>
  <si>
    <t>36°17'48,01"N</t>
  </si>
  <si>
    <t>4°18'44,00"E</t>
  </si>
  <si>
    <t>32° à  36° C</t>
  </si>
  <si>
    <t>36°26'22.52"N</t>
  </si>
  <si>
    <t>4°03'11.37"E</t>
  </si>
  <si>
    <t>36°C, Modéré</t>
  </si>
  <si>
    <t>Taguedite</t>
  </si>
  <si>
    <t xml:space="preserve">FD Oued okhriss </t>
  </si>
  <si>
    <t>36°6'46.5957"</t>
  </si>
  <si>
    <t>3°56'39.8685"</t>
  </si>
  <si>
    <t>36°24'16.1652"</t>
  </si>
  <si>
    <t>3°46'14.1956"</t>
  </si>
  <si>
    <t>SF+EMPS</t>
  </si>
  <si>
    <t>36°26'29.54"N</t>
  </si>
  <si>
    <t>4°03'12.72"E</t>
  </si>
  <si>
    <t>36°22'28.50"N</t>
  </si>
  <si>
    <t>3°57'49.41"</t>
  </si>
  <si>
    <t>36°25'22.92"N</t>
  </si>
  <si>
    <t>4°00'59,49"E</t>
  </si>
  <si>
    <t>FD Oued Sahel</t>
  </si>
  <si>
    <t>36°26'25,15"N</t>
  </si>
  <si>
    <t>4°16'39,75"E</t>
  </si>
  <si>
    <t>32°à38°c vent moyen direction NordSud Est</t>
  </si>
  <si>
    <t>SF+ PC+PND</t>
  </si>
  <si>
    <t>FD SOUR</t>
  </si>
  <si>
    <t>36°8'44,66"N</t>
  </si>
  <si>
    <t>3°36'4,98"E</t>
  </si>
  <si>
    <t>27°C vent faible</t>
  </si>
  <si>
    <t>FD Oued sahel</t>
  </si>
  <si>
    <t>36°26'23,64"N</t>
  </si>
  <si>
    <t>4°19'04,12"E</t>
  </si>
  <si>
    <t>32° à  36° C,vent moyen et irrégulier</t>
  </si>
  <si>
    <t>Maala</t>
  </si>
  <si>
    <t>F Particulier (Berricha )</t>
  </si>
  <si>
    <t>36°31'55""N</t>
  </si>
  <si>
    <t>3°35'15"E</t>
  </si>
  <si>
    <t>F Particulier ( Magrounette)</t>
  </si>
  <si>
    <t>36°09'16,86"N</t>
  </si>
  <si>
    <t>3°35'25,88"E</t>
  </si>
  <si>
    <t>30° C Vent modéré</t>
  </si>
  <si>
    <t>36°6'56.0072"</t>
  </si>
  <si>
    <t>3°56'39.9811"</t>
  </si>
  <si>
    <t>SF +PC+DW</t>
  </si>
  <si>
    <t>Fparticulier (Draa Laoucif)</t>
  </si>
  <si>
    <t>36°12'17,76"N</t>
  </si>
  <si>
    <t>3°38'33,21"E</t>
  </si>
  <si>
    <t>31° C Vent moyen</t>
  </si>
  <si>
    <t>36°24'58.7866"</t>
  </si>
  <si>
    <t>3°57'39.9140"</t>
  </si>
  <si>
    <t>0,1 Ha olivier</t>
  </si>
  <si>
    <t>SF+PC+POP</t>
  </si>
  <si>
    <t>F particulier (Boulaazazene)</t>
  </si>
  <si>
    <t>36°26'53"N</t>
  </si>
  <si>
    <t>3°26'54"E</t>
  </si>
  <si>
    <t>PA+PP</t>
  </si>
  <si>
    <t>36°33'36"N</t>
  </si>
  <si>
    <t>3°43'27"E</t>
  </si>
  <si>
    <t>40°C,vent fort parfois et direction diverse</t>
  </si>
  <si>
    <t>36°25'34.7871"</t>
  </si>
  <si>
    <t>4°2'13.5830"</t>
  </si>
  <si>
    <t>36°25'9.9273"</t>
  </si>
  <si>
    <t>4°0'32.7678"</t>
  </si>
  <si>
    <t>36°27'01,36"N</t>
  </si>
  <si>
    <t>4°18'58,87"E</t>
  </si>
  <si>
    <t xml:space="preserve">32° à  36° C,vent moyen </t>
  </si>
  <si>
    <t>Oued el Berdi</t>
  </si>
  <si>
    <t>36°13'19.3427"</t>
  </si>
  <si>
    <t>3°56'36.5729"</t>
  </si>
  <si>
    <t>35°C,vent Sud 25/30Km/h</t>
  </si>
  <si>
    <t>SF+EMPS+PC</t>
  </si>
  <si>
    <t>36°9'55,34"E</t>
  </si>
  <si>
    <t>3°40'27,50"E</t>
  </si>
  <si>
    <t>25° C Vent faible</t>
  </si>
  <si>
    <t>36°9'53,70"N</t>
  </si>
  <si>
    <t>3°40'26,55"E</t>
  </si>
  <si>
    <t>33°C Vent moyen</t>
  </si>
  <si>
    <t>36°24'28.7472"</t>
  </si>
  <si>
    <t>3°53'42.5426"</t>
  </si>
  <si>
    <t>36°9'56,36"N</t>
  </si>
  <si>
    <t>3°40'34,44"E</t>
  </si>
  <si>
    <t>30° C Vent moyen</t>
  </si>
  <si>
    <t>36°08'19,09"N</t>
  </si>
  <si>
    <t>3°35'22,68"E</t>
  </si>
  <si>
    <t>30°C Vent moyen</t>
  </si>
  <si>
    <t>36°23'50"N</t>
  </si>
  <si>
    <t>3°40'34"E</t>
  </si>
  <si>
    <t>36°24'29.6527"</t>
  </si>
  <si>
    <t>3°52'10.2094"</t>
  </si>
  <si>
    <t>40°C, Modéré</t>
  </si>
  <si>
    <t>SF+PC+EAPC+DW</t>
  </si>
  <si>
    <t>36°24'52.7480"</t>
  </si>
  <si>
    <t>3°43'54.0245"</t>
  </si>
  <si>
    <t>36°8'55,43"N</t>
  </si>
  <si>
    <t>3°37'39,58"E</t>
  </si>
  <si>
    <t>30° Vent moyen</t>
  </si>
  <si>
    <t>36°27'17.6426"</t>
  </si>
  <si>
    <t>4°3'43.7159"</t>
  </si>
  <si>
    <t>42°C, Modéré</t>
  </si>
  <si>
    <t>SF+PC+EMPS+PND</t>
  </si>
  <si>
    <t>36°26'17.5498"</t>
  </si>
  <si>
    <t>4°1'22.0921"</t>
  </si>
  <si>
    <t>FD Sour Djouab</t>
  </si>
  <si>
    <t>36°9'59,58"N</t>
  </si>
  <si>
    <t>3°40'32,71"E</t>
  </si>
  <si>
    <t>35° Vent moyen</t>
  </si>
  <si>
    <t>SF+PC+VOL</t>
  </si>
  <si>
    <t>36°08'43,88"N</t>
  </si>
  <si>
    <t>3°37'35,23"E</t>
  </si>
  <si>
    <t>Maala + Z'barbar</t>
  </si>
  <si>
    <t>FD Isser+ F particulier (Ouled abad)</t>
  </si>
  <si>
    <t>36°30'05"N</t>
  </si>
  <si>
    <t>3°31'58"E</t>
  </si>
  <si>
    <t>05 Ha olivier</t>
  </si>
  <si>
    <t>F particulier (Ouled aissa)</t>
  </si>
  <si>
    <t>36°31'51"N</t>
  </si>
  <si>
    <t>3°38'20"E</t>
  </si>
  <si>
    <t>F particulier(kaf el ghorab)</t>
  </si>
  <si>
    <t>36°27'17"N</t>
  </si>
  <si>
    <t>3°25'19"E</t>
  </si>
  <si>
    <t>36°26'37.8329"</t>
  </si>
  <si>
    <t>4°4'59.3503"</t>
  </si>
  <si>
    <t>FD particulier (Ouled Laalam)</t>
  </si>
  <si>
    <t>36°31'46"N</t>
  </si>
  <si>
    <t>3°38'24"E</t>
  </si>
  <si>
    <t>El asnam</t>
  </si>
  <si>
    <t>36°24'49.6281"</t>
  </si>
  <si>
    <t>4°6'33.8221"</t>
  </si>
  <si>
    <t>36°23'57.5878"</t>
  </si>
  <si>
    <t>3°51'29.5872"</t>
  </si>
  <si>
    <t>40°C, Violent</t>
  </si>
  <si>
    <t xml:space="preserve">SF+PC+EMPS+ERGR </t>
  </si>
  <si>
    <t>36°24'55.7454"</t>
  </si>
  <si>
    <t>3°44'34.2052"</t>
  </si>
  <si>
    <t>FD moulay Yahia</t>
  </si>
  <si>
    <t>36°30'33"N</t>
  </si>
  <si>
    <t>3°46'59"E</t>
  </si>
  <si>
    <t>FD particulier(Ath ali outhnime)</t>
  </si>
  <si>
    <t>36°24'37,76"N</t>
  </si>
  <si>
    <t>4°13'52,84"E</t>
  </si>
  <si>
    <t>30 Ha arbres fruitiers</t>
  </si>
  <si>
    <t>33° à  36° C,vent violent et irrégulier</t>
  </si>
  <si>
    <t>SF+PC+EAPC+PND</t>
  </si>
  <si>
    <t>36°24'52.6740"</t>
  </si>
  <si>
    <t>3°44'6.0695"</t>
  </si>
  <si>
    <t>39°C,Sud</t>
  </si>
  <si>
    <t>SF+EMPS+COMR</t>
  </si>
  <si>
    <t>36°27'31"N</t>
  </si>
  <si>
    <t>3°48'57"E</t>
  </si>
  <si>
    <t>36°25'13.1725"</t>
  </si>
  <si>
    <t>4°0'32.8217"</t>
  </si>
  <si>
    <t>36°25'2.6906"</t>
  </si>
  <si>
    <t>4°1'40.9131"</t>
  </si>
  <si>
    <t>F particulier(Beni halima)</t>
  </si>
  <si>
    <t>36°31'59"N</t>
  </si>
  <si>
    <t>3°33'48"E</t>
  </si>
  <si>
    <t>05 HA olivier</t>
  </si>
  <si>
    <t>F particulier(Ouled Laalam)</t>
  </si>
  <si>
    <t>36°31'12"N</t>
  </si>
  <si>
    <t>3°38'38"E</t>
  </si>
  <si>
    <t>01 HA olivier</t>
  </si>
  <si>
    <t>SF+PC+ANP</t>
  </si>
  <si>
    <t>36°29'53.3850"</t>
  </si>
  <si>
    <t>3°53'35.4139"</t>
  </si>
  <si>
    <t>36°25'31,99"N</t>
  </si>
  <si>
    <t>4°15'21,92"E</t>
  </si>
  <si>
    <t>32° à  36° C,vent moyen direction Nord</t>
  </si>
  <si>
    <t>36°25'53,82"E</t>
  </si>
  <si>
    <t>4°15'03,33"E</t>
  </si>
  <si>
    <t>CV+CED</t>
  </si>
  <si>
    <t>32°à37°c vent violent et irrégulier,direction Nord Est</t>
  </si>
  <si>
    <t>36°24'59.9734"</t>
  </si>
  <si>
    <t>4°0'52.6803"</t>
  </si>
  <si>
    <t>36°8'31,20"N</t>
  </si>
  <si>
    <t>3°38'6,73"E</t>
  </si>
  <si>
    <t>36°24'10.6097"</t>
  </si>
  <si>
    <t>3°56'50.9647"</t>
  </si>
  <si>
    <t>42°C,vent modéré</t>
  </si>
  <si>
    <t xml:space="preserve">F D Keddara  </t>
  </si>
  <si>
    <t>36°35'55"N</t>
  </si>
  <si>
    <t>3°32'58" E</t>
  </si>
  <si>
    <t xml:space="preserve">F Particuliere </t>
  </si>
  <si>
    <t>36°28'08"N</t>
  </si>
  <si>
    <t>3°45'13" E</t>
  </si>
  <si>
    <t>F Particuliere (Senaicia)</t>
  </si>
  <si>
    <t>36°26'42"N</t>
  </si>
  <si>
    <t>3°44'41" E</t>
  </si>
  <si>
    <t>maquis CV</t>
  </si>
  <si>
    <t>F Particuliere (El Hammam)</t>
  </si>
  <si>
    <t>36°27'10"N</t>
  </si>
  <si>
    <t>3°44'26" E</t>
  </si>
  <si>
    <t>F Particuliere (Ouled Laalam)</t>
  </si>
  <si>
    <t>36°30'52"N</t>
  </si>
  <si>
    <t>3°38'41" E</t>
  </si>
  <si>
    <t>01 Ha  oliviers</t>
  </si>
  <si>
    <t>F Particuliere  (Ouled Oulaali)</t>
  </si>
  <si>
    <t>36°35'25"N</t>
  </si>
  <si>
    <t>3°34'40" E</t>
  </si>
  <si>
    <t>0,5Ha  oliviers</t>
  </si>
  <si>
    <t>0,5Ha   d'oliviers</t>
  </si>
  <si>
    <t>FD Azrous</t>
  </si>
  <si>
    <t>36°24'11.59"N</t>
  </si>
  <si>
    <t>04°08'28.00"E</t>
  </si>
  <si>
    <t>32 à36°C ,vent moyen</t>
  </si>
  <si>
    <t>F Particuliere ( Draa Laoucif)</t>
  </si>
  <si>
    <t>36°11'5,02"N</t>
  </si>
  <si>
    <t>3°37'53,87"E</t>
  </si>
  <si>
    <t>25°C,vent fort</t>
  </si>
  <si>
    <t>F Particuliere (Boulaazazen)</t>
  </si>
  <si>
    <t>36°30'48"N</t>
  </si>
  <si>
    <t>3°38'31" E</t>
  </si>
  <si>
    <t xml:space="preserve">FD Sour El Ghozlane </t>
  </si>
  <si>
    <t>36°9'6,62"N</t>
  </si>
  <si>
    <t>3°38'20,90"E</t>
  </si>
  <si>
    <t>35°C,vent moyen</t>
  </si>
  <si>
    <t>36°24'25.37"N</t>
  </si>
  <si>
    <t>4°13'23.67"E</t>
  </si>
  <si>
    <t>33° à 34° vent violent et irrigulier</t>
  </si>
  <si>
    <t>36°26'0.9705"4°1'53.9452"</t>
  </si>
  <si>
    <t>4°1'53.9452"</t>
  </si>
  <si>
    <t>1 Ha oliviers</t>
  </si>
  <si>
    <t>39°,Vent modéré</t>
  </si>
  <si>
    <t>36°11'0,39"N</t>
  </si>
  <si>
    <t>3°37'29,33"E</t>
  </si>
  <si>
    <t>29°C,vent moyen</t>
  </si>
  <si>
    <t>F  Particuliere (Berricha)</t>
  </si>
  <si>
    <t>36°31'29"N</t>
  </si>
  <si>
    <t>3°34'36" E</t>
  </si>
  <si>
    <t>36°31'07"N</t>
  </si>
  <si>
    <t>3°38'17" E</t>
  </si>
  <si>
    <t>01,5 Ha oliviers</t>
  </si>
  <si>
    <t>36°25'51.7456"</t>
  </si>
  <si>
    <t>3°50'31.0225"</t>
  </si>
  <si>
    <t>41°,Vent modéré</t>
  </si>
  <si>
    <t>36°31'19"N</t>
  </si>
  <si>
    <t>3°34'38" E</t>
  </si>
  <si>
    <t>05 HA Arbres fruitiers</t>
  </si>
  <si>
    <t>FD Azrou</t>
  </si>
  <si>
    <t>36°24'5.3117"</t>
  </si>
  <si>
    <t>4°4'56.6728"</t>
  </si>
  <si>
    <t>F particulier(oubdir)</t>
  </si>
  <si>
    <t>36°23'42.20"N</t>
  </si>
  <si>
    <t>4°07'49.98"E</t>
  </si>
  <si>
    <t>32°à 36°C</t>
  </si>
  <si>
    <t>FD azrou</t>
  </si>
  <si>
    <t>36°24'5.1273"</t>
  </si>
  <si>
    <t>4°5'12.7289"</t>
  </si>
  <si>
    <t>36°24'37.7632"</t>
  </si>
  <si>
    <t>4°4'57.2422"</t>
  </si>
  <si>
    <t>Eladjiba</t>
  </si>
  <si>
    <t>36°24'28.87"N</t>
  </si>
  <si>
    <t>4°08'46.04"E</t>
  </si>
  <si>
    <t>Cedre</t>
  </si>
  <si>
    <t>33° à 37° vent Nord et moyen</t>
  </si>
  <si>
    <t>Maala+ Z'barbar</t>
  </si>
  <si>
    <t>F particulier(Bouguezine-El Krana)</t>
  </si>
  <si>
    <t>36°29'59"N</t>
  </si>
  <si>
    <t>3°30'18" E</t>
  </si>
  <si>
    <t>0,5 Ha olivier</t>
  </si>
  <si>
    <t>36°29'37.3574"</t>
  </si>
  <si>
    <t>3°53'15.0737"</t>
  </si>
  <si>
    <t>42° C, vent modéré</t>
  </si>
  <si>
    <t>36°24'49.2987"</t>
  </si>
  <si>
    <t>4°7'1.9246"</t>
  </si>
  <si>
    <t>36°31'56"N</t>
  </si>
  <si>
    <t>3°45'23" E</t>
  </si>
  <si>
    <t>02 Ha d'olivier</t>
  </si>
  <si>
    <t>37°C</t>
  </si>
  <si>
    <t>36°25'5.0439"</t>
  </si>
  <si>
    <t>4°3'1.2662"</t>
  </si>
  <si>
    <t>36°26'13.7830"</t>
  </si>
  <si>
    <t>3°44'10.8505"</t>
  </si>
  <si>
    <t>40°C,vent Sud</t>
  </si>
  <si>
    <t>Souk el Khemiss</t>
  </si>
  <si>
    <t>F particulier(ouled Laheg)</t>
  </si>
  <si>
    <t>36°25'43.0815"</t>
  </si>
  <si>
    <t>3°39'9.3646"</t>
  </si>
  <si>
    <t>39°C,vent Nord</t>
  </si>
  <si>
    <t>3°33'38" E</t>
  </si>
  <si>
    <t>1,5 Ha d'olivier</t>
  </si>
  <si>
    <t>36°24'08,77N</t>
  </si>
  <si>
    <t>4°8'16,57"</t>
  </si>
  <si>
    <t>32°C vent calme</t>
  </si>
  <si>
    <t>36°26'01.18"N</t>
  </si>
  <si>
    <t>4°19'08.17"E</t>
  </si>
  <si>
    <t>33° à 37° C</t>
  </si>
  <si>
    <t>36°24'51.4974"</t>
  </si>
  <si>
    <t>3°47'10.7572"</t>
  </si>
  <si>
    <t>39°C,vent sud</t>
  </si>
  <si>
    <t>36°25'32.7669"</t>
  </si>
  <si>
    <t>3°55'11.8657"</t>
  </si>
  <si>
    <t>F D Oued Okhriss+ Fparticulier Draa el Darou</t>
  </si>
  <si>
    <t>36°08'40,93"N</t>
  </si>
  <si>
    <t>3°53'20,12"</t>
  </si>
  <si>
    <t xml:space="preserve"> T 38°, vitesse du vent 50 km/h</t>
  </si>
  <si>
    <t>SF +PC+EAPC+CIT</t>
  </si>
  <si>
    <t xml:space="preserve">FD Oued O Khriss </t>
  </si>
  <si>
    <t>36°6'37.0168"</t>
  </si>
  <si>
    <t>3°56'19.7558"</t>
  </si>
  <si>
    <t xml:space="preserve"> T 40°, vitesse du vent 55 km/h</t>
  </si>
  <si>
    <t>F  Particuliere (Sidi Moussa)</t>
  </si>
  <si>
    <t>36°29'51"N</t>
  </si>
  <si>
    <t>3°25'27" E</t>
  </si>
  <si>
    <t>Bouderbala</t>
  </si>
  <si>
    <t xml:space="preserve">FD Bouderbala </t>
  </si>
  <si>
    <t>36°36'25"N</t>
  </si>
  <si>
    <t>3°31'11" E</t>
  </si>
  <si>
    <t>38°C, vent faible</t>
  </si>
  <si>
    <t>36°6'37.2664"</t>
  </si>
  <si>
    <t>3°55'47.7619"</t>
  </si>
  <si>
    <t xml:space="preserve"> T 39°, vitesse du vent 40 km/h</t>
  </si>
  <si>
    <t>36°24'26.8358"</t>
  </si>
  <si>
    <t>3°56'51.2216"</t>
  </si>
  <si>
    <t>34°C, vent Modéré</t>
  </si>
  <si>
    <t>SF+PC+DW+EAPC+EMPS+ANP</t>
  </si>
  <si>
    <t>36°36'27"N</t>
  </si>
  <si>
    <t>3°30'35"E</t>
  </si>
  <si>
    <t>35°C</t>
  </si>
  <si>
    <t>36°29'26"N</t>
  </si>
  <si>
    <t>3°27'43"E</t>
  </si>
  <si>
    <t>35°C,vent violent,direction Est</t>
  </si>
  <si>
    <t>36°36'19"N</t>
  </si>
  <si>
    <t>3°31'24"E</t>
  </si>
  <si>
    <t>36°24'12.28"N</t>
  </si>
  <si>
    <t>04°08'27.41"E</t>
  </si>
  <si>
    <t>36°26'45.6487"</t>
  </si>
  <si>
    <t>4°7'44.1900"</t>
  </si>
  <si>
    <t>34°C ,vent sud ouest</t>
  </si>
  <si>
    <t>SF +PC+PND+ANP+EMPS</t>
  </si>
  <si>
    <t>FD Bouira canton taferka</t>
  </si>
  <si>
    <t>36°24'27.2493"</t>
  </si>
  <si>
    <t>3°56'11.0773"</t>
  </si>
  <si>
    <t>SF+PC+ EMPS</t>
  </si>
  <si>
    <t xml:space="preserve"> </t>
  </si>
  <si>
    <t xml:space="preserve">TOTAL </t>
  </si>
  <si>
    <t>09 Ha oliviers,05 Ha Arbres fruitiers</t>
  </si>
  <si>
    <t xml:space="preserve">MINISTERE DE L'AGRICULTURE,DEVELOPPEMENT RURAL ET DE LA PECHE </t>
  </si>
  <si>
    <t xml:space="preserve">                       </t>
  </si>
  <si>
    <t>CAMPAGNE   2015</t>
  </si>
  <si>
    <t>Mois :Juin,Juillet,Aout,Septembre,Octobre</t>
  </si>
  <si>
    <t>F. particulier Reghania</t>
  </si>
  <si>
    <t>36°31'26.43"N</t>
  </si>
  <si>
    <t>3°40'4.61"E</t>
  </si>
  <si>
    <t xml:space="preserve">T° 42°C </t>
  </si>
  <si>
    <t>3°41'56,66''E</t>
  </si>
  <si>
    <t>36°32'12,59''N</t>
  </si>
  <si>
    <t>ACC</t>
  </si>
  <si>
    <t>Aomar</t>
  </si>
  <si>
    <t>FD Beni khalfoune</t>
  </si>
  <si>
    <t>36°32'41"N</t>
  </si>
  <si>
    <t>3°44'12"E</t>
  </si>
  <si>
    <t>36°33'22"N</t>
  </si>
  <si>
    <t>3°41'30"E</t>
  </si>
  <si>
    <t>510(05-13)15</t>
  </si>
  <si>
    <t>Kadiria +Lakhdaria</t>
  </si>
  <si>
    <t>36°34'28"N</t>
  </si>
  <si>
    <t>3°41'17"E</t>
  </si>
  <si>
    <t>Souk El khemiss</t>
  </si>
  <si>
    <t>F communale Kodiat Tarzat</t>
  </si>
  <si>
    <t>36°25'48,18"N</t>
  </si>
  <si>
    <t>3°35'19,36"E</t>
  </si>
  <si>
    <t>34°C direction du vent Sud</t>
  </si>
  <si>
    <t>F D Beni Khalfoune</t>
  </si>
  <si>
    <t>3°41'43"E</t>
  </si>
  <si>
    <t>BM+PV</t>
  </si>
  <si>
    <t>F Particulière Demdmia</t>
  </si>
  <si>
    <t>36°27'45"N</t>
  </si>
  <si>
    <t>3°49'49"E</t>
  </si>
  <si>
    <t>Fparticulier  Berricha</t>
  </si>
  <si>
    <t>36°30'41"N</t>
  </si>
  <si>
    <t>3°34'02"E</t>
  </si>
  <si>
    <t>01 ha plts fruitiers</t>
  </si>
  <si>
    <t xml:space="preserve">FD Mettenane </t>
  </si>
  <si>
    <t>36°24'58,60"N</t>
  </si>
  <si>
    <t>3°43'59,08"E</t>
  </si>
  <si>
    <t>33°C direction du vent Sud</t>
  </si>
  <si>
    <t>36°22'27,70"N</t>
  </si>
  <si>
    <t>3°57'9,95"E</t>
  </si>
  <si>
    <t>32°C,vent moderé,direction NS</t>
  </si>
  <si>
    <t>36°31'26"N</t>
  </si>
  <si>
    <t>3°47'10"E</t>
  </si>
  <si>
    <t>F D Beni Khalfoune+ F Particulière</t>
  </si>
  <si>
    <t>36°34'34"N</t>
  </si>
  <si>
    <t>3°38'46"E</t>
  </si>
  <si>
    <t>NEG(Bulage agricole</t>
  </si>
  <si>
    <t xml:space="preserve">F D Azrous </t>
  </si>
  <si>
    <t>36°22'49,23"N</t>
  </si>
  <si>
    <t>4°6'40,64"E</t>
  </si>
  <si>
    <t>32°C</t>
  </si>
  <si>
    <t xml:space="preserve">F D Bouira </t>
  </si>
  <si>
    <t>36°24'55,98"N</t>
  </si>
  <si>
    <t>3°51'58,26"E</t>
  </si>
  <si>
    <t>32°C?vent modéré</t>
  </si>
  <si>
    <t xml:space="preserve">F D Moulai Yahia </t>
  </si>
  <si>
    <t>36°28'25"N</t>
  </si>
  <si>
    <t>3°50'35"E</t>
  </si>
  <si>
    <t>36°24'19,02"N</t>
  </si>
  <si>
    <t>4°4'49,05"E</t>
  </si>
  <si>
    <t>0,5 ha oliviers</t>
  </si>
  <si>
    <t xml:space="preserve">F D Beni Khalfoune </t>
  </si>
  <si>
    <t>36°34'35"N</t>
  </si>
  <si>
    <t>3°40'22"E</t>
  </si>
  <si>
    <t>36°25'9,39"N</t>
  </si>
  <si>
    <t>3°51'15,08"E</t>
  </si>
  <si>
    <t>28°C,vent modéré</t>
  </si>
  <si>
    <t>Chorfa</t>
  </si>
  <si>
    <t>36°23'13,94"N</t>
  </si>
  <si>
    <t>4°19'20,09"E</t>
  </si>
  <si>
    <t>01ha oliviers</t>
  </si>
  <si>
    <t>34°à 38°C,temps chaud</t>
  </si>
  <si>
    <t>ENCOURS</t>
  </si>
  <si>
    <t>F D Mettenane</t>
  </si>
  <si>
    <t>36°24'36,32"N</t>
  </si>
  <si>
    <t>3°44'17,83"E</t>
  </si>
  <si>
    <t>40°C direction du vent Sud</t>
  </si>
  <si>
    <t>F Communale (koudiet Tarzat)</t>
  </si>
  <si>
    <t>36°25'45,24"N</t>
  </si>
  <si>
    <t>F D Sour Djouab (Dalaa Hamra, Elbenia)</t>
  </si>
  <si>
    <t>36°8'47,17"N</t>
  </si>
  <si>
    <t>3°36'22,59"E</t>
  </si>
  <si>
    <t>34°C Vitesse  moyenne</t>
  </si>
  <si>
    <t>SF+ POP</t>
  </si>
  <si>
    <t>F Particulière Beni Ferha</t>
  </si>
  <si>
    <t>36°31'09"N</t>
  </si>
  <si>
    <t>3°34'33"E</t>
  </si>
  <si>
    <t>F D Azrous</t>
  </si>
  <si>
    <t>36°23'18,99"N</t>
  </si>
  <si>
    <t>4°3'40,00"E</t>
  </si>
  <si>
    <t>32°C vent modéré</t>
  </si>
  <si>
    <t>36°24'58,57"N</t>
  </si>
  <si>
    <t>3°44'02,91"E</t>
  </si>
  <si>
    <t>39°C direction du vent Sud</t>
  </si>
  <si>
    <t>36°24'52,42"N</t>
  </si>
  <si>
    <t>3°44'03,26"E</t>
  </si>
  <si>
    <t>35°C direction du vent Sud</t>
  </si>
  <si>
    <t>36°24'59,70"N</t>
  </si>
  <si>
    <t>3°51'27,07"E</t>
  </si>
  <si>
    <t>36°25'00,34"N</t>
  </si>
  <si>
    <t>3°44'07,60"E</t>
  </si>
  <si>
    <t>36°23'21,18"N</t>
  </si>
  <si>
    <t>4°07'40,80"E</t>
  </si>
  <si>
    <t>34° à 36°C temps chaud</t>
  </si>
  <si>
    <t>Fedj de Dirah (El Khart)</t>
  </si>
  <si>
    <t>36°05'49,66"N</t>
  </si>
  <si>
    <t>3°43'37,92"E</t>
  </si>
  <si>
    <t>UTI-NEG-OBJ-INC(feux d'artifice)</t>
  </si>
  <si>
    <t>32°C Vitesse  moyenne</t>
  </si>
  <si>
    <t xml:space="preserve">F D Bouderbala </t>
  </si>
  <si>
    <t>36°36'20"N</t>
  </si>
  <si>
    <t>3°30'32"E</t>
  </si>
  <si>
    <t>F D Bouira</t>
  </si>
  <si>
    <t>36°24'57.70"N</t>
  </si>
  <si>
    <t>3°51'58.73"E</t>
  </si>
  <si>
    <t>NEG(loisir)</t>
  </si>
  <si>
    <t>32°C,vent moderé</t>
  </si>
  <si>
    <t>36°24'38,28"N</t>
  </si>
  <si>
    <t>3°44'59,93"E</t>
  </si>
  <si>
    <t>36°34'03"N</t>
  </si>
  <si>
    <t>3°39'41"E</t>
  </si>
  <si>
    <t>04 ha plts fruitiers</t>
  </si>
  <si>
    <t>F Particulière  (Beni Maaned)</t>
  </si>
  <si>
    <t>36°30'29"N</t>
  </si>
  <si>
    <t>2,5ha oliviers</t>
  </si>
  <si>
    <t>36°24'44,24"N</t>
  </si>
  <si>
    <t>3°44'54,72"E</t>
  </si>
  <si>
    <t>F Particulière  (Boularbah)</t>
  </si>
  <si>
    <t>36°29'01"N</t>
  </si>
  <si>
    <t>3°43'22"E</t>
  </si>
  <si>
    <t>1,5 Ha oliviers</t>
  </si>
  <si>
    <t>36°32'29"N</t>
  </si>
  <si>
    <t>3°45'06"E</t>
  </si>
  <si>
    <t>36°33'24"N</t>
  </si>
  <si>
    <t>3°41'44"E</t>
  </si>
  <si>
    <t xml:space="preserve">F Particulière (Beni Maaned) </t>
  </si>
  <si>
    <t>36°30'37"N</t>
  </si>
  <si>
    <t>36°25'9.66"N</t>
  </si>
  <si>
    <t>3°51'18.48"E</t>
  </si>
  <si>
    <t>F Particulière (El Zouabria)</t>
  </si>
  <si>
    <t>36°29'17"N</t>
  </si>
  <si>
    <t>3°31'07"E</t>
  </si>
  <si>
    <t>CIT+PC</t>
  </si>
  <si>
    <t>FD Oued Okhriss canton Djebel Attach est</t>
  </si>
  <si>
    <t>36°2'48.4288"N</t>
  </si>
  <si>
    <t>3°59'12.8802"E</t>
  </si>
  <si>
    <t>40°C Vitesse  20km /h</t>
  </si>
  <si>
    <t>SF+PC+POP+EMPS</t>
  </si>
  <si>
    <t>36°22'41.96"N</t>
  </si>
  <si>
    <t>3°58'15.55"E</t>
  </si>
  <si>
    <t>-</t>
  </si>
  <si>
    <t>F Particulière  (Beni Haroune)</t>
  </si>
  <si>
    <t>36°27'07"N</t>
  </si>
  <si>
    <t>36°30'44"N</t>
  </si>
  <si>
    <t>3°47'18"E</t>
  </si>
  <si>
    <t>3°31'11"E</t>
  </si>
  <si>
    <t xml:space="preserve">FD Isser </t>
  </si>
  <si>
    <t>36°29'55"N</t>
  </si>
  <si>
    <t>3°32'59"E</t>
  </si>
  <si>
    <t>F Particulière  (Grainia)</t>
  </si>
  <si>
    <t>36°28'55"N</t>
  </si>
  <si>
    <t>3°43'28"E</t>
  </si>
  <si>
    <t>NEG(dechet domestique)</t>
  </si>
  <si>
    <t>F Communale (Ras Mergueb)</t>
  </si>
  <si>
    <t>36°25'17.60"N</t>
  </si>
  <si>
    <t>3°47'44.02"E</t>
  </si>
  <si>
    <t>36°25'3,58"N</t>
  </si>
  <si>
    <t>3°49'30,98"E</t>
  </si>
  <si>
    <t>F particuliervDjouaoudja</t>
  </si>
  <si>
    <t>3°25'09"E</t>
  </si>
  <si>
    <t>VOL((CONFLIT)</t>
  </si>
  <si>
    <t xml:space="preserve">F D Moulay Yahia </t>
  </si>
  <si>
    <t>36°27'19"N</t>
  </si>
  <si>
    <t>ACC(manœuvre militaire)</t>
  </si>
  <si>
    <t>El Hachimia</t>
  </si>
  <si>
    <t xml:space="preserve">F D Ksenna </t>
  </si>
  <si>
    <t>36°09'48,49"N</t>
  </si>
  <si>
    <t>3°48'27,63"E</t>
  </si>
  <si>
    <t>VOL((Intérêt)</t>
  </si>
  <si>
    <t>36°Cvent moyenne-irection  Sud)</t>
  </si>
  <si>
    <t>SF+PC+PCO</t>
  </si>
  <si>
    <t>F D Haizer</t>
  </si>
  <si>
    <t>36°26'19,61"N</t>
  </si>
  <si>
    <t>4°00'46,00"E</t>
  </si>
  <si>
    <t xml:space="preserve">FD Sebkha </t>
  </si>
  <si>
    <t>36°17'18,52"N</t>
  </si>
  <si>
    <t>4°08'02,95"E</t>
  </si>
  <si>
    <t xml:space="preserve">20 à25°C vent moyen et stable </t>
  </si>
  <si>
    <t>SF+PC+CIT+EMPS</t>
  </si>
  <si>
    <t>F particulier Boukhazem</t>
  </si>
  <si>
    <t>36°28'47"N</t>
  </si>
  <si>
    <t>3°35'28"E</t>
  </si>
  <si>
    <t>30°C</t>
  </si>
  <si>
    <t>36°24'22,97"N</t>
  </si>
  <si>
    <t>3°44'64,52"E</t>
  </si>
  <si>
    <t>38°C vent Fort,Sud</t>
  </si>
  <si>
    <t>36°34'00"N</t>
  </si>
  <si>
    <t>3°43'31"E</t>
  </si>
  <si>
    <t>36°34'09"N</t>
  </si>
  <si>
    <t>3°39'56"E</t>
  </si>
  <si>
    <t>36°24'37,65"N</t>
  </si>
  <si>
    <t>4°4'12,10"E</t>
  </si>
  <si>
    <t>F particulier Torkia</t>
  </si>
  <si>
    <t>36°30'40"N</t>
  </si>
  <si>
    <t>3°26'35"E</t>
  </si>
  <si>
    <t>0,5 Ha arbres fruitiers et oliviers</t>
  </si>
  <si>
    <t>43°C</t>
  </si>
  <si>
    <t>36°4'0.0232"N</t>
  </si>
  <si>
    <t>3°58'49.7900"E</t>
  </si>
  <si>
    <t>25°C Vitesse  10 km /h</t>
  </si>
  <si>
    <t>FD Béni Khalfoune</t>
  </si>
  <si>
    <t>36°34'55"N</t>
  </si>
  <si>
    <t>3°39'03"E</t>
  </si>
  <si>
    <t>F particulier (Louness)+FD Oued Okhriss</t>
  </si>
  <si>
    <t>36°09'50,33"N</t>
  </si>
  <si>
    <t>3°53'23,80"E</t>
  </si>
  <si>
    <t>VOL(Intérêt)</t>
  </si>
  <si>
    <t>37°C vent moyenne,Sud</t>
  </si>
  <si>
    <t xml:space="preserve">F D Ouad Okhriss </t>
  </si>
  <si>
    <t>36°2'48.1239"N</t>
  </si>
  <si>
    <t>3°56'29.0252"E</t>
  </si>
  <si>
    <t>38°C Vitesse  15 km /h</t>
  </si>
  <si>
    <t>36°25'44,99"N</t>
  </si>
  <si>
    <t>4°05'15,48"E</t>
  </si>
  <si>
    <t>26°Cvent modéré</t>
  </si>
  <si>
    <t>F particulier (Kaff tir)</t>
  </si>
  <si>
    <t>36°10'17,37"N</t>
  </si>
  <si>
    <t>3°53'52,03"E</t>
  </si>
  <si>
    <t>40°C,vent fort ,Sud</t>
  </si>
  <si>
    <t>FD Ksenna</t>
  </si>
  <si>
    <t>36°08'48,32"N</t>
  </si>
  <si>
    <t>3°51'28,93"E</t>
  </si>
  <si>
    <t>FD Ksenna+F particulier(el mrabii)</t>
  </si>
  <si>
    <t>36°09'48,74"N</t>
  </si>
  <si>
    <t>3°51'48,13"E</t>
  </si>
  <si>
    <t>42°C,vent fort ,Sud</t>
  </si>
  <si>
    <t>FD Zrara(Ammel)</t>
  </si>
  <si>
    <t>36°35'22"N</t>
  </si>
  <si>
    <t>3°32'32"E</t>
  </si>
  <si>
    <t>36°22'55,39"N</t>
  </si>
  <si>
    <t>4°06'54,35"E</t>
  </si>
  <si>
    <t>VOL(intérêt,defrichement)</t>
  </si>
  <si>
    <t>33°à 36°Cvent moyen en nord</t>
  </si>
  <si>
    <t>FD Oued O KhrissCanton Guebila</t>
  </si>
  <si>
    <t>36°5'35.2827"N</t>
  </si>
  <si>
    <t>4°2'58.8925"E</t>
  </si>
  <si>
    <t>38°C Vitesse  05 km /h</t>
  </si>
  <si>
    <t>FD Keddara</t>
  </si>
  <si>
    <t>36°35'26"N</t>
  </si>
  <si>
    <t>3°32'37"E</t>
  </si>
  <si>
    <t>36°22'48,49"N</t>
  </si>
  <si>
    <t>4°6'34,98"E</t>
  </si>
  <si>
    <t>NON VOL(pyromanie)</t>
  </si>
  <si>
    <t>35° C,vent modéré</t>
  </si>
  <si>
    <t>F particulier El kentass</t>
  </si>
  <si>
    <t>36°10'48,23"N</t>
  </si>
  <si>
    <t>3°52'55,03"E</t>
  </si>
  <si>
    <t>F particulier Béni maaned</t>
  </si>
  <si>
    <t>36°30'25"N</t>
  </si>
  <si>
    <t>3°40'57"E</t>
  </si>
  <si>
    <t>35°C vent faible,direction Nord</t>
  </si>
  <si>
    <t>F communale Djbel afroune</t>
  </si>
  <si>
    <t>36°2'53.3670"N</t>
  </si>
  <si>
    <t>4°2'16.7775"E</t>
  </si>
  <si>
    <t>38°C Vitesse  20 km /h</t>
  </si>
  <si>
    <t>F particulier Dridira</t>
  </si>
  <si>
    <t>36°11'06,08"N</t>
  </si>
  <si>
    <t>3°52'01,66"E</t>
  </si>
  <si>
    <t>39°C,vent fort ,Sud</t>
  </si>
  <si>
    <t>36°24'57.92"N</t>
  </si>
  <si>
    <t>3°52'58.15"E</t>
  </si>
  <si>
    <t>32°C,vent modéré</t>
  </si>
  <si>
    <t>3°29'45"E</t>
  </si>
  <si>
    <t>FD Ksar</t>
  </si>
  <si>
    <t>36°13'51,95"N</t>
  </si>
  <si>
    <t>3°56'59,96"E</t>
  </si>
  <si>
    <t>VOL(interet)</t>
  </si>
  <si>
    <t>37° C,vent Fort et direction Sud</t>
  </si>
  <si>
    <t>FD SourEl Ghozlane</t>
  </si>
  <si>
    <t>36°10'24,71"N</t>
  </si>
  <si>
    <t>3°39'37,06"</t>
  </si>
  <si>
    <t>NEG(autres(apiculture))</t>
  </si>
  <si>
    <t>36°34'20"N</t>
  </si>
  <si>
    <t>3°40'44"E</t>
  </si>
  <si>
    <t>3°43'45"E</t>
  </si>
  <si>
    <t>5,5 Ha oliviers+05,5 ha plts fruitiers</t>
  </si>
  <si>
    <t>CAMPAGNE   2016</t>
  </si>
  <si>
    <t>Mois :Juin,Juillet,Aout,Septembre,Octobre,Novembre</t>
  </si>
  <si>
    <t>FD Beni khalfoune, Canton Guergour</t>
  </si>
  <si>
    <t>36° 34' 06''N</t>
  </si>
  <si>
    <t>3° 42' 08''E</t>
  </si>
  <si>
    <t>M'Chedallah</t>
  </si>
  <si>
    <t xml:space="preserve">Aghbalou </t>
  </si>
  <si>
    <t>FD Oued Sahel (Ain Zebda)</t>
  </si>
  <si>
    <t>36° 26' 29,49''N</t>
  </si>
  <si>
    <t>4°21'54,72''E</t>
  </si>
  <si>
    <t>Broussaille</t>
  </si>
  <si>
    <t>T: 38°C Vent très faible</t>
  </si>
  <si>
    <t>CF+PND+PC</t>
  </si>
  <si>
    <t>FD Sour Djouab , Canton Harhara</t>
  </si>
  <si>
    <t>36° 9' 37,05''N</t>
  </si>
  <si>
    <t>3° 39' 6,10''E</t>
  </si>
  <si>
    <t>RIV</t>
  </si>
  <si>
    <t>T° 35°C,Vent faible</t>
  </si>
  <si>
    <t>FD Oued Sahel (Oued Rana)</t>
  </si>
  <si>
    <t>36° 22' 10''N</t>
  </si>
  <si>
    <t>4° 13' 39''E</t>
  </si>
  <si>
    <t>T: 39°C Vent  faible</t>
  </si>
  <si>
    <t>CF+PC</t>
  </si>
  <si>
    <t>FD Beni khalfoune , Canton Tigremount</t>
  </si>
  <si>
    <t>36° 34' 58''N</t>
  </si>
  <si>
    <t>3° 37' 40''E</t>
  </si>
  <si>
    <t>36° 34' 16''N</t>
  </si>
  <si>
    <t>3° 41' 38''E</t>
  </si>
  <si>
    <t>FD Ksenna Canton Chaabet El Mouihat</t>
  </si>
  <si>
    <t>36° 12' 38,64"N</t>
  </si>
  <si>
    <t>3° 57' 3,85''E</t>
  </si>
  <si>
    <t xml:space="preserve">Maquis </t>
  </si>
  <si>
    <t>T°39°C, vent sud 30 à 40 km/h</t>
  </si>
  <si>
    <t>FD Ahl Ksar (Taracha)</t>
  </si>
  <si>
    <t>36° 12' 7,81''N</t>
  </si>
  <si>
    <t>4° 5' 2,87''E</t>
  </si>
  <si>
    <t>CF+PC+ EAPC</t>
  </si>
  <si>
    <t xml:space="preserve">FS Bouderbala, Canton Bounedas </t>
  </si>
  <si>
    <t>36° 36' 26''N</t>
  </si>
  <si>
    <t>3° 30' 27''E</t>
  </si>
  <si>
    <t>T° 40° C</t>
  </si>
  <si>
    <t>SF+PC+POP+APC</t>
  </si>
  <si>
    <t>Dechemia</t>
  </si>
  <si>
    <t>FD SEG, Canton Kliaa Est (Moudjana)</t>
  </si>
  <si>
    <t>36° 8' 51,55''N</t>
  </si>
  <si>
    <t>3° 37' 43,19''E</t>
  </si>
  <si>
    <t>T° 37°C,Vent faible</t>
  </si>
  <si>
    <t>FD Beni khalfoune, Canton Madjen Oussoufi Ouest</t>
  </si>
  <si>
    <t>36° 39' 01''N</t>
  </si>
  <si>
    <t>3° 41' 58''E</t>
  </si>
  <si>
    <t>FD Ksenna (Taguedmat)</t>
  </si>
  <si>
    <t>36° 13' 55,29"N</t>
  </si>
  <si>
    <t>3° 13'55,29''E</t>
  </si>
  <si>
    <t>T°40°C, vent sud 20 à 30 km/h</t>
  </si>
  <si>
    <t>SF+PC+APC+DW</t>
  </si>
  <si>
    <t>kadiria</t>
  </si>
  <si>
    <t>FD Beni khalfoune, Canton Grand Beggas</t>
  </si>
  <si>
    <t>36° 33' 22''N</t>
  </si>
  <si>
    <t>3° 44' 20''E</t>
  </si>
  <si>
    <t>T° 34° C</t>
  </si>
  <si>
    <t>FD Haizer, Canton Beni Meddour (Tizi EL Kiss)</t>
  </si>
  <si>
    <t>36° 26' 21,97''N</t>
  </si>
  <si>
    <t>4° 2,5' 0,60''E</t>
  </si>
  <si>
    <t>CF+PC+PND</t>
  </si>
  <si>
    <t>FD Beni khalfoune, Canton Ighil Ougharef</t>
  </si>
  <si>
    <t>36° 35' 03''N</t>
  </si>
  <si>
    <t>3° 43' 16''E</t>
  </si>
  <si>
    <t>T° 32° C</t>
  </si>
  <si>
    <t>F Particulière (Lounes)</t>
  </si>
  <si>
    <t>36° 11' 7,68"N</t>
  </si>
  <si>
    <t>3° 52' 9,61''E</t>
  </si>
  <si>
    <t>F Particulière (El Moudjana)</t>
  </si>
  <si>
    <t>36° 9' 10,86''N</t>
  </si>
  <si>
    <t>3° 38' 38,73''E</t>
  </si>
  <si>
    <t>FD Beni khalfoune, Canton Matoussa</t>
  </si>
  <si>
    <t>36° 35' 19''N</t>
  </si>
  <si>
    <t>3° 42' 03''E</t>
  </si>
  <si>
    <t>FD Beni khalfoune, Canton Petit Beggas</t>
  </si>
  <si>
    <t>36° 33' 56''N</t>
  </si>
  <si>
    <t>3° 42' 28''E</t>
  </si>
  <si>
    <t>FD Haizer, Canton Beni Meddour (Zemmoura)</t>
  </si>
  <si>
    <t>36° 26' 21,91''N</t>
  </si>
  <si>
    <t>4° 0' 47,32''E</t>
  </si>
  <si>
    <t>T° 38 °C</t>
  </si>
  <si>
    <t>FD Beni khalfoune, Canton Tiliouine</t>
  </si>
  <si>
    <t>36° 34' 13''N</t>
  </si>
  <si>
    <t>3° 40' 37''E</t>
  </si>
  <si>
    <t>T° 43° C</t>
  </si>
  <si>
    <t>36° 26' 21,32''N</t>
  </si>
  <si>
    <t>4° 0' 51,37''E</t>
  </si>
  <si>
    <t>T° 40 °C</t>
  </si>
  <si>
    <t>36° 32' 39''N</t>
  </si>
  <si>
    <t>3° 42' 02''E</t>
  </si>
  <si>
    <t>T° 41° C</t>
  </si>
  <si>
    <t>FD Oued Okhriss (Boumegdoud)</t>
  </si>
  <si>
    <t>36° 7' 40,27''N</t>
  </si>
  <si>
    <t>3° 55' 53,51''E</t>
  </si>
  <si>
    <t>T° 40°C,Vent 50m/s</t>
  </si>
  <si>
    <t>36° 32' 44''N</t>
  </si>
  <si>
    <t>3° 41' 57''E</t>
  </si>
  <si>
    <t>FD Haizer, Canton Lala Zimra</t>
  </si>
  <si>
    <t>36° 26' 30,15''N</t>
  </si>
  <si>
    <t>3° 59' 50,51''E</t>
  </si>
  <si>
    <t>36° 26' 24,44''N</t>
  </si>
  <si>
    <t>4° 22' 7,48''E</t>
  </si>
  <si>
    <t>CF+PND+PC+VOL</t>
  </si>
  <si>
    <t>FD Bouira canton Tikouka</t>
  </si>
  <si>
    <t>36° 25' 21,70''N</t>
  </si>
  <si>
    <t>3° 50' 27,59''E</t>
  </si>
  <si>
    <t>T° 40°C</t>
  </si>
  <si>
    <t>F Particulière (El Akouass)</t>
  </si>
  <si>
    <t>36° 8' 37,54''N</t>
  </si>
  <si>
    <t>3° 40' 31,33''E</t>
  </si>
  <si>
    <t>T: 39°C, Vent moyen</t>
  </si>
  <si>
    <t>FD Ahl Ksar, Canton Talamine (Tizi Ksiri)</t>
  </si>
  <si>
    <t>36° 13' 18,74''N</t>
  </si>
  <si>
    <t>3° 58' 20,93''E</t>
  </si>
  <si>
    <t>SF+PC+ EAPC+VOL</t>
  </si>
  <si>
    <t>36° 13' 33,25''N</t>
  </si>
  <si>
    <t>3° 58' 40,98''E</t>
  </si>
  <si>
    <t>40°C,40Km/h Nord ouest</t>
  </si>
  <si>
    <t>SF+PC+ EAPC</t>
  </si>
  <si>
    <t>kadiria-Aomar</t>
  </si>
  <si>
    <t>FD Beni khalfoune, Canton (Beggas El Kebir-Rabta)</t>
  </si>
  <si>
    <t>36° 33' 13''N</t>
  </si>
  <si>
    <t>3° 44' 39''E</t>
  </si>
  <si>
    <t xml:space="preserve">T° 42°C, Vitesse du vent 30 km/h direction sud </t>
  </si>
  <si>
    <t>FD Oued Okhriss, Canton Koudiet Bouzid</t>
  </si>
  <si>
    <t>36° 7' 42,27''N</t>
  </si>
  <si>
    <t>3° 55' 52,88''E</t>
  </si>
  <si>
    <t>T: 40°C, Vent faible</t>
  </si>
  <si>
    <t>FD Beni khalfoune, Canton Rebta</t>
  </si>
  <si>
    <t>36° 39' 11''N</t>
  </si>
  <si>
    <t>3° 44' 52''E</t>
  </si>
  <si>
    <t>T° 42°C</t>
  </si>
  <si>
    <t>3° 41' 46''E</t>
  </si>
  <si>
    <t>T° 36°C</t>
  </si>
  <si>
    <t>FD Beni khalfoune, Canton Souk Larbaa</t>
  </si>
  <si>
    <t>36° 34' 31''N</t>
  </si>
  <si>
    <t>3° 41' 17''E</t>
  </si>
  <si>
    <t>FD Azrous, canton Bolma (Agouni n Tlata)</t>
  </si>
  <si>
    <t>36° 24' 15,11''N</t>
  </si>
  <si>
    <t>4° 8' 41,24''E</t>
  </si>
  <si>
    <t>FD Oued Sahel, Canton lala khedidja (Ait Ahmed)</t>
  </si>
  <si>
    <t>36° 24' 46,62''N</t>
  </si>
  <si>
    <t>4° 13' 9,68''E</t>
  </si>
  <si>
    <t>36° 6' 59,91''N</t>
  </si>
  <si>
    <t>3° 56' 13,63''E</t>
  </si>
  <si>
    <t>CF+PC+ DW+EAPC</t>
  </si>
  <si>
    <t>FD Azrous, canton Tikjda (Le Huit)</t>
  </si>
  <si>
    <t>36° 26' 33,99''N</t>
  </si>
  <si>
    <t>4° 07' 29,03''E</t>
  </si>
  <si>
    <t>T° 35°C, Vent modéré</t>
  </si>
  <si>
    <t>CF+PC+ PND</t>
  </si>
  <si>
    <t>FD Haizer, Canton Boumcharef</t>
  </si>
  <si>
    <t>36° 24' 23,65''N</t>
  </si>
  <si>
    <t>4° 01' 08,04''E</t>
  </si>
  <si>
    <t>FS Bouderbala, Canton Ain Soltane (Tioueznine)</t>
  </si>
  <si>
    <t>36° 36' 16''N</t>
  </si>
  <si>
    <t>3° 31' 41''E</t>
  </si>
  <si>
    <t>T° 38°C</t>
  </si>
  <si>
    <t>SF+ PC+POP+EMPS</t>
  </si>
  <si>
    <t>FD Oued Okhriss , Canton Far Mendjel</t>
  </si>
  <si>
    <t>T: 42°C, Vent faible</t>
  </si>
  <si>
    <t>CF+PC+EAPC</t>
  </si>
  <si>
    <t>F Particulière (El Merdja Touila)</t>
  </si>
  <si>
    <t>36° 8' 33,75''N</t>
  </si>
  <si>
    <t>3° 36' 41,49''E</t>
  </si>
  <si>
    <t>F Particulière (El Messif)</t>
  </si>
  <si>
    <t>36°25'47,84"N</t>
  </si>
  <si>
    <t>3°34'32,26"E</t>
  </si>
  <si>
    <t>T 38°C</t>
  </si>
  <si>
    <t>FD Ahl Ksar , Canton Taracha</t>
  </si>
  <si>
    <t>36° 12' 11,08''N</t>
  </si>
  <si>
    <t>4° 5' 1,48''E</t>
  </si>
  <si>
    <t>FD Azrous, canton Boulma (Iger Bouzrou)</t>
  </si>
  <si>
    <t>36° 24' 17,29''N</t>
  </si>
  <si>
    <t>4° 8' 48,13''E</t>
  </si>
  <si>
    <t>FD SEG, Canton Kliaa Ouest (Moudjana)</t>
  </si>
  <si>
    <t>36° 9' 3,62''N</t>
  </si>
  <si>
    <t>3° 37' 22,35''E</t>
  </si>
  <si>
    <t>FD Bouira canton Taferka</t>
  </si>
  <si>
    <t>36° 24' 39,83''N</t>
  </si>
  <si>
    <t>3° 56' 46,33''E</t>
  </si>
  <si>
    <t>FD Ahl ksar Canton M'laoua (Irnaten)</t>
  </si>
  <si>
    <t>36° 17' 53,04''N</t>
  </si>
  <si>
    <t>4° 4' 49,91''E</t>
  </si>
  <si>
    <t>Ait Laaziz</t>
  </si>
  <si>
    <t xml:space="preserve">FP Tadjnant ouest </t>
  </si>
  <si>
    <t>36° 25' 41,81''N</t>
  </si>
  <si>
    <t>3° 55' 10,91''E</t>
  </si>
  <si>
    <t>F Particulière Lakhrif Oumalou</t>
  </si>
  <si>
    <t>36° 25' 42,10''N</t>
  </si>
  <si>
    <t>4° 20' 51,48''E</t>
  </si>
  <si>
    <t>SF+PC+PND+VOL+EMPS</t>
  </si>
  <si>
    <t>FD Haizer, Canton Ighil Oudjber</t>
  </si>
  <si>
    <t>36° 25' 41,92''N</t>
  </si>
  <si>
    <t>3° 55' 10,96''E</t>
  </si>
  <si>
    <t>FD Haizer, Canton Idoumaz</t>
  </si>
  <si>
    <t>36° 25' 10,71''N</t>
  </si>
  <si>
    <t>4° 03' 00,27''E</t>
  </si>
  <si>
    <t>T° 38°C,Vent modéré à violent</t>
  </si>
  <si>
    <t>FS Bouderbala, Canton Bounedass</t>
  </si>
  <si>
    <t>36° 36' 23''N</t>
  </si>
  <si>
    <t>3° 30' 00''E</t>
  </si>
  <si>
    <t>F Particulière Beni Hammad</t>
  </si>
  <si>
    <t>36° 24' 47,35''N</t>
  </si>
  <si>
    <t>4° 13' 15,12''E</t>
  </si>
  <si>
    <t>SF+PC+PNDVOL+EMPS</t>
  </si>
  <si>
    <t>FD Sour Djouab, Canton Harhara+Ferme Dahmani</t>
  </si>
  <si>
    <t>36° 10' 14,79''N</t>
  </si>
  <si>
    <t>3° 40' 4,49''E</t>
  </si>
  <si>
    <t>T: 39°C, Vent fort</t>
  </si>
  <si>
    <t>36° 36' 17''N</t>
  </si>
  <si>
    <t>3° 29' 45''E</t>
  </si>
  <si>
    <t>FD Haizer, Canton Ighil Oudjber (El Mroudj)</t>
  </si>
  <si>
    <t>36° 23' 27,20''N</t>
  </si>
  <si>
    <t>4° 01' 05,21''E</t>
  </si>
  <si>
    <t>FD Oued Sahel, Canton Tiliouine</t>
  </si>
  <si>
    <t>36° 25' 52,13''N</t>
  </si>
  <si>
    <t>4° 16' 19,88''E</t>
  </si>
  <si>
    <t>SF+PC+PND+VOL</t>
  </si>
  <si>
    <t>F Particulière Ain El Beidha (Boulazazene)</t>
  </si>
  <si>
    <t>36° 26' 50''N</t>
  </si>
  <si>
    <t>3° 27' 14''E</t>
  </si>
  <si>
    <t>FD Sour El Ghozlane, Canton Kliaa ouest</t>
  </si>
  <si>
    <t>36° 08' 58,32''N</t>
  </si>
  <si>
    <t>3° 37' 21,64''E</t>
  </si>
  <si>
    <t>T: 31°C, Vent faible</t>
  </si>
  <si>
    <t>F Particulière Boukhalfoune</t>
  </si>
  <si>
    <t>36° 30' 18''N</t>
  </si>
  <si>
    <t>3° 23' 47''E</t>
  </si>
  <si>
    <t>03 Ha A.Fruitier</t>
  </si>
  <si>
    <t>F Particulière Ivehlal</t>
  </si>
  <si>
    <t>36° 25' 12,12''N</t>
  </si>
  <si>
    <t>4° 22' 12,46''E</t>
  </si>
  <si>
    <t>SF+PC+PND+EAPC+VOL</t>
  </si>
  <si>
    <t>36° 25' 13,84''N</t>
  </si>
  <si>
    <t>3° 03' 25,29''E</t>
  </si>
  <si>
    <t>T° 35°C,vent violent</t>
  </si>
  <si>
    <t>36° 24' 31,99''N</t>
  </si>
  <si>
    <t>3° 56' 44,65''E</t>
  </si>
  <si>
    <t>FD Sour El Ghozlane, Canton Mechat Lahlalef</t>
  </si>
  <si>
    <t>36° 07' 58,75''N</t>
  </si>
  <si>
    <t>3° 35' 10,45''E</t>
  </si>
  <si>
    <t>T: 25°C, Vent faible</t>
  </si>
  <si>
    <t>FD Bouira canton Beni Medour (Tizi El Kiss)</t>
  </si>
  <si>
    <t>36° 26' 31,58''N</t>
  </si>
  <si>
    <t>4° 00' 31,62''E</t>
  </si>
  <si>
    <t>36° 34' 34,5''N</t>
  </si>
  <si>
    <t>3° 40' 50''E</t>
  </si>
  <si>
    <t>FD Bouira canton Tadjnant Est (Inesmane)</t>
  </si>
  <si>
    <t>36° 25' 49,95''N</t>
  </si>
  <si>
    <t>3° 56' 15,94''E</t>
  </si>
  <si>
    <t>36° 24' 25,95''N</t>
  </si>
  <si>
    <t>3° 56' 23,43''E</t>
  </si>
  <si>
    <t>T° 35°C,vent violent par moment</t>
  </si>
  <si>
    <t>36° 36' 32''N</t>
  </si>
  <si>
    <t>3° 29' 57''E</t>
  </si>
  <si>
    <t xml:space="preserve"> CL</t>
  </si>
  <si>
    <t>FD Beni khalfoune, Canton Taliouine</t>
  </si>
  <si>
    <t>36° 34' 00''N</t>
  </si>
  <si>
    <t>3° 40' 35''E</t>
  </si>
  <si>
    <t>FS Bouderbala, Canton Tiouzinine</t>
  </si>
  <si>
    <t>36° 36' 18''N</t>
  </si>
  <si>
    <t>3° 31' 29''E</t>
  </si>
  <si>
    <t>FD Metenane Canton Djebel Hellala</t>
  </si>
  <si>
    <t>FP Ouled Chebali</t>
  </si>
  <si>
    <t>36° 30' 29''N</t>
  </si>
  <si>
    <t>3° 35' 33''E</t>
  </si>
  <si>
    <t>SF+ PC+EMPS</t>
  </si>
  <si>
    <t>FD Moulai Yahia,canton Assila</t>
  </si>
  <si>
    <t>36° 28' 54''N</t>
  </si>
  <si>
    <t>3° 50' 28''E</t>
  </si>
  <si>
    <t>FP Chaabet Bergougui</t>
  </si>
  <si>
    <t>36° 24' 46,42''N</t>
  </si>
  <si>
    <t>3° 54' 53,48''E</t>
  </si>
  <si>
    <t>35°C, Vent violent par moment</t>
  </si>
  <si>
    <t>F Communale ,Djebel Bouzid</t>
  </si>
  <si>
    <t>SF+DW+ CIT</t>
  </si>
  <si>
    <t>CAMPAGNE   2017</t>
  </si>
  <si>
    <t>SIGNALE PAR</t>
  </si>
  <si>
    <t>DFN Oued Sahel</t>
  </si>
  <si>
    <t>4°16'43,37"E</t>
  </si>
  <si>
    <t>36°23'22"N</t>
  </si>
  <si>
    <t>INCON</t>
  </si>
  <si>
    <t>Temps très chaud,vent faible</t>
  </si>
  <si>
    <t>4°15'34,67"E</t>
  </si>
  <si>
    <t>36°23'31"N</t>
  </si>
  <si>
    <t>Négligence</t>
  </si>
  <si>
    <t>Temps très chaud, vent faible</t>
  </si>
  <si>
    <t>Sour El ghozlane</t>
  </si>
  <si>
    <t xml:space="preserve">F particulière  </t>
  </si>
  <si>
    <t>3°38'32,46"E</t>
  </si>
  <si>
    <t>36°8'42,16"N</t>
  </si>
  <si>
    <t>Température 39°C ,vent faible</t>
  </si>
  <si>
    <t xml:space="preserve">DFN Moulay yahya </t>
  </si>
  <si>
    <t>4°50'36,17"E</t>
  </si>
  <si>
    <t>36°28'11,26"N</t>
  </si>
  <si>
    <t>Volontaire</t>
  </si>
  <si>
    <t>Température 25°C,vent faible</t>
  </si>
  <si>
    <t>DFN Keddara</t>
  </si>
  <si>
    <t>3°33'36,42"E</t>
  </si>
  <si>
    <t>36°35'54,93"N</t>
  </si>
  <si>
    <t>Temps très chaud, vent violent</t>
  </si>
  <si>
    <t>SF,PC,POP</t>
  </si>
  <si>
    <t>DFN Sour EL Ghozlane</t>
  </si>
  <si>
    <t>3°36'42,74"E</t>
  </si>
  <si>
    <t>36°10'31,84"N</t>
  </si>
  <si>
    <t>Maquis CZ</t>
  </si>
  <si>
    <t>Temperature 40°C , vent fort</t>
  </si>
  <si>
    <t>SF, PC,EAPC</t>
  </si>
  <si>
    <t>DFN Bouira</t>
  </si>
  <si>
    <t>3°59'10"E</t>
  </si>
  <si>
    <t xml:space="preserve"> 36°25'13"N</t>
  </si>
  <si>
    <t>Température 32°C, vent faible</t>
  </si>
  <si>
    <t>SF, PC</t>
  </si>
  <si>
    <t>Temperature 40°C et vent faible</t>
  </si>
  <si>
    <t>DFN Ahl Ksar</t>
  </si>
  <si>
    <t>4°3'38,57"E</t>
  </si>
  <si>
    <t>36°12'45"N</t>
  </si>
  <si>
    <t>Température très élevée</t>
  </si>
  <si>
    <t>FOULED ALI</t>
  </si>
  <si>
    <t>3°34'48,87"E</t>
  </si>
  <si>
    <t>36°35'54,58"N</t>
  </si>
  <si>
    <t>temps chaud vent modéré</t>
  </si>
  <si>
    <t>4°21'22,10"E</t>
  </si>
  <si>
    <t>36°26'56,23"N</t>
  </si>
  <si>
    <t>BMS</t>
  </si>
  <si>
    <t>SF,PND,PC,EAPC</t>
  </si>
  <si>
    <t>3°37'57,55"E</t>
  </si>
  <si>
    <t>36°10'34,42"N</t>
  </si>
  <si>
    <t>Température °37 C, vent faible</t>
  </si>
  <si>
    <t>3°38'7,19"E</t>
  </si>
  <si>
    <t>36°10'23,34"N</t>
  </si>
  <si>
    <t>Temperature 40°C,vent faible</t>
  </si>
  <si>
    <t xml:space="preserve"> 3°17'57,53"E</t>
  </si>
  <si>
    <t>36°31'6,21"N</t>
  </si>
  <si>
    <t>Temps chaud, vent violent</t>
  </si>
  <si>
    <t>36°10'38,51"N</t>
  </si>
  <si>
    <t>Temperature 41°C,vent fort</t>
  </si>
  <si>
    <t>SF,PC,EAPC,DW</t>
  </si>
  <si>
    <t>Souk El Khmiss</t>
  </si>
  <si>
    <t>F Communale</t>
  </si>
  <si>
    <t xml:space="preserve"> 3°37'5,63"E</t>
  </si>
  <si>
    <t>36°21'27,84"N</t>
  </si>
  <si>
    <t>APC</t>
  </si>
  <si>
    <t>Forte canicule</t>
  </si>
  <si>
    <t>SF,PC,EAPC,POP</t>
  </si>
  <si>
    <t xml:space="preserve"> 3°40'51,94"E</t>
  </si>
  <si>
    <t>36°30'70,04"N</t>
  </si>
  <si>
    <t>Temps très chaud , vent violent</t>
  </si>
  <si>
    <t>3°39'29,55"E</t>
  </si>
  <si>
    <t>36°10'13,94"N</t>
  </si>
  <si>
    <t>Temperature 40°C,vent fort</t>
  </si>
  <si>
    <t>3°37'8,21"E</t>
  </si>
  <si>
    <t>36°26'20,71"N</t>
  </si>
  <si>
    <t>SF,PC,EAPC,CIT</t>
  </si>
  <si>
    <t>DFN Béni Khalfoune</t>
  </si>
  <si>
    <t>3°40'46,74"E</t>
  </si>
  <si>
    <t>36°35'16,99"N</t>
  </si>
  <si>
    <t>Temps  chaud, vent violent</t>
  </si>
  <si>
    <t>DFN Mettenane</t>
  </si>
  <si>
    <t>3°43'32,54"E</t>
  </si>
  <si>
    <t>36°24'14,94"N</t>
  </si>
  <si>
    <t>CON</t>
  </si>
  <si>
    <t>Forte température</t>
  </si>
  <si>
    <t>3°36'21,03"E</t>
  </si>
  <si>
    <t>36°35'2,19"N</t>
  </si>
  <si>
    <t>Temps  chaud, vent modéré</t>
  </si>
  <si>
    <t>3°56'36"E</t>
  </si>
  <si>
    <t>36°24'05"N</t>
  </si>
  <si>
    <t>jourée caniculaire, avec temperatures qui dépassent 38°C</t>
  </si>
  <si>
    <t>SF,PND,PC,EAPC,POP</t>
  </si>
  <si>
    <t xml:space="preserve"> temperature 40°C,vent fort</t>
  </si>
  <si>
    <t>3°37'18,51"E</t>
  </si>
  <si>
    <t>36°10'29,26"N</t>
  </si>
  <si>
    <t>3°44'9,51"E</t>
  </si>
  <si>
    <t>36°24'15,49"N</t>
  </si>
  <si>
    <t>Forte temperature</t>
  </si>
  <si>
    <t xml:space="preserve"> temperature elevée</t>
  </si>
  <si>
    <t>3°45'33,04"E</t>
  </si>
  <si>
    <t>36°31'40,75"N</t>
  </si>
  <si>
    <t>Temps chaud, Vent violent</t>
  </si>
  <si>
    <t>3°29'46,81"E</t>
  </si>
  <si>
    <t>36°35'23,49"N</t>
  </si>
  <si>
    <t>3°52'43,68"E</t>
  </si>
  <si>
    <t>36°06'28,91"N</t>
  </si>
  <si>
    <t>Température 40°C, vent fort 70Km/h</t>
  </si>
  <si>
    <t>SF,PC, EAPC,DW</t>
  </si>
  <si>
    <t>3°45'26,45"E</t>
  </si>
  <si>
    <t>36°31'54,08"N</t>
  </si>
  <si>
    <t xml:space="preserve">DFS Bouderbala </t>
  </si>
  <si>
    <t>3°30'59,61"E</t>
  </si>
  <si>
    <t>36°36'18,35"N</t>
  </si>
  <si>
    <t>Temps  chaud, vent assez violent</t>
  </si>
  <si>
    <t>4°5'0,94"E</t>
  </si>
  <si>
    <t>36°6'53,95"N</t>
  </si>
  <si>
    <t>Température elevée 39à 40°C, Vent faible au debut</t>
  </si>
  <si>
    <t>PC,SF,EAPC</t>
  </si>
  <si>
    <t>4°10'12,31"E</t>
  </si>
  <si>
    <t>36°24'33,25"N</t>
  </si>
  <si>
    <t>PC,SF</t>
  </si>
  <si>
    <t>3°48'43,26"E</t>
  </si>
  <si>
    <t>36°26'59,77"N</t>
  </si>
  <si>
    <t>3°45'35.75"E</t>
  </si>
  <si>
    <t>36°27'11.67"N</t>
  </si>
  <si>
    <t>DFN Ksenna</t>
  </si>
  <si>
    <t>3°48'18,48"E</t>
  </si>
  <si>
    <t>36°10'9,13"N</t>
  </si>
  <si>
    <t>Température élevée</t>
  </si>
  <si>
    <t>3°41'9,38"E</t>
  </si>
  <si>
    <t>36°30'5,41"N</t>
  </si>
  <si>
    <t>Temps chaud, Vent assez violent</t>
  </si>
  <si>
    <t>4°12'10,67"E</t>
  </si>
  <si>
    <t>36°24'58,32"N</t>
  </si>
  <si>
    <t>PC,SF,EAPC,DW,PND,POP</t>
  </si>
  <si>
    <t>DFN Oued Okhriss</t>
  </si>
  <si>
    <t>3°53'19,19"E</t>
  </si>
  <si>
    <t>36°7'31,94"N</t>
  </si>
  <si>
    <t>temperature 41°C,vent fort 10KM/H</t>
  </si>
  <si>
    <t>DFN Azrous</t>
  </si>
  <si>
    <t>4°08'21,62"E</t>
  </si>
  <si>
    <t>36°24'46,77"N</t>
  </si>
  <si>
    <t>3°39'27.02"E</t>
  </si>
  <si>
    <t>36°31'8.44"N</t>
  </si>
  <si>
    <t>Temps chaud,Vent modéré</t>
  </si>
  <si>
    <t>Ath Mansour</t>
  </si>
  <si>
    <t>4°18'80,85"E</t>
  </si>
  <si>
    <t>36°58'35,81"N</t>
  </si>
  <si>
    <t>4°11'42,34"E</t>
  </si>
  <si>
    <t>36°25'01,85"N</t>
  </si>
  <si>
    <t>4°12'37,58"E</t>
  </si>
  <si>
    <t>36°25'01,86"N</t>
  </si>
  <si>
    <t>SF,PC,PND,EAPC</t>
  </si>
  <si>
    <t>4°15'41,81"E</t>
  </si>
  <si>
    <t>36°26'8,87"N</t>
  </si>
  <si>
    <t>Température elevée 40°C, vent faible et moyen</t>
  </si>
  <si>
    <t>SF,PND</t>
  </si>
  <si>
    <t>3°59'07"E</t>
  </si>
  <si>
    <t>36°25'22"N</t>
  </si>
  <si>
    <t>jourée caniculaire, avec température dépassant 40° C et vent faible</t>
  </si>
  <si>
    <t>3°42'10.45"E</t>
  </si>
  <si>
    <t>36°33'48.87"N</t>
  </si>
  <si>
    <t>4°9'20,93"E</t>
  </si>
  <si>
    <t>36°23'44,89"N</t>
  </si>
  <si>
    <t>3°41'58.32"E</t>
  </si>
  <si>
    <t>36°33'42.46"N</t>
  </si>
  <si>
    <t>3°40'18.30"E</t>
  </si>
  <si>
    <t>36°31'10.66"N</t>
  </si>
  <si>
    <t>Temps chaud,vent violent</t>
  </si>
  <si>
    <t>SF,PC,EAPC, POP</t>
  </si>
  <si>
    <t>3°37'33,02"E</t>
  </si>
  <si>
    <t>36°28'8,60"N</t>
  </si>
  <si>
    <t>forte canicule</t>
  </si>
  <si>
    <t>PC,SF,EAPC,POP</t>
  </si>
  <si>
    <t>3°31'37,59"E</t>
  </si>
  <si>
    <t>36°30'43,90"N</t>
  </si>
  <si>
    <t xml:space="preserve">DFN Haizer </t>
  </si>
  <si>
    <t>4°01'5"E</t>
  </si>
  <si>
    <t>36°24'29"N</t>
  </si>
  <si>
    <t>Température dépassant 44° C et vent très faible</t>
  </si>
  <si>
    <t>SF,PC, PND,ERGR</t>
  </si>
  <si>
    <t xml:space="preserve">DFN Isser </t>
  </si>
  <si>
    <t>3°32'29,16"E</t>
  </si>
  <si>
    <t>36°28'53,65"N</t>
  </si>
  <si>
    <t>Souk El khmiss</t>
  </si>
  <si>
    <t>3°37'33,85"E</t>
  </si>
  <si>
    <t>36°28'11,94"N</t>
  </si>
  <si>
    <t>Température elevée</t>
  </si>
  <si>
    <t>3°41'47,50"E</t>
  </si>
  <si>
    <t>36°33'45,44"N</t>
  </si>
  <si>
    <t>4°00'09"E</t>
  </si>
  <si>
    <t>36°24'51"N</t>
  </si>
  <si>
    <t>Température élevée, vent presque nul</t>
  </si>
  <si>
    <t xml:space="preserve">DFN Sebkha </t>
  </si>
  <si>
    <t>4°09'52,23"E</t>
  </si>
  <si>
    <t>36°18'03,16"N</t>
  </si>
  <si>
    <t>3°38'27,42"E</t>
  </si>
  <si>
    <t>36°11'45,64"N</t>
  </si>
  <si>
    <t xml:space="preserve">Température  40° C Vent fort </t>
  </si>
  <si>
    <t>3°50'11,19"E</t>
  </si>
  <si>
    <t>36°25'18,26"N</t>
  </si>
  <si>
    <t>Après midi température trop élevé et un vent moyen</t>
  </si>
  <si>
    <t>3°40'48,05"E</t>
  </si>
  <si>
    <t>36°33'46,43"N</t>
  </si>
  <si>
    <t>temps chaud , vent faible</t>
  </si>
  <si>
    <t>4°11'25,02"E</t>
  </si>
  <si>
    <t>36°26'30,29"N</t>
  </si>
  <si>
    <t>Temps élevé vent normal</t>
  </si>
  <si>
    <t>SF,PC,DW,CITO</t>
  </si>
  <si>
    <t>36°25'20,90"N</t>
  </si>
  <si>
    <t>Température dépassant 35° C et vent faible</t>
  </si>
  <si>
    <t>3°35'30,73"E</t>
  </si>
  <si>
    <t>36°29'44,50"N</t>
  </si>
  <si>
    <t>temps chaud, vent modéré</t>
  </si>
  <si>
    <t>4°00'10,13"E</t>
  </si>
  <si>
    <t>36°24'52,56"N</t>
  </si>
  <si>
    <t>3°42'29,61"E</t>
  </si>
  <si>
    <t>36°29'19,42"N</t>
  </si>
  <si>
    <t>4°21'35,92"E</t>
  </si>
  <si>
    <t>36°26'29,65"N</t>
  </si>
  <si>
    <t>3°55'09,65"E</t>
  </si>
  <si>
    <t>36°25'33,91"N</t>
  </si>
  <si>
    <t>3°41'34,11"E</t>
  </si>
  <si>
    <t>36°33'23,45"N</t>
  </si>
  <si>
    <t>Temps chaud, vent modéré</t>
  </si>
  <si>
    <t>3°35'34,91"E</t>
  </si>
  <si>
    <t>36°30'49,60"N</t>
  </si>
  <si>
    <t>3°41'38,83"E</t>
  </si>
  <si>
    <t>36°33'33,48"N</t>
  </si>
  <si>
    <t>Temps chaud, vent faible</t>
  </si>
  <si>
    <t>3°59'53"E</t>
  </si>
  <si>
    <t>36°26'33"N</t>
  </si>
  <si>
    <t>T°élevée</t>
  </si>
  <si>
    <t xml:space="preserve">36°27’5.99’’ E </t>
  </si>
  <si>
    <t>4°18’39.44’’ N</t>
  </si>
  <si>
    <t>3°58'58,36"E</t>
  </si>
  <si>
    <t>36°25'12,17"N</t>
  </si>
  <si>
    <t>4°00'52"E</t>
  </si>
  <si>
    <t>Température elévé</t>
  </si>
  <si>
    <t>une après midi Température pas trop élevées et un vent moyen</t>
  </si>
  <si>
    <t xml:space="preserve">36°26'30.65"E </t>
  </si>
  <si>
    <t>4°20'53.24"N</t>
  </si>
  <si>
    <t>SF,PND,PC</t>
  </si>
  <si>
    <t>3°45'24,84"E</t>
  </si>
  <si>
    <t>36°32'49,52"N</t>
  </si>
  <si>
    <t>Température environ 35°,vent faible</t>
  </si>
  <si>
    <t>4°9'57,89"E</t>
  </si>
  <si>
    <t>36°24'53,24"N</t>
  </si>
  <si>
    <t>3°40'27,64"E</t>
  </si>
  <si>
    <t>36°34'2,77"N</t>
  </si>
  <si>
    <t>Temps chaud,température élevée, vent faible</t>
  </si>
  <si>
    <t>3°30'34,21"E</t>
  </si>
  <si>
    <t>36°28'23,34"N</t>
  </si>
  <si>
    <t>4°13'51,11"E</t>
  </si>
  <si>
    <t>36°25'38,03"N</t>
  </si>
  <si>
    <t>SF,PND,PC,CIT</t>
  </si>
  <si>
    <t>DFN Oued Sahel ,F particuliere</t>
  </si>
  <si>
    <t>4°14'21,82"E</t>
  </si>
  <si>
    <t>36°25'08,40"N</t>
  </si>
  <si>
    <t>4°09'18,90"E</t>
  </si>
  <si>
    <t>36°23'40,65"N</t>
  </si>
  <si>
    <t>4°14'44,82"E</t>
  </si>
  <si>
    <t>36°25'28,47"N</t>
  </si>
  <si>
    <t>3°46'53,31"E</t>
  </si>
  <si>
    <t>36°30'19,05"N</t>
  </si>
  <si>
    <t xml:space="preserve">Maquis CL </t>
  </si>
  <si>
    <t>Température environ 27°,vent faible</t>
  </si>
  <si>
    <t>3°27'35,63"E</t>
  </si>
  <si>
    <t>36°28'41,48"N</t>
  </si>
  <si>
    <t>Température elevée,vent violent</t>
  </si>
  <si>
    <t>3°33'17,46"E</t>
  </si>
  <si>
    <t>36°29'3,17"N</t>
  </si>
  <si>
    <t>Température elevée,vent fort</t>
  </si>
  <si>
    <t>3°47'23,70"E</t>
  </si>
  <si>
    <t>36°26'9,64"N</t>
  </si>
  <si>
    <t>Température elevée,vent faible</t>
  </si>
  <si>
    <t xml:space="preserve">DFN des Azrous </t>
  </si>
  <si>
    <t>4° 5'56.94"E</t>
  </si>
  <si>
    <t>36°27'13.32"N</t>
  </si>
  <si>
    <t>CF,PC,PND</t>
  </si>
  <si>
    <t>MINISTERE DE L'AGRICULTURE, DU DEVELOPPEMENT RURAL ET DE LA PECHE</t>
  </si>
  <si>
    <t>CONSERVATION DES FORETS DE LA WILAYA DE: BOUIRA</t>
  </si>
  <si>
    <t xml:space="preserve"> BILAN  DES INCENDIES</t>
  </si>
  <si>
    <t>CAMPAGNE 2018</t>
  </si>
  <si>
    <t>NOM DE FORET OU LIEU DIT</t>
  </si>
  <si>
    <t>COORDONNEES GEOGRAPHIQUES CARTE</t>
  </si>
  <si>
    <t>ESSENCE PRINCIPALE</t>
  </si>
  <si>
    <t>CAUSE PROBABLE</t>
  </si>
  <si>
    <t>CONDITIONS METEO (TEMPERATURE ET VENTS) (VITESSE ET DIRECTION)</t>
  </si>
  <si>
    <t>ORGANISMES PARTICIPANTS A LA LUTTE</t>
  </si>
  <si>
    <t>EVALUATION FINANCIERE  DES DEGATS EN (DA)</t>
  </si>
  <si>
    <t>ENQUETE (*)</t>
  </si>
  <si>
    <t>ORIGINE</t>
  </si>
  <si>
    <t xml:space="preserve">TYPE DE CAUSE  </t>
  </si>
  <si>
    <t>FD mettnane canton Djebel Hellala</t>
  </si>
  <si>
    <t>36°25'41,72"N</t>
  </si>
  <si>
    <t>3°44'0,61"E</t>
  </si>
  <si>
    <t>T° moyenne</t>
  </si>
  <si>
    <t>CF+ PC+ANP</t>
  </si>
  <si>
    <t>Sour El Ghozlane</t>
  </si>
  <si>
    <t>FD Sour Djouab canton Oueld Guemra</t>
  </si>
  <si>
    <t>36°5'59,77"N</t>
  </si>
  <si>
    <t>3°29'31,24"E</t>
  </si>
  <si>
    <t>T 39°C,Vent faible</t>
  </si>
  <si>
    <t>CF+ PC</t>
  </si>
  <si>
    <t>FD Béni Khalfoune canton Tiliouine</t>
  </si>
  <si>
    <t>36°33'29,66"N</t>
  </si>
  <si>
    <t>3°41'37,68"E</t>
  </si>
  <si>
    <t>T° élévée,vent modéré</t>
  </si>
  <si>
    <t>FD Beni Khalfoune canton Guerguour</t>
  </si>
  <si>
    <t>36°34'06,80"N</t>
  </si>
  <si>
    <t>3°40'31,30"E</t>
  </si>
  <si>
    <t>CF+ PC+C. mobile</t>
  </si>
  <si>
    <t>FD Bouira canton Errich</t>
  </si>
  <si>
    <t>36°24'59,01"N</t>
  </si>
  <si>
    <t>3°51'32,53"E</t>
  </si>
  <si>
    <t>T° moyenne,vent moyen</t>
  </si>
  <si>
    <t>36°24'36,99"N</t>
  </si>
  <si>
    <t>3°56'44,38"E</t>
  </si>
  <si>
    <t>FD Béni Khalfoune canton Tigremount</t>
  </si>
  <si>
    <t>36°35'03,44"N</t>
  </si>
  <si>
    <t>3°37'30,70"E</t>
  </si>
  <si>
    <t>T° élévée,vent Est</t>
  </si>
  <si>
    <t>FD Bouerbala canton Bounedas</t>
  </si>
  <si>
    <t>36°36'14,24"N</t>
  </si>
  <si>
    <t>3°30'03,51"E</t>
  </si>
  <si>
    <t>CF+PC+APC+POP</t>
  </si>
  <si>
    <t>36°34'13,46"N</t>
  </si>
  <si>
    <t>3°40'31,19"E</t>
  </si>
  <si>
    <t>T° élévée,vent faible</t>
  </si>
  <si>
    <t>FD Oued Sahel, Canton Aghbalou</t>
  </si>
  <si>
    <t>36°27'8,93"N</t>
  </si>
  <si>
    <t>7°20'17,27"E</t>
  </si>
  <si>
    <t>3107/2014</t>
  </si>
  <si>
    <t>3/108/2014</t>
  </si>
  <si>
    <t>31/09/2015</t>
  </si>
  <si>
    <t>3/008/2016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</si>
</sst>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€_-;\-* #,##0.00\ _€_-;_-* &quot;-&quot;??\ _€_-;_-@_-"/>
    <numFmt numFmtId="164" formatCode="h:mm;@"/>
    <numFmt numFmtId="165" formatCode="#,##0.00\ _€"/>
    <numFmt numFmtId="166" formatCode="0.00;[Red]0.00"/>
    <numFmt numFmtId="167" formatCode="dd/mm/yy;@"/>
    <numFmt numFmtId="168" formatCode="0;[Red]0"/>
    <numFmt numFmtId="169" formatCode="0.0;[Red]0.0"/>
    <numFmt numFmtId="170" formatCode="#0"/>
    <numFmt numFmtId="171" formatCode="0.000"/>
    <numFmt numFmtId="172" formatCode="[$-F800]dddd\,\ mmmm\ dd\,\ yyyy"/>
    <numFmt numFmtId="173" formatCode="0000"/>
    <numFmt numFmtId="174" formatCode="0.000;[Red]0.000"/>
    <numFmt numFmtId="175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6"/>
      <color rgb="FFFF0000"/>
      <name val="Times New Roman"/>
      <family val="1"/>
    </font>
    <font>
      <b/>
      <sz val="6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b/>
      <sz val="10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9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8"/>
      <color rgb="FFFF0000"/>
      <name val="Times New Roman"/>
      <family val="1"/>
    </font>
    <font>
      <b/>
      <u/>
      <sz val="14"/>
      <name val="Times New Roman"/>
      <family val="1"/>
    </font>
    <font>
      <b/>
      <u/>
      <sz val="12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b/>
      <u/>
      <sz val="12"/>
      <name val="Times New Roman"/>
      <family val="1"/>
    </font>
    <font>
      <b/>
      <sz val="10"/>
      <color rgb="FFFF0000"/>
      <name val="Arial"/>
      <family val="2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2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756">
    <xf numFmtId="0" fontId="0" fillId="0" borderId="0" xfId="0"/>
    <xf numFmtId="0" fontId="0" fillId="0" borderId="0" xfId="0" applyBorder="1"/>
    <xf numFmtId="0" fontId="7" fillId="3" borderId="7" xfId="2" applyFont="1" applyFill="1" applyBorder="1" applyAlignment="1"/>
    <xf numFmtId="0" fontId="8" fillId="3" borderId="7" xfId="2" applyFont="1" applyFill="1" applyBorder="1" applyAlignment="1">
      <alignment horizontal="center"/>
    </xf>
    <xf numFmtId="14" fontId="8" fillId="3" borderId="7" xfId="2" applyNumberFormat="1" applyFont="1" applyFill="1" applyBorder="1" applyAlignment="1">
      <alignment horizontal="center"/>
    </xf>
    <xf numFmtId="164" fontId="8" fillId="3" borderId="7" xfId="2" applyNumberFormat="1" applyFont="1" applyFill="1" applyBorder="1" applyAlignment="1">
      <alignment horizontal="center"/>
    </xf>
    <xf numFmtId="165" fontId="8" fillId="3" borderId="7" xfId="2" applyNumberFormat="1" applyFont="1" applyFill="1" applyBorder="1" applyAlignment="1">
      <alignment horizontal="center"/>
    </xf>
    <xf numFmtId="0" fontId="7" fillId="3" borderId="8" xfId="2" applyFont="1" applyFill="1" applyBorder="1" applyAlignment="1">
      <alignment horizontal="center"/>
    </xf>
    <xf numFmtId="0" fontId="8" fillId="3" borderId="8" xfId="2" applyFont="1" applyFill="1" applyBorder="1" applyAlignment="1">
      <alignment horizontal="center"/>
    </xf>
    <xf numFmtId="14" fontId="8" fillId="3" borderId="8" xfId="2" applyNumberFormat="1" applyFont="1" applyFill="1" applyBorder="1" applyAlignment="1">
      <alignment horizontal="center"/>
    </xf>
    <xf numFmtId="164" fontId="8" fillId="3" borderId="8" xfId="2" applyNumberFormat="1" applyFont="1" applyFill="1" applyBorder="1" applyAlignment="1">
      <alignment horizontal="center"/>
    </xf>
    <xf numFmtId="0" fontId="8" fillId="3" borderId="8" xfId="2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/>
    </xf>
    <xf numFmtId="20" fontId="8" fillId="3" borderId="8" xfId="2" applyNumberFormat="1" applyFont="1" applyFill="1" applyBorder="1" applyAlignment="1">
      <alignment horizontal="center"/>
    </xf>
    <xf numFmtId="0" fontId="8" fillId="3" borderId="8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 wrapText="1"/>
    </xf>
    <xf numFmtId="0" fontId="9" fillId="3" borderId="8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166" fontId="8" fillId="3" borderId="8" xfId="2" applyNumberFormat="1" applyFont="1" applyFill="1" applyBorder="1" applyAlignment="1">
      <alignment horizontal="center"/>
    </xf>
    <xf numFmtId="20" fontId="8" fillId="3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14" fontId="8" fillId="0" borderId="8" xfId="2" applyNumberFormat="1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8" fillId="0" borderId="8" xfId="2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8" fillId="3" borderId="9" xfId="2" applyFont="1" applyFill="1" applyBorder="1" applyAlignment="1">
      <alignment horizontal="center" vertical="center"/>
    </xf>
    <xf numFmtId="165" fontId="8" fillId="3" borderId="8" xfId="2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3" borderId="7" xfId="2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7" fillId="3" borderId="13" xfId="2" applyFont="1" applyFill="1" applyBorder="1" applyAlignment="1">
      <alignment horizontal="center"/>
    </xf>
    <xf numFmtId="0" fontId="0" fillId="0" borderId="13" xfId="0" applyBorder="1"/>
    <xf numFmtId="165" fontId="14" fillId="3" borderId="13" xfId="2" applyNumberFormat="1" applyFont="1" applyFill="1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1" xfId="2" applyFont="1" applyFill="1" applyBorder="1" applyAlignment="1">
      <alignment horizontal="center"/>
    </xf>
    <xf numFmtId="0" fontId="17" fillId="0" borderId="3" xfId="2" applyFont="1" applyBorder="1" applyAlignment="1">
      <alignment horizontal="center"/>
    </xf>
    <xf numFmtId="0" fontId="14" fillId="2" borderId="3" xfId="2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17" fillId="0" borderId="5" xfId="2" applyFont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4" fillId="2" borderId="5" xfId="2" applyFont="1" applyFill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8" fillId="0" borderId="6" xfId="2" applyFont="1" applyBorder="1" applyAlignment="1">
      <alignment horizontal="center"/>
    </xf>
    <xf numFmtId="0" fontId="8" fillId="0" borderId="5" xfId="2" applyFont="1" applyFill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20" fontId="11" fillId="3" borderId="8" xfId="0" applyNumberFormat="1" applyFont="1" applyFill="1" applyBorder="1" applyAlignment="1">
      <alignment horizontal="center"/>
    </xf>
    <xf numFmtId="165" fontId="13" fillId="0" borderId="0" xfId="0" applyNumberFormat="1" applyFont="1" applyBorder="1"/>
    <xf numFmtId="0" fontId="0" fillId="0" borderId="0" xfId="0" applyAlignment="1">
      <alignment horizontal="left" vertical="center"/>
    </xf>
    <xf numFmtId="0" fontId="8" fillId="3" borderId="7" xfId="2" applyFont="1" applyFill="1" applyBorder="1" applyAlignment="1">
      <alignment horizontal="left" vertical="center"/>
    </xf>
    <xf numFmtId="0" fontId="8" fillId="3" borderId="8" xfId="2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9" fillId="0" borderId="0" xfId="2" applyFont="1" applyAlignment="1"/>
    <xf numFmtId="0" fontId="4" fillId="0" borderId="0" xfId="2"/>
    <xf numFmtId="0" fontId="4" fillId="0" borderId="0" xfId="2" applyAlignment="1">
      <alignment horizontal="left"/>
    </xf>
    <xf numFmtId="0" fontId="21" fillId="0" borderId="0" xfId="2" applyFont="1"/>
    <xf numFmtId="0" fontId="4" fillId="0" borderId="0" xfId="2" applyAlignment="1">
      <alignment horizontal="center"/>
    </xf>
    <xf numFmtId="0" fontId="7" fillId="2" borderId="23" xfId="2" applyFont="1" applyFill="1" applyBorder="1" applyAlignment="1">
      <alignment horizontal="left"/>
    </xf>
    <xf numFmtId="0" fontId="7" fillId="2" borderId="24" xfId="2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6" xfId="2" applyFont="1" applyFill="1" applyBorder="1" applyAlignment="1">
      <alignment horizontal="left"/>
    </xf>
    <xf numFmtId="0" fontId="7" fillId="2" borderId="27" xfId="2" applyFont="1" applyFill="1" applyBorder="1" applyAlignment="1">
      <alignment horizontal="center"/>
    </xf>
    <xf numFmtId="0" fontId="22" fillId="2" borderId="26" xfId="0" applyFont="1" applyFill="1" applyBorder="1"/>
    <xf numFmtId="0" fontId="22" fillId="2" borderId="27" xfId="2" applyFont="1" applyFill="1" applyBorder="1"/>
    <xf numFmtId="0" fontId="7" fillId="0" borderId="25" xfId="2" applyFont="1" applyBorder="1" applyAlignment="1">
      <alignment horizontal="left"/>
    </xf>
    <xf numFmtId="0" fontId="7" fillId="0" borderId="26" xfId="2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14" fontId="7" fillId="0" borderId="26" xfId="0" applyNumberFormat="1" applyFont="1" applyBorder="1" applyAlignment="1">
      <alignment horizontal="center"/>
    </xf>
    <xf numFmtId="164" fontId="7" fillId="0" borderId="26" xfId="0" applyNumberFormat="1" applyFont="1" applyBorder="1" applyAlignment="1">
      <alignment horizontal="center"/>
    </xf>
    <xf numFmtId="0" fontId="7" fillId="0" borderId="28" xfId="2" applyFont="1" applyFill="1" applyBorder="1" applyAlignment="1">
      <alignment horizontal="center"/>
    </xf>
    <xf numFmtId="0" fontId="7" fillId="0" borderId="26" xfId="2" applyFont="1" applyBorder="1" applyAlignment="1">
      <alignment horizontal="center"/>
    </xf>
    <xf numFmtId="0" fontId="7" fillId="3" borderId="26" xfId="2" applyFont="1" applyFill="1" applyBorder="1" applyAlignment="1">
      <alignment horizontal="center"/>
    </xf>
    <xf numFmtId="165" fontId="7" fillId="0" borderId="28" xfId="2" applyNumberFormat="1" applyFont="1" applyBorder="1" applyAlignment="1">
      <alignment horizontal="center"/>
    </xf>
    <xf numFmtId="0" fontId="7" fillId="3" borderId="27" xfId="2" applyFont="1" applyFill="1" applyBorder="1" applyAlignment="1">
      <alignment horizontal="center"/>
    </xf>
    <xf numFmtId="0" fontId="7" fillId="3" borderId="26" xfId="2" applyFont="1" applyFill="1" applyBorder="1" applyAlignment="1">
      <alignment horizontal="center" vertical="center"/>
    </xf>
    <xf numFmtId="14" fontId="7" fillId="0" borderId="26" xfId="2" applyNumberFormat="1" applyFont="1" applyBorder="1" applyAlignment="1">
      <alignment horizontal="center"/>
    </xf>
    <xf numFmtId="164" fontId="7" fillId="0" borderId="26" xfId="2" applyNumberFormat="1" applyFont="1" applyBorder="1" applyAlignment="1">
      <alignment horizontal="center"/>
    </xf>
    <xf numFmtId="0" fontId="7" fillId="0" borderId="29" xfId="2" applyFont="1" applyFill="1" applyBorder="1" applyAlignment="1">
      <alignment horizontal="center"/>
    </xf>
    <xf numFmtId="0" fontId="7" fillId="0" borderId="26" xfId="2" applyFont="1" applyFill="1" applyBorder="1" applyAlignment="1">
      <alignment horizontal="center"/>
    </xf>
    <xf numFmtId="0" fontId="7" fillId="0" borderId="25" xfId="2" applyFont="1" applyFill="1" applyBorder="1" applyAlignment="1">
      <alignment horizontal="left"/>
    </xf>
    <xf numFmtId="0" fontId="7" fillId="0" borderId="26" xfId="2" applyFont="1" applyFill="1" applyBorder="1" applyAlignment="1">
      <alignment horizontal="left"/>
    </xf>
    <xf numFmtId="0" fontId="7" fillId="0" borderId="26" xfId="2" applyFont="1" applyFill="1" applyBorder="1" applyAlignment="1"/>
    <xf numFmtId="0" fontId="7" fillId="0" borderId="26" xfId="0" applyFont="1" applyBorder="1" applyAlignment="1">
      <alignment horizontal="left"/>
    </xf>
    <xf numFmtId="0" fontId="7" fillId="0" borderId="26" xfId="0" applyFont="1" applyBorder="1" applyAlignment="1"/>
    <xf numFmtId="0" fontId="7" fillId="0" borderId="26" xfId="0" applyFont="1" applyFill="1" applyBorder="1" applyAlignment="1"/>
    <xf numFmtId="14" fontId="7" fillId="0" borderId="26" xfId="2" applyNumberFormat="1" applyFont="1" applyFill="1" applyBorder="1" applyAlignment="1">
      <alignment horizontal="center"/>
    </xf>
    <xf numFmtId="164" fontId="7" fillId="0" borderId="26" xfId="2" applyNumberFormat="1" applyFont="1" applyFill="1" applyBorder="1" applyAlignment="1">
      <alignment horizontal="center"/>
    </xf>
    <xf numFmtId="165" fontId="7" fillId="0" borderId="28" xfId="2" applyNumberFormat="1" applyFont="1" applyFill="1" applyBorder="1" applyAlignment="1">
      <alignment horizontal="center"/>
    </xf>
    <xf numFmtId="0" fontId="7" fillId="0" borderId="27" xfId="2" applyFont="1" applyFill="1" applyBorder="1" applyAlignment="1">
      <alignment horizontal="center"/>
    </xf>
    <xf numFmtId="0" fontId="7" fillId="0" borderId="30" xfId="2" applyFont="1" applyFill="1" applyBorder="1" applyAlignment="1">
      <alignment horizontal="center"/>
    </xf>
    <xf numFmtId="0" fontId="7" fillId="0" borderId="26" xfId="2" applyFont="1" applyFill="1" applyBorder="1" applyAlignment="1">
      <alignment horizontal="center" vertical="center"/>
    </xf>
    <xf numFmtId="165" fontId="7" fillId="0" borderId="30" xfId="2" applyNumberFormat="1" applyFont="1" applyFill="1" applyBorder="1" applyAlignment="1">
      <alignment horizontal="center"/>
    </xf>
    <xf numFmtId="0" fontId="7" fillId="0" borderId="26" xfId="2" applyFont="1" applyFill="1" applyBorder="1" applyAlignment="1">
      <alignment horizontal="center" wrapText="1"/>
    </xf>
    <xf numFmtId="165" fontId="7" fillId="0" borderId="29" xfId="2" applyNumberFormat="1" applyFont="1" applyFill="1" applyBorder="1" applyAlignment="1">
      <alignment horizontal="center"/>
    </xf>
    <xf numFmtId="0" fontId="7" fillId="0" borderId="31" xfId="2" applyFont="1" applyFill="1" applyBorder="1" applyAlignment="1">
      <alignment horizontal="center"/>
    </xf>
    <xf numFmtId="165" fontId="7" fillId="0" borderId="31" xfId="2" applyNumberFormat="1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/>
    </xf>
    <xf numFmtId="165" fontId="7" fillId="0" borderId="26" xfId="2" applyNumberFormat="1" applyFont="1" applyFill="1" applyBorder="1" applyAlignment="1">
      <alignment horizontal="center"/>
    </xf>
    <xf numFmtId="20" fontId="7" fillId="0" borderId="26" xfId="2" applyNumberFormat="1" applyFont="1" applyFill="1" applyBorder="1" applyAlignment="1">
      <alignment horizontal="center"/>
    </xf>
    <xf numFmtId="0" fontId="7" fillId="0" borderId="32" xfId="2" applyFont="1" applyFill="1" applyBorder="1" applyAlignment="1">
      <alignment horizontal="center"/>
    </xf>
    <xf numFmtId="20" fontId="7" fillId="0" borderId="26" xfId="0" applyNumberFormat="1" applyFont="1" applyFill="1" applyBorder="1" applyAlignment="1">
      <alignment horizontal="center"/>
    </xf>
    <xf numFmtId="1" fontId="7" fillId="0" borderId="26" xfId="2" applyNumberFormat="1" applyFont="1" applyFill="1" applyBorder="1" applyAlignment="1">
      <alignment horizontal="center"/>
    </xf>
    <xf numFmtId="0" fontId="7" fillId="3" borderId="25" xfId="2" applyFont="1" applyFill="1" applyBorder="1" applyAlignment="1">
      <alignment horizontal="left"/>
    </xf>
    <xf numFmtId="165" fontId="7" fillId="0" borderId="26" xfId="2" applyNumberFormat="1" applyFont="1" applyBorder="1" applyAlignment="1">
      <alignment horizontal="center"/>
    </xf>
    <xf numFmtId="20" fontId="7" fillId="0" borderId="26" xfId="0" applyNumberFormat="1" applyFont="1" applyBorder="1" applyAlignment="1">
      <alignment horizontal="center"/>
    </xf>
    <xf numFmtId="4" fontId="7" fillId="0" borderId="26" xfId="0" applyNumberFormat="1" applyFont="1" applyBorder="1" applyAlignment="1">
      <alignment horizontal="center"/>
    </xf>
    <xf numFmtId="14" fontId="7" fillId="0" borderId="26" xfId="0" applyNumberFormat="1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7" fontId="7" fillId="0" borderId="26" xfId="2" applyNumberFormat="1" applyFont="1" applyBorder="1" applyAlignment="1">
      <alignment horizontal="center"/>
    </xf>
    <xf numFmtId="168" fontId="7" fillId="0" borderId="26" xfId="2" applyNumberFormat="1" applyFont="1" applyBorder="1" applyAlignment="1">
      <alignment horizontal="center"/>
    </xf>
    <xf numFmtId="4" fontId="5" fillId="0" borderId="31" xfId="2" applyNumberFormat="1" applyFont="1" applyBorder="1" applyAlignment="1">
      <alignment horizontal="center"/>
    </xf>
    <xf numFmtId="20" fontId="7" fillId="0" borderId="26" xfId="2" applyNumberFormat="1" applyFont="1" applyBorder="1" applyAlignment="1">
      <alignment horizontal="center"/>
    </xf>
    <xf numFmtId="4" fontId="5" fillId="0" borderId="28" xfId="2" applyNumberFormat="1" applyFont="1" applyBorder="1" applyAlignment="1">
      <alignment horizontal="center"/>
    </xf>
    <xf numFmtId="0" fontId="7" fillId="0" borderId="26" xfId="2" applyFont="1" applyBorder="1" applyAlignment="1">
      <alignment horizontal="center" wrapText="1"/>
    </xf>
    <xf numFmtId="167" fontId="7" fillId="0" borderId="26" xfId="2" applyNumberFormat="1" applyFont="1" applyFill="1" applyBorder="1" applyAlignment="1">
      <alignment horizontal="center"/>
    </xf>
    <xf numFmtId="169" fontId="7" fillId="0" borderId="26" xfId="2" applyNumberFormat="1" applyFont="1" applyBorder="1" applyAlignment="1">
      <alignment horizontal="center"/>
    </xf>
    <xf numFmtId="166" fontId="7" fillId="0" borderId="26" xfId="2" applyNumberFormat="1" applyFont="1" applyBorder="1" applyAlignment="1">
      <alignment horizontal="center"/>
    </xf>
    <xf numFmtId="0" fontId="7" fillId="0" borderId="27" xfId="2" applyFont="1" applyBorder="1"/>
    <xf numFmtId="168" fontId="7" fillId="0" borderId="26" xfId="2" applyNumberFormat="1" applyFont="1" applyFill="1" applyBorder="1" applyAlignment="1">
      <alignment horizontal="center"/>
    </xf>
    <xf numFmtId="0" fontId="5" fillId="0" borderId="28" xfId="2" applyFont="1" applyBorder="1" applyAlignment="1">
      <alignment horizontal="center"/>
    </xf>
    <xf numFmtId="0" fontId="24" fillId="5" borderId="36" xfId="0" applyFont="1" applyFill="1" applyBorder="1"/>
    <xf numFmtId="0" fontId="7" fillId="5" borderId="36" xfId="2" applyFont="1" applyFill="1" applyBorder="1" applyAlignment="1">
      <alignment horizontal="center"/>
    </xf>
    <xf numFmtId="0" fontId="12" fillId="5" borderId="36" xfId="0" applyFont="1" applyFill="1" applyBorder="1"/>
    <xf numFmtId="0" fontId="7" fillId="5" borderId="37" xfId="0" applyFont="1" applyFill="1" applyBorder="1" applyAlignment="1">
      <alignment horizontal="center"/>
    </xf>
    <xf numFmtId="165" fontId="16" fillId="5" borderId="36" xfId="0" applyNumberFormat="1" applyFont="1" applyFill="1" applyBorder="1" applyAlignment="1">
      <alignment horizontal="center"/>
    </xf>
    <xf numFmtId="0" fontId="24" fillId="5" borderId="38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19" fillId="0" borderId="0" xfId="2" applyFont="1" applyAlignment="1">
      <alignment horizontal="right"/>
    </xf>
    <xf numFmtId="0" fontId="19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5" fillId="0" borderId="0" xfId="2" applyFont="1"/>
    <xf numFmtId="0" fontId="20" fillId="0" borderId="0" xfId="2" applyFont="1" applyAlignment="1">
      <alignment horizontal="right"/>
    </xf>
    <xf numFmtId="0" fontId="20" fillId="0" borderId="0" xfId="2" applyFont="1" applyAlignment="1">
      <alignment horizontal="center"/>
    </xf>
    <xf numFmtId="0" fontId="21" fillId="0" borderId="0" xfId="2" applyFont="1" applyAlignment="1">
      <alignment horizontal="center"/>
    </xf>
    <xf numFmtId="0" fontId="15" fillId="0" borderId="0" xfId="2" applyFont="1"/>
    <xf numFmtId="0" fontId="5" fillId="0" borderId="0" xfId="2" applyFont="1" applyAlignment="1">
      <alignment horizontal="center"/>
    </xf>
    <xf numFmtId="0" fontId="22" fillId="0" borderId="0" xfId="2" applyFont="1" applyAlignment="1">
      <alignment horizontal="left"/>
    </xf>
    <xf numFmtId="0" fontId="22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0" fontId="7" fillId="0" borderId="0" xfId="2" applyFont="1" applyAlignment="1">
      <alignment horizontal="center"/>
    </xf>
    <xf numFmtId="0" fontId="7" fillId="0" borderId="0" xfId="2" applyFont="1"/>
    <xf numFmtId="0" fontId="25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0" fontId="26" fillId="0" borderId="0" xfId="0" applyFont="1"/>
    <xf numFmtId="0" fontId="27" fillId="2" borderId="39" xfId="2" applyFont="1" applyFill="1" applyBorder="1" applyAlignment="1">
      <alignment horizontal="center" vertical="center"/>
    </xf>
    <xf numFmtId="0" fontId="27" fillId="2" borderId="14" xfId="2" applyFont="1" applyFill="1" applyBorder="1" applyAlignment="1">
      <alignment horizontal="center"/>
    </xf>
    <xf numFmtId="0" fontId="27" fillId="2" borderId="43" xfId="2" applyFont="1" applyFill="1" applyBorder="1" applyAlignment="1">
      <alignment horizontal="center"/>
    </xf>
    <xf numFmtId="0" fontId="28" fillId="2" borderId="44" xfId="2" applyFont="1" applyFill="1" applyBorder="1" applyAlignment="1">
      <alignment horizontal="center"/>
    </xf>
    <xf numFmtId="0" fontId="28" fillId="2" borderId="39" xfId="2" applyFont="1" applyFill="1" applyBorder="1" applyAlignment="1">
      <alignment horizontal="center"/>
    </xf>
    <xf numFmtId="0" fontId="28" fillId="2" borderId="39" xfId="0" applyFont="1" applyFill="1" applyBorder="1" applyAlignment="1">
      <alignment horizontal="center"/>
    </xf>
    <xf numFmtId="0" fontId="27" fillId="2" borderId="31" xfId="2" applyFont="1" applyFill="1" applyBorder="1" applyAlignment="1">
      <alignment horizontal="center" vertical="top"/>
    </xf>
    <xf numFmtId="0" fontId="27" fillId="2" borderId="46" xfId="2" applyFont="1" applyFill="1" applyBorder="1" applyAlignment="1">
      <alignment horizontal="center"/>
    </xf>
    <xf numFmtId="0" fontId="28" fillId="2" borderId="31" xfId="0" applyFont="1" applyFill="1" applyBorder="1" applyAlignment="1">
      <alignment horizontal="center"/>
    </xf>
    <xf numFmtId="0" fontId="28" fillId="2" borderId="31" xfId="2" applyFont="1" applyFill="1" applyBorder="1" applyAlignment="1">
      <alignment horizontal="center"/>
    </xf>
    <xf numFmtId="0" fontId="27" fillId="2" borderId="29" xfId="2" applyFont="1" applyFill="1" applyBorder="1" applyAlignment="1">
      <alignment horizontal="center" vertical="center"/>
    </xf>
    <xf numFmtId="0" fontId="27" fillId="2" borderId="32" xfId="2" applyFont="1" applyFill="1" applyBorder="1" applyAlignment="1">
      <alignment horizontal="center"/>
    </xf>
    <xf numFmtId="0" fontId="17" fillId="3" borderId="26" xfId="0" applyFont="1" applyFill="1" applyBorder="1"/>
    <xf numFmtId="0" fontId="17" fillId="3" borderId="26" xfId="0" applyFont="1" applyFill="1" applyBorder="1" applyAlignment="1">
      <alignment horizontal="right"/>
    </xf>
    <xf numFmtId="0" fontId="17" fillId="3" borderId="26" xfId="0" applyNumberFormat="1" applyFont="1" applyFill="1" applyBorder="1" applyAlignment="1">
      <alignment horizontal="right"/>
    </xf>
    <xf numFmtId="0" fontId="17" fillId="3" borderId="26" xfId="0" applyFont="1" applyFill="1" applyBorder="1" applyAlignment="1">
      <alignment horizontal="center"/>
    </xf>
    <xf numFmtId="0" fontId="17" fillId="3" borderId="26" xfId="0" applyFont="1" applyFill="1" applyBorder="1" applyAlignment="1"/>
    <xf numFmtId="2" fontId="17" fillId="3" borderId="26" xfId="0" applyNumberFormat="1" applyFont="1" applyFill="1" applyBorder="1" applyAlignment="1">
      <alignment horizontal="right"/>
    </xf>
    <xf numFmtId="0" fontId="17" fillId="3" borderId="26" xfId="0" applyNumberFormat="1" applyFont="1" applyFill="1" applyBorder="1" applyAlignment="1">
      <alignment horizontal="center"/>
    </xf>
    <xf numFmtId="0" fontId="17" fillId="3" borderId="43" xfId="0" applyFont="1" applyFill="1" applyBorder="1"/>
    <xf numFmtId="0" fontId="17" fillId="3" borderId="43" xfId="0" applyFont="1" applyFill="1" applyBorder="1" applyAlignment="1">
      <alignment horizontal="right"/>
    </xf>
    <xf numFmtId="0" fontId="17" fillId="3" borderId="43" xfId="0" applyNumberFormat="1" applyFont="1" applyFill="1" applyBorder="1" applyAlignment="1">
      <alignment horizontal="right"/>
    </xf>
    <xf numFmtId="0" fontId="17" fillId="3" borderId="43" xfId="0" applyNumberFormat="1" applyFont="1" applyFill="1" applyBorder="1" applyAlignment="1">
      <alignment horizontal="center"/>
    </xf>
    <xf numFmtId="0" fontId="17" fillId="3" borderId="43" xfId="0" applyFont="1" applyFill="1" applyBorder="1" applyAlignment="1">
      <alignment horizontal="center"/>
    </xf>
    <xf numFmtId="0" fontId="17" fillId="3" borderId="43" xfId="0" applyFont="1" applyFill="1" applyBorder="1" applyAlignment="1"/>
    <xf numFmtId="2" fontId="17" fillId="3" borderId="43" xfId="0" applyNumberFormat="1" applyFont="1" applyFill="1" applyBorder="1" applyAlignment="1">
      <alignment horizontal="right"/>
    </xf>
    <xf numFmtId="2" fontId="17" fillId="3" borderId="26" xfId="0" applyNumberFormat="1" applyFont="1" applyFill="1" applyBorder="1"/>
    <xf numFmtId="0" fontId="17" fillId="3" borderId="26" xfId="0" applyNumberFormat="1" applyFont="1" applyFill="1" applyBorder="1" applyAlignment="1"/>
    <xf numFmtId="0" fontId="29" fillId="3" borderId="26" xfId="0" applyFont="1" applyFill="1" applyBorder="1"/>
    <xf numFmtId="0" fontId="17" fillId="3" borderId="26" xfId="2" applyFont="1" applyFill="1" applyBorder="1" applyAlignment="1">
      <alignment horizontal="left"/>
    </xf>
    <xf numFmtId="3" fontId="17" fillId="3" borderId="26" xfId="0" applyNumberFormat="1" applyFont="1" applyFill="1" applyBorder="1" applyAlignment="1">
      <alignment horizontal="right"/>
    </xf>
    <xf numFmtId="3" fontId="17" fillId="3" borderId="26" xfId="1" applyNumberFormat="1" applyFont="1" applyFill="1" applyBorder="1" applyAlignment="1">
      <alignment horizontal="right"/>
    </xf>
    <xf numFmtId="0" fontId="29" fillId="3" borderId="26" xfId="0" applyFont="1" applyFill="1" applyBorder="1" applyAlignment="1">
      <alignment horizontal="right"/>
    </xf>
    <xf numFmtId="2" fontId="17" fillId="3" borderId="43" xfId="0" applyNumberFormat="1" applyFont="1" applyFill="1" applyBorder="1"/>
    <xf numFmtId="0" fontId="29" fillId="3" borderId="43" xfId="0" applyFont="1" applyFill="1" applyBorder="1"/>
    <xf numFmtId="0" fontId="29" fillId="3" borderId="26" xfId="0" applyFont="1" applyFill="1" applyBorder="1" applyAlignment="1">
      <alignment horizontal="left"/>
    </xf>
    <xf numFmtId="0" fontId="29" fillId="3" borderId="26" xfId="0" applyNumberFormat="1" applyFont="1" applyFill="1" applyBorder="1" applyAlignment="1">
      <alignment horizontal="right"/>
    </xf>
    <xf numFmtId="0" fontId="29" fillId="3" borderId="26" xfId="0" applyFont="1" applyFill="1" applyBorder="1" applyAlignment="1">
      <alignment horizontal="center"/>
    </xf>
    <xf numFmtId="0" fontId="29" fillId="3" borderId="26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left"/>
    </xf>
    <xf numFmtId="0" fontId="17" fillId="3" borderId="26" xfId="2" applyFont="1" applyFill="1" applyBorder="1" applyAlignment="1">
      <alignment horizontal="center" vertical="center"/>
    </xf>
    <xf numFmtId="0" fontId="17" fillId="3" borderId="47" xfId="2" applyFont="1" applyFill="1" applyBorder="1" applyAlignment="1">
      <alignment horizontal="left"/>
    </xf>
    <xf numFmtId="0" fontId="17" fillId="3" borderId="47" xfId="0" applyFont="1" applyFill="1" applyBorder="1" applyAlignment="1">
      <alignment horizontal="right"/>
    </xf>
    <xf numFmtId="0" fontId="29" fillId="3" borderId="47" xfId="0" applyFont="1" applyFill="1" applyBorder="1" applyAlignment="1">
      <alignment horizontal="center" vertical="center"/>
    </xf>
    <xf numFmtId="0" fontId="17" fillId="3" borderId="26" xfId="2" applyFont="1" applyFill="1" applyBorder="1" applyAlignment="1">
      <alignment horizontal="right"/>
    </xf>
    <xf numFmtId="0" fontId="17" fillId="3" borderId="26" xfId="2" applyNumberFormat="1" applyFont="1" applyFill="1" applyBorder="1" applyAlignment="1">
      <alignment horizontal="right"/>
    </xf>
    <xf numFmtId="0" fontId="17" fillId="3" borderId="26" xfId="2" applyFont="1" applyFill="1" applyBorder="1" applyAlignment="1">
      <alignment horizontal="center"/>
    </xf>
    <xf numFmtId="0" fontId="17" fillId="3" borderId="47" xfId="2" applyFont="1" applyFill="1" applyBorder="1" applyAlignment="1">
      <alignment horizontal="center"/>
    </xf>
    <xf numFmtId="0" fontId="30" fillId="3" borderId="26" xfId="2" applyFont="1" applyFill="1" applyBorder="1" applyAlignment="1">
      <alignment horizontal="center"/>
    </xf>
    <xf numFmtId="0" fontId="29" fillId="3" borderId="43" xfId="0" applyFont="1" applyFill="1" applyBorder="1" applyAlignment="1">
      <alignment horizontal="right"/>
    </xf>
    <xf numFmtId="0" fontId="29" fillId="3" borderId="43" xfId="0" applyFont="1" applyFill="1" applyBorder="1" applyAlignment="1">
      <alignment horizontal="left"/>
    </xf>
    <xf numFmtId="0" fontId="17" fillId="3" borderId="48" xfId="2" applyFont="1" applyFill="1" applyBorder="1" applyAlignment="1">
      <alignment horizontal="left"/>
    </xf>
    <xf numFmtId="0" fontId="17" fillId="3" borderId="47" xfId="2" applyFont="1" applyFill="1" applyBorder="1" applyAlignment="1">
      <alignment horizontal="left" vertical="center"/>
    </xf>
    <xf numFmtId="0" fontId="17" fillId="3" borderId="45" xfId="2" applyFont="1" applyFill="1" applyBorder="1" applyAlignment="1">
      <alignment horizontal="left" vertical="center"/>
    </xf>
    <xf numFmtId="0" fontId="29" fillId="3" borderId="0" xfId="0" applyFont="1" applyFill="1"/>
    <xf numFmtId="0" fontId="17" fillId="3" borderId="48" xfId="2" applyFont="1" applyFill="1" applyBorder="1" applyAlignment="1">
      <alignment horizontal="left" vertical="center"/>
    </xf>
    <xf numFmtId="170" fontId="29" fillId="3" borderId="26" xfId="0" applyNumberFormat="1" applyFont="1" applyFill="1" applyBorder="1" applyAlignment="1">
      <alignment horizontal="right"/>
    </xf>
    <xf numFmtId="0" fontId="29" fillId="3" borderId="47" xfId="0" applyFont="1" applyFill="1" applyBorder="1" applyAlignment="1">
      <alignment horizontal="right"/>
    </xf>
    <xf numFmtId="0" fontId="29" fillId="3" borderId="27" xfId="0" applyFont="1" applyFill="1" applyBorder="1"/>
    <xf numFmtId="0" fontId="29" fillId="3" borderId="25" xfId="0" applyFont="1" applyFill="1" applyBorder="1"/>
    <xf numFmtId="0" fontId="29" fillId="3" borderId="49" xfId="0" applyFont="1" applyFill="1" applyBorder="1"/>
    <xf numFmtId="0" fontId="29" fillId="3" borderId="32" xfId="0" applyFont="1" applyFill="1" applyBorder="1" applyAlignment="1">
      <alignment horizontal="left"/>
    </xf>
    <xf numFmtId="0" fontId="17" fillId="3" borderId="50" xfId="2" applyFont="1" applyFill="1" applyBorder="1" applyAlignment="1">
      <alignment horizontal="left"/>
    </xf>
    <xf numFmtId="0" fontId="17" fillId="3" borderId="47" xfId="0" applyFont="1" applyFill="1" applyBorder="1" applyAlignment="1">
      <alignment horizontal="center" vertical="center"/>
    </xf>
    <xf numFmtId="0" fontId="17" fillId="3" borderId="26" xfId="2" applyFont="1" applyFill="1" applyBorder="1" applyAlignment="1">
      <alignment horizontal="left" vertical="center"/>
    </xf>
    <xf numFmtId="0" fontId="17" fillId="3" borderId="31" xfId="2" applyFont="1" applyFill="1" applyBorder="1" applyAlignment="1">
      <alignment horizontal="left"/>
    </xf>
    <xf numFmtId="0" fontId="29" fillId="3" borderId="31" xfId="0" applyFont="1" applyFill="1" applyBorder="1" applyAlignment="1">
      <alignment horizontal="left"/>
    </xf>
    <xf numFmtId="0" fontId="17" fillId="3" borderId="43" xfId="2" applyFont="1" applyFill="1" applyBorder="1" applyAlignment="1">
      <alignment horizontal="left"/>
    </xf>
    <xf numFmtId="0" fontId="17" fillId="3" borderId="43" xfId="2" applyFont="1" applyFill="1" applyBorder="1" applyAlignment="1">
      <alignment horizontal="left" vertical="center"/>
    </xf>
    <xf numFmtId="0" fontId="29" fillId="3" borderId="27" xfId="0" applyFont="1" applyFill="1" applyBorder="1" applyAlignment="1">
      <alignment horizontal="left"/>
    </xf>
    <xf numFmtId="0" fontId="29" fillId="3" borderId="28" xfId="0" applyFont="1" applyFill="1" applyBorder="1" applyAlignment="1">
      <alignment horizontal="left"/>
    </xf>
    <xf numFmtId="0" fontId="29" fillId="3" borderId="25" xfId="0" applyFont="1" applyFill="1" applyBorder="1" applyAlignment="1">
      <alignment horizontal="left"/>
    </xf>
    <xf numFmtId="0" fontId="17" fillId="3" borderId="32" xfId="2" applyFont="1" applyFill="1" applyBorder="1" applyAlignment="1">
      <alignment horizontal="left"/>
    </xf>
    <xf numFmtId="0" fontId="29" fillId="3" borderId="49" xfId="0" applyFont="1" applyFill="1" applyBorder="1" applyAlignment="1">
      <alignment horizontal="left"/>
    </xf>
    <xf numFmtId="0" fontId="29" fillId="3" borderId="46" xfId="0" applyFont="1" applyFill="1" applyBorder="1" applyAlignment="1">
      <alignment horizontal="left"/>
    </xf>
    <xf numFmtId="0" fontId="17" fillId="3" borderId="46" xfId="2" applyFont="1" applyFill="1" applyBorder="1" applyAlignment="1">
      <alignment horizontal="left"/>
    </xf>
    <xf numFmtId="0" fontId="17" fillId="3" borderId="43" xfId="2" applyFont="1" applyFill="1" applyBorder="1" applyAlignment="1">
      <alignment horizontal="right" vertical="center"/>
    </xf>
    <xf numFmtId="0" fontId="17" fillId="3" borderId="26" xfId="2" applyNumberFormat="1" applyFont="1" applyFill="1" applyBorder="1" applyAlignment="1">
      <alignment horizontal="right" vertical="center"/>
    </xf>
    <xf numFmtId="0" fontId="29" fillId="3" borderId="26" xfId="0" applyFont="1" applyFill="1" applyBorder="1" applyAlignment="1"/>
    <xf numFmtId="2" fontId="29" fillId="3" borderId="26" xfId="0" applyNumberFormat="1" applyFont="1" applyFill="1" applyBorder="1"/>
    <xf numFmtId="0" fontId="17" fillId="3" borderId="26" xfId="2" applyFont="1" applyFill="1" applyBorder="1" applyAlignment="1">
      <alignment horizontal="left" vertical="top"/>
    </xf>
    <xf numFmtId="0" fontId="29" fillId="3" borderId="26" xfId="0" applyFont="1" applyFill="1" applyBorder="1" applyAlignment="1">
      <alignment horizontal="left" vertical="center"/>
    </xf>
    <xf numFmtId="0" fontId="17" fillId="3" borderId="26" xfId="2" applyFont="1" applyFill="1" applyBorder="1" applyAlignment="1">
      <alignment vertical="top"/>
    </xf>
    <xf numFmtId="0" fontId="17" fillId="3" borderId="43" xfId="2" applyNumberFormat="1" applyFont="1" applyFill="1" applyBorder="1" applyAlignment="1">
      <alignment horizontal="right" vertical="center"/>
    </xf>
    <xf numFmtId="0" fontId="29" fillId="3" borderId="26" xfId="0" applyFont="1" applyFill="1" applyBorder="1" applyAlignment="1">
      <alignment horizontal="left" vertical="top"/>
    </xf>
    <xf numFmtId="0" fontId="17" fillId="3" borderId="47" xfId="2" applyFont="1" applyFill="1" applyBorder="1" applyAlignment="1">
      <alignment horizontal="left" vertical="top"/>
    </xf>
    <xf numFmtId="0" fontId="17" fillId="3" borderId="47" xfId="0" applyFont="1" applyFill="1" applyBorder="1" applyAlignment="1">
      <alignment horizontal="right" vertical="top"/>
    </xf>
    <xf numFmtId="0" fontId="29" fillId="3" borderId="26" xfId="0" applyNumberFormat="1" applyFont="1" applyFill="1" applyBorder="1" applyAlignment="1">
      <alignment horizontal="right" vertical="top"/>
    </xf>
    <xf numFmtId="0" fontId="29" fillId="3" borderId="26" xfId="0" applyFont="1" applyFill="1" applyBorder="1" applyAlignment="1">
      <alignment horizontal="right" vertical="top"/>
    </xf>
    <xf numFmtId="0" fontId="17" fillId="3" borderId="26" xfId="2" applyFont="1" applyFill="1" applyBorder="1" applyAlignment="1">
      <alignment horizontal="center" vertical="top"/>
    </xf>
    <xf numFmtId="0" fontId="29" fillId="3" borderId="26" xfId="0" applyFont="1" applyFill="1" applyBorder="1" applyAlignment="1">
      <alignment horizontal="center" vertical="top"/>
    </xf>
    <xf numFmtId="0" fontId="29" fillId="3" borderId="47" xfId="0" applyFont="1" applyFill="1" applyBorder="1" applyAlignment="1">
      <alignment horizontal="center" vertical="top"/>
    </xf>
    <xf numFmtId="0" fontId="17" fillId="3" borderId="26" xfId="0" applyFont="1" applyFill="1" applyBorder="1" applyAlignment="1">
      <alignment horizontal="center" vertical="top"/>
    </xf>
    <xf numFmtId="0" fontId="17" fillId="3" borderId="26" xfId="0" applyFont="1" applyFill="1" applyBorder="1" applyAlignment="1">
      <alignment vertical="top"/>
    </xf>
    <xf numFmtId="2" fontId="17" fillId="3" borderId="26" xfId="0" applyNumberFormat="1" applyFont="1" applyFill="1" applyBorder="1" applyAlignment="1">
      <alignment horizontal="right" vertical="top"/>
    </xf>
    <xf numFmtId="0" fontId="17" fillId="3" borderId="26" xfId="0" applyFont="1" applyFill="1" applyBorder="1" applyAlignment="1">
      <alignment horizontal="left" vertical="top"/>
    </xf>
    <xf numFmtId="0" fontId="17" fillId="3" borderId="26" xfId="0" applyFont="1" applyFill="1" applyBorder="1" applyAlignment="1">
      <alignment horizontal="right" vertical="top"/>
    </xf>
    <xf numFmtId="0" fontId="17" fillId="3" borderId="26" xfId="0" applyNumberFormat="1" applyFont="1" applyFill="1" applyBorder="1" applyAlignment="1">
      <alignment horizontal="right" vertical="top"/>
    </xf>
    <xf numFmtId="0" fontId="17" fillId="3" borderId="26" xfId="2" applyNumberFormat="1" applyFont="1" applyFill="1" applyBorder="1" applyAlignment="1">
      <alignment horizontal="right" vertical="top"/>
    </xf>
    <xf numFmtId="0" fontId="29" fillId="3" borderId="26" xfId="0" applyFont="1" applyFill="1" applyBorder="1" applyAlignment="1">
      <alignment vertical="top"/>
    </xf>
    <xf numFmtId="2" fontId="29" fillId="3" borderId="26" xfId="0" applyNumberFormat="1" applyFont="1" applyFill="1" applyBorder="1" applyAlignment="1">
      <alignment horizontal="right" vertical="top"/>
    </xf>
    <xf numFmtId="0" fontId="17" fillId="3" borderId="26" xfId="0" applyNumberFormat="1" applyFont="1" applyFill="1" applyBorder="1" applyAlignment="1">
      <alignment horizontal="center" vertical="top"/>
    </xf>
    <xf numFmtId="0" fontId="17" fillId="5" borderId="51" xfId="2" applyFont="1" applyFill="1" applyBorder="1" applyAlignment="1">
      <alignment horizontal="right"/>
    </xf>
    <xf numFmtId="0" fontId="17" fillId="5" borderId="54" xfId="2" applyFont="1" applyFill="1" applyBorder="1" applyAlignment="1">
      <alignment horizontal="center"/>
    </xf>
    <xf numFmtId="2" fontId="17" fillId="5" borderId="54" xfId="2" applyNumberFormat="1" applyFont="1" applyFill="1" applyBorder="1" applyAlignment="1">
      <alignment horizontal="right"/>
    </xf>
    <xf numFmtId="0" fontId="31" fillId="0" borderId="0" xfId="2" applyFont="1" applyAlignment="1"/>
    <xf numFmtId="0" fontId="5" fillId="2" borderId="39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left"/>
    </xf>
    <xf numFmtId="0" fontId="5" fillId="2" borderId="43" xfId="2" applyFont="1" applyFill="1" applyBorder="1" applyAlignment="1">
      <alignment horizontal="center"/>
    </xf>
    <xf numFmtId="0" fontId="32" fillId="2" borderId="39" xfId="2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5" fillId="2" borderId="31" xfId="2" applyFont="1" applyFill="1" applyBorder="1" applyAlignment="1">
      <alignment horizontal="center" vertical="top"/>
    </xf>
    <xf numFmtId="0" fontId="5" fillId="2" borderId="45" xfId="2" applyFont="1" applyFill="1" applyBorder="1" applyAlignment="1">
      <alignment horizontal="left"/>
    </xf>
    <xf numFmtId="0" fontId="5" fillId="2" borderId="46" xfId="2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2" fillId="2" borderId="29" xfId="2" applyFont="1" applyFill="1" applyBorder="1" applyAlignment="1">
      <alignment horizontal="center"/>
    </xf>
    <xf numFmtId="0" fontId="32" fillId="2" borderId="31" xfId="2" applyFont="1" applyFill="1" applyBorder="1" applyAlignment="1">
      <alignment horizontal="center"/>
    </xf>
    <xf numFmtId="0" fontId="5" fillId="2" borderId="14" xfId="2" applyFont="1" applyFill="1" applyBorder="1" applyAlignment="1">
      <alignment horizontal="center"/>
    </xf>
    <xf numFmtId="0" fontId="5" fillId="2" borderId="29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left"/>
    </xf>
    <xf numFmtId="0" fontId="5" fillId="2" borderId="32" xfId="2" applyFont="1" applyFill="1" applyBorder="1" applyAlignment="1">
      <alignment horizontal="center"/>
    </xf>
    <xf numFmtId="0" fontId="4" fillId="2" borderId="31" xfId="2" applyFont="1" applyFill="1" applyBorder="1"/>
    <xf numFmtId="0" fontId="7" fillId="3" borderId="26" xfId="0" applyFont="1" applyFill="1" applyBorder="1"/>
    <xf numFmtId="0" fontId="7" fillId="3" borderId="0" xfId="0" applyFont="1" applyFill="1"/>
    <xf numFmtId="0" fontId="7" fillId="3" borderId="26" xfId="0" applyFont="1" applyFill="1" applyBorder="1" applyAlignment="1">
      <alignment horizontal="center"/>
    </xf>
    <xf numFmtId="0" fontId="7" fillId="3" borderId="26" xfId="0" applyNumberFormat="1" applyFont="1" applyFill="1" applyBorder="1" applyAlignment="1">
      <alignment horizontal="center"/>
    </xf>
    <xf numFmtId="0" fontId="7" fillId="3" borderId="26" xfId="0" applyNumberFormat="1" applyFont="1" applyFill="1" applyBorder="1" applyAlignment="1">
      <alignment horizontal="center" vertical="center"/>
    </xf>
    <xf numFmtId="0" fontId="33" fillId="3" borderId="26" xfId="0" applyFont="1" applyFill="1" applyBorder="1"/>
    <xf numFmtId="165" fontId="7" fillId="3" borderId="26" xfId="0" applyNumberFormat="1" applyFont="1" applyFill="1" applyBorder="1"/>
    <xf numFmtId="0" fontId="0" fillId="3" borderId="0" xfId="0" applyFill="1"/>
    <xf numFmtId="0" fontId="7" fillId="3" borderId="26" xfId="2" applyNumberFormat="1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left"/>
    </xf>
    <xf numFmtId="0" fontId="7" fillId="3" borderId="26" xfId="2" applyFont="1" applyFill="1" applyBorder="1" applyAlignment="1">
      <alignment horizontal="left"/>
    </xf>
    <xf numFmtId="165" fontId="7" fillId="3" borderId="26" xfId="0" applyNumberFormat="1" applyFont="1" applyFill="1" applyBorder="1" applyAlignment="1">
      <alignment horizontal="right"/>
    </xf>
    <xf numFmtId="0" fontId="7" fillId="3" borderId="26" xfId="0" applyFont="1" applyFill="1" applyBorder="1" applyAlignment="1">
      <alignment horizontal="right"/>
    </xf>
    <xf numFmtId="0" fontId="7" fillId="3" borderId="26" xfId="2" applyFont="1" applyFill="1" applyBorder="1" applyAlignment="1">
      <alignment horizontal="left" vertical="center"/>
    </xf>
    <xf numFmtId="0" fontId="7" fillId="3" borderId="43" xfId="2" applyFont="1" applyFill="1" applyBorder="1" applyAlignment="1">
      <alignment horizontal="left" vertical="center"/>
    </xf>
    <xf numFmtId="0" fontId="7" fillId="3" borderId="32" xfId="2" applyFont="1" applyFill="1" applyBorder="1" applyAlignment="1">
      <alignment horizontal="left" vertical="center"/>
    </xf>
    <xf numFmtId="0" fontId="7" fillId="3" borderId="26" xfId="2" applyFont="1" applyFill="1" applyBorder="1" applyAlignment="1">
      <alignment horizontal="center" vertical="center" wrapText="1"/>
    </xf>
    <xf numFmtId="0" fontId="33" fillId="3" borderId="26" xfId="0" applyFont="1" applyFill="1" applyBorder="1" applyAlignment="1">
      <alignment horizontal="center"/>
    </xf>
    <xf numFmtId="0" fontId="33" fillId="3" borderId="26" xfId="0" applyNumberFormat="1" applyFont="1" applyFill="1" applyBorder="1" applyAlignment="1">
      <alignment horizontal="center" vertical="center"/>
    </xf>
    <xf numFmtId="0" fontId="7" fillId="3" borderId="26" xfId="2" applyFont="1" applyFill="1" applyBorder="1" applyAlignment="1">
      <alignment vertical="center"/>
    </xf>
    <xf numFmtId="0" fontId="7" fillId="3" borderId="0" xfId="0" applyFont="1" applyFill="1" applyBorder="1"/>
    <xf numFmtId="0" fontId="7" fillId="3" borderId="26" xfId="0" applyNumberFormat="1" applyFont="1" applyFill="1" applyBorder="1"/>
    <xf numFmtId="0" fontId="33" fillId="3" borderId="26" xfId="0" applyFont="1" applyFill="1" applyBorder="1" applyAlignment="1">
      <alignment horizontal="left" vertical="center"/>
    </xf>
    <xf numFmtId="0" fontId="33" fillId="3" borderId="26" xfId="0" applyFont="1" applyFill="1" applyBorder="1" applyAlignment="1">
      <alignment horizontal="center" vertical="center"/>
    </xf>
    <xf numFmtId="165" fontId="33" fillId="3" borderId="26" xfId="0" applyNumberFormat="1" applyFont="1" applyFill="1" applyBorder="1"/>
    <xf numFmtId="20" fontId="33" fillId="3" borderId="26" xfId="0" applyNumberFormat="1" applyFont="1" applyFill="1" applyBorder="1" applyAlignment="1">
      <alignment horizontal="center" vertical="center"/>
    </xf>
    <xf numFmtId="0" fontId="7" fillId="3" borderId="36" xfId="2" applyFont="1" applyFill="1" applyBorder="1" applyAlignment="1">
      <alignment horizontal="center" vertical="center"/>
    </xf>
    <xf numFmtId="0" fontId="7" fillId="3" borderId="32" xfId="2" applyFont="1" applyFill="1" applyBorder="1" applyAlignment="1">
      <alignment horizontal="center" vertical="center"/>
    </xf>
    <xf numFmtId="0" fontId="34" fillId="3" borderId="26" xfId="0" applyFont="1" applyFill="1" applyBorder="1"/>
    <xf numFmtId="0" fontId="34" fillId="3" borderId="26" xfId="0" applyFont="1" applyFill="1" applyBorder="1" applyAlignment="1">
      <alignment horizontal="center"/>
    </xf>
    <xf numFmtId="0" fontId="7" fillId="3" borderId="43" xfId="2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/>
    </xf>
    <xf numFmtId="0" fontId="0" fillId="3" borderId="0" xfId="0" applyFont="1" applyFill="1" applyAlignment="1">
      <alignment vertical="center"/>
    </xf>
    <xf numFmtId="0" fontId="0" fillId="3" borderId="0" xfId="0" applyFont="1" applyFill="1"/>
    <xf numFmtId="0" fontId="20" fillId="0" borderId="0" xfId="2" applyFont="1" applyAlignment="1"/>
    <xf numFmtId="0" fontId="20" fillId="3" borderId="0" xfId="2" applyFont="1" applyFill="1" applyAlignment="1"/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 vertical="center"/>
    </xf>
    <xf numFmtId="0" fontId="20" fillId="3" borderId="0" xfId="2" applyFont="1" applyFill="1" applyAlignment="1">
      <alignment horizontal="left"/>
    </xf>
    <xf numFmtId="0" fontId="4" fillId="3" borderId="0" xfId="2" applyFont="1" applyFill="1"/>
    <xf numFmtId="0" fontId="4" fillId="3" borderId="0" xfId="2" applyFont="1" applyFill="1" applyAlignment="1">
      <alignment horizontal="center"/>
    </xf>
    <xf numFmtId="0" fontId="4" fillId="0" borderId="0" xfId="2" applyAlignment="1">
      <alignment horizontal="center" vertical="center"/>
    </xf>
    <xf numFmtId="0" fontId="36" fillId="2" borderId="39" xfId="2" applyFont="1" applyFill="1" applyBorder="1" applyAlignment="1">
      <alignment horizontal="left"/>
    </xf>
    <xf numFmtId="0" fontId="5" fillId="2" borderId="39" xfId="0" applyFont="1" applyFill="1" applyBorder="1" applyAlignment="1">
      <alignment horizontal="center"/>
    </xf>
    <xf numFmtId="0" fontId="36" fillId="2" borderId="31" xfId="2" applyFont="1" applyFill="1" applyBorder="1" applyAlignment="1">
      <alignment horizontal="center"/>
    </xf>
    <xf numFmtId="0" fontId="36" fillId="2" borderId="31" xfId="2" applyFont="1" applyFill="1" applyBorder="1" applyAlignment="1">
      <alignment horizontal="left"/>
    </xf>
    <xf numFmtId="0" fontId="24" fillId="2" borderId="29" xfId="0" applyFont="1" applyFill="1" applyBorder="1" applyAlignment="1">
      <alignment horizontal="center"/>
    </xf>
    <xf numFmtId="0" fontId="5" fillId="2" borderId="29" xfId="2" applyFont="1" applyFill="1" applyBorder="1" applyAlignment="1">
      <alignment horizontal="center"/>
    </xf>
    <xf numFmtId="0" fontId="5" fillId="2" borderId="54" xfId="2" applyFont="1" applyFill="1" applyBorder="1" applyAlignment="1">
      <alignment horizontal="center"/>
    </xf>
    <xf numFmtId="0" fontId="36" fillId="2" borderId="55" xfId="2" applyFont="1" applyFill="1" applyBorder="1" applyAlignment="1">
      <alignment horizontal="center"/>
    </xf>
    <xf numFmtId="0" fontId="36" fillId="2" borderId="55" xfId="2" applyFont="1" applyFill="1" applyBorder="1" applyAlignment="1">
      <alignment horizontal="center" vertical="center"/>
    </xf>
    <xf numFmtId="0" fontId="36" fillId="2" borderId="54" xfId="2" applyFont="1" applyFill="1" applyBorder="1" applyAlignment="1">
      <alignment horizontal="left"/>
    </xf>
    <xf numFmtId="0" fontId="4" fillId="2" borderId="54" xfId="2" applyFont="1" applyFill="1" applyBorder="1"/>
    <xf numFmtId="0" fontId="36" fillId="0" borderId="28" xfId="2" applyFont="1" applyBorder="1" applyAlignment="1">
      <alignment horizontal="center"/>
    </xf>
    <xf numFmtId="0" fontId="37" fillId="0" borderId="31" xfId="0" applyFont="1" applyBorder="1"/>
    <xf numFmtId="0" fontId="37" fillId="0" borderId="31" xfId="0" applyFont="1" applyBorder="1" applyAlignment="1">
      <alignment horizontal="left"/>
    </xf>
    <xf numFmtId="0" fontId="38" fillId="3" borderId="28" xfId="0" applyFont="1" applyFill="1" applyBorder="1" applyAlignment="1">
      <alignment horizontal="left" vertical="center"/>
    </xf>
    <xf numFmtId="0" fontId="38" fillId="3" borderId="31" xfId="0" applyFont="1" applyFill="1" applyBorder="1" applyAlignment="1">
      <alignment horizontal="center"/>
    </xf>
    <xf numFmtId="14" fontId="38" fillId="0" borderId="28" xfId="2" applyNumberFormat="1" applyFont="1" applyBorder="1" applyAlignment="1">
      <alignment horizontal="center"/>
    </xf>
    <xf numFmtId="164" fontId="37" fillId="0" borderId="31" xfId="0" applyNumberFormat="1" applyFont="1" applyBorder="1"/>
    <xf numFmtId="14" fontId="38" fillId="0" borderId="29" xfId="2" applyNumberFormat="1" applyFont="1" applyBorder="1" applyAlignment="1">
      <alignment horizontal="center"/>
    </xf>
    <xf numFmtId="20" fontId="38" fillId="0" borderId="29" xfId="2" applyNumberFormat="1" applyFont="1" applyBorder="1" applyAlignment="1">
      <alignment horizontal="center"/>
    </xf>
    <xf numFmtId="20" fontId="37" fillId="0" borderId="45" xfId="0" applyNumberFormat="1" applyFont="1" applyBorder="1" applyAlignment="1">
      <alignment horizontal="center"/>
    </xf>
    <xf numFmtId="0" fontId="38" fillId="0" borderId="29" xfId="2" applyFont="1" applyBorder="1" applyAlignment="1">
      <alignment horizontal="center" wrapText="1"/>
    </xf>
    <xf numFmtId="0" fontId="38" fillId="0" borderId="28" xfId="2" applyFont="1" applyBorder="1" applyAlignment="1">
      <alignment horizontal="center"/>
    </xf>
    <xf numFmtId="0" fontId="38" fillId="0" borderId="28" xfId="2" applyFont="1" applyBorder="1" applyAlignment="1">
      <alignment horizontal="center" vertical="center"/>
    </xf>
    <xf numFmtId="0" fontId="38" fillId="0" borderId="30" xfId="2" applyFont="1" applyBorder="1" applyAlignment="1">
      <alignment horizontal="center"/>
    </xf>
    <xf numFmtId="0" fontId="38" fillId="0" borderId="28" xfId="2" applyFont="1" applyBorder="1" applyAlignment="1">
      <alignment horizontal="center" wrapText="1"/>
    </xf>
    <xf numFmtId="4" fontId="38" fillId="0" borderId="28" xfId="2" applyNumberFormat="1" applyFont="1" applyBorder="1"/>
    <xf numFmtId="0" fontId="38" fillId="0" borderId="28" xfId="2" applyFont="1" applyBorder="1"/>
    <xf numFmtId="0" fontId="36" fillId="0" borderId="28" xfId="2" applyFont="1" applyFill="1" applyBorder="1" applyAlignment="1">
      <alignment horizontal="center"/>
    </xf>
    <xf numFmtId="0" fontId="37" fillId="0" borderId="28" xfId="0" applyFont="1" applyBorder="1"/>
    <xf numFmtId="0" fontId="37" fillId="0" borderId="28" xfId="0" applyFont="1" applyBorder="1" applyAlignment="1">
      <alignment horizontal="left" vertical="center"/>
    </xf>
    <xf numFmtId="0" fontId="38" fillId="3" borderId="28" xfId="0" applyFont="1" applyFill="1" applyBorder="1" applyAlignment="1">
      <alignment horizontal="center" vertical="center"/>
    </xf>
    <xf numFmtId="14" fontId="37" fillId="0" borderId="28" xfId="0" applyNumberFormat="1" applyFont="1" applyBorder="1" applyAlignment="1">
      <alignment horizontal="center" vertical="center"/>
    </xf>
    <xf numFmtId="164" fontId="37" fillId="0" borderId="28" xfId="0" applyNumberFormat="1" applyFont="1" applyBorder="1" applyAlignment="1">
      <alignment horizontal="center" vertical="center"/>
    </xf>
    <xf numFmtId="164" fontId="38" fillId="0" borderId="28" xfId="2" applyNumberFormat="1" applyFont="1" applyBorder="1" applyAlignment="1">
      <alignment horizontal="center"/>
    </xf>
    <xf numFmtId="0" fontId="38" fillId="0" borderId="56" xfId="2" applyFont="1" applyBorder="1" applyAlignment="1">
      <alignment horizontal="center" wrapText="1"/>
    </xf>
    <xf numFmtId="166" fontId="36" fillId="0" borderId="28" xfId="2" applyNumberFormat="1" applyFont="1" applyBorder="1" applyAlignment="1">
      <alignment horizontal="center"/>
    </xf>
    <xf numFmtId="166" fontId="36" fillId="0" borderId="28" xfId="2" applyNumberFormat="1" applyFont="1" applyBorder="1" applyAlignment="1">
      <alignment horizontal="center" vertical="center"/>
    </xf>
    <xf numFmtId="2" fontId="38" fillId="0" borderId="28" xfId="2" applyNumberFormat="1" applyFont="1" applyBorder="1" applyAlignment="1">
      <alignment horizontal="center"/>
    </xf>
    <xf numFmtId="2" fontId="38" fillId="0" borderId="30" xfId="2" applyNumberFormat="1" applyFont="1" applyBorder="1" applyAlignment="1">
      <alignment horizontal="center"/>
    </xf>
    <xf numFmtId="2" fontId="38" fillId="0" borderId="28" xfId="2" applyNumberFormat="1" applyFont="1" applyBorder="1" applyAlignment="1">
      <alignment horizontal="center" wrapText="1"/>
    </xf>
    <xf numFmtId="2" fontId="38" fillId="0" borderId="28" xfId="2" applyNumberFormat="1" applyFont="1" applyBorder="1"/>
    <xf numFmtId="0" fontId="38" fillId="0" borderId="57" xfId="2" applyFont="1" applyBorder="1" applyAlignment="1">
      <alignment horizontal="center"/>
    </xf>
    <xf numFmtId="0" fontId="24" fillId="3" borderId="0" xfId="0" applyFont="1" applyFill="1"/>
    <xf numFmtId="2" fontId="38" fillId="0" borderId="31" xfId="2" applyNumberFormat="1" applyFont="1" applyFill="1" applyBorder="1" applyAlignment="1">
      <alignment horizontal="center"/>
    </xf>
    <xf numFmtId="14" fontId="38" fillId="0" borderId="28" xfId="2" applyNumberFormat="1" applyFont="1" applyFill="1" applyBorder="1" applyAlignment="1">
      <alignment horizontal="center"/>
    </xf>
    <xf numFmtId="164" fontId="38" fillId="0" borderId="28" xfId="2" applyNumberFormat="1" applyFont="1" applyFill="1" applyBorder="1" applyAlignment="1">
      <alignment horizontal="center"/>
    </xf>
    <xf numFmtId="174" fontId="36" fillId="0" borderId="28" xfId="2" applyNumberFormat="1" applyFont="1" applyBorder="1" applyAlignment="1">
      <alignment horizontal="center"/>
    </xf>
    <xf numFmtId="0" fontId="38" fillId="3" borderId="29" xfId="0" applyFont="1" applyFill="1" applyBorder="1" applyAlignment="1">
      <alignment horizontal="left" vertical="center"/>
    </xf>
    <xf numFmtId="0" fontId="38" fillId="3" borderId="29" xfId="0" applyFont="1" applyFill="1" applyBorder="1" applyAlignment="1">
      <alignment horizontal="center" vertical="center"/>
    </xf>
    <xf numFmtId="14" fontId="38" fillId="0" borderId="29" xfId="2" applyNumberFormat="1" applyFont="1" applyBorder="1" applyAlignment="1">
      <alignment horizontal="center" vertical="center"/>
    </xf>
    <xf numFmtId="164" fontId="38" fillId="0" borderId="29" xfId="2" applyNumberFormat="1" applyFont="1" applyFill="1" applyBorder="1" applyAlignment="1">
      <alignment horizontal="center" vertical="center"/>
    </xf>
    <xf numFmtId="14" fontId="38" fillId="0" borderId="29" xfId="2" applyNumberFormat="1" applyFont="1" applyFill="1" applyBorder="1" applyAlignment="1">
      <alignment horizontal="center"/>
    </xf>
    <xf numFmtId="164" fontId="38" fillId="0" borderId="29" xfId="2" applyNumberFormat="1" applyFont="1" applyFill="1" applyBorder="1" applyAlignment="1">
      <alignment horizontal="center"/>
    </xf>
    <xf numFmtId="14" fontId="38" fillId="0" borderId="28" xfId="2" applyNumberFormat="1" applyFont="1" applyBorder="1" applyAlignment="1">
      <alignment horizontal="center" vertical="center"/>
    </xf>
    <xf numFmtId="164" fontId="38" fillId="0" borderId="28" xfId="2" applyNumberFormat="1" applyFont="1" applyFill="1" applyBorder="1" applyAlignment="1">
      <alignment horizontal="center" vertical="center"/>
    </xf>
    <xf numFmtId="164" fontId="38" fillId="0" borderId="29" xfId="2" applyNumberFormat="1" applyFont="1" applyBorder="1" applyAlignment="1">
      <alignment horizontal="center"/>
    </xf>
    <xf numFmtId="0" fontId="38" fillId="0" borderId="29" xfId="2" applyFont="1" applyBorder="1"/>
    <xf numFmtId="0" fontId="38" fillId="0" borderId="28" xfId="2" applyFont="1" applyBorder="1" applyAlignment="1">
      <alignment horizontal="left" vertical="center"/>
    </xf>
    <xf numFmtId="0" fontId="38" fillId="3" borderId="28" xfId="2" applyFont="1" applyFill="1" applyBorder="1" applyAlignment="1">
      <alignment horizontal="left" vertical="center"/>
    </xf>
    <xf numFmtId="0" fontId="38" fillId="3" borderId="28" xfId="2" applyFont="1" applyFill="1" applyBorder="1" applyAlignment="1">
      <alignment horizontal="center" vertical="center"/>
    </xf>
    <xf numFmtId="0" fontId="38" fillId="0" borderId="28" xfId="2" applyFont="1" applyBorder="1" applyAlignment="1">
      <alignment horizontal="left"/>
    </xf>
    <xf numFmtId="0" fontId="38" fillId="3" borderId="28" xfId="2" applyFont="1" applyFill="1" applyBorder="1" applyAlignment="1">
      <alignment horizontal="center"/>
    </xf>
    <xf numFmtId="0" fontId="38" fillId="3" borderId="29" xfId="2" applyFont="1" applyFill="1" applyBorder="1" applyAlignment="1">
      <alignment horizontal="center"/>
    </xf>
    <xf numFmtId="0" fontId="38" fillId="0" borderId="31" xfId="2" applyFont="1" applyFill="1" applyBorder="1" applyAlignment="1">
      <alignment horizontal="center"/>
    </xf>
    <xf numFmtId="166" fontId="36" fillId="0" borderId="28" xfId="2" applyNumberFormat="1" applyFont="1" applyFill="1" applyBorder="1" applyAlignment="1">
      <alignment horizontal="center"/>
    </xf>
    <xf numFmtId="0" fontId="37" fillId="0" borderId="0" xfId="0" applyFont="1"/>
    <xf numFmtId="4" fontId="38" fillId="0" borderId="28" xfId="2" applyNumberFormat="1" applyFont="1" applyBorder="1" applyAlignment="1">
      <alignment horizontal="center"/>
    </xf>
    <xf numFmtId="0" fontId="38" fillId="3" borderId="28" xfId="2" applyFont="1" applyFill="1" applyBorder="1" applyAlignment="1">
      <alignment horizontal="left"/>
    </xf>
    <xf numFmtId="0" fontId="38" fillId="0" borderId="29" xfId="2" applyFont="1" applyBorder="1" applyAlignment="1">
      <alignment horizontal="center"/>
    </xf>
    <xf numFmtId="0" fontId="38" fillId="0" borderId="29" xfId="2" applyFont="1" applyBorder="1" applyAlignment="1">
      <alignment horizontal="left"/>
    </xf>
    <xf numFmtId="0" fontId="38" fillId="3" borderId="29" xfId="2" applyFont="1" applyFill="1" applyBorder="1" applyAlignment="1">
      <alignment horizontal="left"/>
    </xf>
    <xf numFmtId="0" fontId="0" fillId="0" borderId="0" xfId="0" applyAlignment="1">
      <alignment horizontal="center"/>
    </xf>
    <xf numFmtId="20" fontId="38" fillId="0" borderId="28" xfId="2" applyNumberFormat="1" applyFont="1" applyBorder="1" applyAlignment="1">
      <alignment horizontal="center"/>
    </xf>
    <xf numFmtId="2" fontId="36" fillId="0" borderId="28" xfId="2" applyNumberFormat="1" applyFont="1" applyBorder="1" applyAlignment="1">
      <alignment horizontal="center"/>
    </xf>
    <xf numFmtId="2" fontId="36" fillId="0" borderId="28" xfId="2" applyNumberFormat="1" applyFont="1" applyBorder="1" applyAlignment="1">
      <alignment horizontal="center" vertical="center"/>
    </xf>
    <xf numFmtId="0" fontId="36" fillId="0" borderId="30" xfId="2" applyFont="1" applyFill="1" applyBorder="1" applyAlignment="1">
      <alignment horizontal="center"/>
    </xf>
    <xf numFmtId="0" fontId="36" fillId="5" borderId="55" xfId="2" applyFont="1" applyFill="1" applyBorder="1" applyAlignment="1">
      <alignment horizontal="center"/>
    </xf>
    <xf numFmtId="0" fontId="36" fillId="5" borderId="55" xfId="2" applyFont="1" applyFill="1" applyBorder="1" applyAlignment="1">
      <alignment horizontal="center" vertical="center"/>
    </xf>
    <xf numFmtId="3" fontId="36" fillId="5" borderId="55" xfId="2" applyNumberFormat="1" applyFont="1" applyFill="1" applyBorder="1"/>
    <xf numFmtId="0" fontId="36" fillId="5" borderId="55" xfId="2" applyFont="1" applyFill="1" applyBorder="1"/>
    <xf numFmtId="0" fontId="36" fillId="0" borderId="15" xfId="2" applyFont="1" applyFill="1" applyBorder="1" applyAlignment="1">
      <alignment horizontal="center"/>
    </xf>
    <xf numFmtId="0" fontId="0" fillId="0" borderId="15" xfId="0" applyBorder="1"/>
    <xf numFmtId="0" fontId="36" fillId="0" borderId="0" xfId="2" applyFont="1" applyFill="1" applyBorder="1" applyAlignment="1">
      <alignment horizontal="center"/>
    </xf>
    <xf numFmtId="0" fontId="0" fillId="0" borderId="0" xfId="0" applyAlignment="1">
      <alignment horizontal="left"/>
    </xf>
    <xf numFmtId="0" fontId="24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2" borderId="15" xfId="2" applyFont="1" applyFill="1" applyBorder="1" applyAlignment="1"/>
    <xf numFmtId="0" fontId="5" fillId="2" borderId="58" xfId="2" applyFont="1" applyFill="1" applyBorder="1" applyAlignment="1"/>
    <xf numFmtId="0" fontId="0" fillId="3" borderId="26" xfId="0" applyFill="1" applyBorder="1"/>
    <xf numFmtId="0" fontId="7" fillId="3" borderId="46" xfId="2" applyFont="1" applyFill="1" applyBorder="1" applyAlignment="1">
      <alignment horizontal="left" vertical="center"/>
    </xf>
    <xf numFmtId="20" fontId="7" fillId="3" borderId="26" xfId="1" applyNumberFormat="1" applyFont="1" applyFill="1" applyBorder="1" applyAlignment="1">
      <alignment horizontal="center"/>
    </xf>
    <xf numFmtId="0" fontId="7" fillId="3" borderId="43" xfId="2" applyNumberFormat="1" applyFont="1" applyFill="1" applyBorder="1" applyAlignment="1">
      <alignment horizontal="center" vertical="center"/>
    </xf>
    <xf numFmtId="0" fontId="7" fillId="3" borderId="43" xfId="0" applyNumberFormat="1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/>
    </xf>
    <xf numFmtId="0" fontId="7" fillId="3" borderId="43" xfId="0" applyFont="1" applyFill="1" applyBorder="1"/>
    <xf numFmtId="165" fontId="7" fillId="3" borderId="43" xfId="0" applyNumberFormat="1" applyFont="1" applyFill="1" applyBorder="1"/>
    <xf numFmtId="1" fontId="7" fillId="3" borderId="26" xfId="1" applyNumberFormat="1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 vertical="center"/>
    </xf>
    <xf numFmtId="0" fontId="33" fillId="3" borderId="0" xfId="0" applyFont="1" applyFill="1"/>
    <xf numFmtId="0" fontId="33" fillId="3" borderId="59" xfId="0" applyFont="1" applyFill="1" applyBorder="1"/>
    <xf numFmtId="0" fontId="33" fillId="3" borderId="0" xfId="0" applyFont="1" applyFill="1" applyBorder="1"/>
    <xf numFmtId="0" fontId="33" fillId="3" borderId="43" xfId="0" applyFont="1" applyFill="1" applyBorder="1" applyAlignment="1">
      <alignment horizontal="center" vertical="center"/>
    </xf>
    <xf numFmtId="0" fontId="33" fillId="3" borderId="43" xfId="0" applyFont="1" applyFill="1" applyBorder="1"/>
    <xf numFmtId="165" fontId="33" fillId="3" borderId="43" xfId="0" applyNumberFormat="1" applyFont="1" applyFill="1" applyBorder="1"/>
    <xf numFmtId="165" fontId="33" fillId="3" borderId="47" xfId="0" applyNumberFormat="1" applyFont="1" applyFill="1" applyBorder="1"/>
    <xf numFmtId="0" fontId="33" fillId="3" borderId="46" xfId="0" applyFont="1" applyFill="1" applyBorder="1"/>
    <xf numFmtId="0" fontId="33" fillId="3" borderId="29" xfId="0" applyFont="1" applyFill="1" applyBorder="1"/>
    <xf numFmtId="0" fontId="7" fillId="3" borderId="32" xfId="0" applyFont="1" applyFill="1" applyBorder="1"/>
    <xf numFmtId="0" fontId="33" fillId="3" borderId="28" xfId="0" applyFont="1" applyFill="1" applyBorder="1"/>
    <xf numFmtId="0" fontId="7" fillId="5" borderId="26" xfId="2" applyFont="1" applyFill="1" applyBorder="1" applyAlignment="1">
      <alignment horizontal="center"/>
    </xf>
    <xf numFmtId="165" fontId="7" fillId="5" borderId="26" xfId="2" applyNumberFormat="1" applyFont="1" applyFill="1" applyBorder="1" applyAlignment="1">
      <alignment horizontal="center" vertical="center"/>
    </xf>
    <xf numFmtId="0" fontId="4" fillId="0" borderId="44" xfId="2" applyBorder="1" applyAlignment="1">
      <alignment horizontal="center"/>
    </xf>
    <xf numFmtId="0" fontId="4" fillId="0" borderId="45" xfId="2" applyBorder="1"/>
    <xf numFmtId="0" fontId="4" fillId="0" borderId="52" xfId="2" applyBorder="1" applyAlignment="1">
      <alignment horizontal="center"/>
    </xf>
    <xf numFmtId="0" fontId="4" fillId="0" borderId="52" xfId="2" applyBorder="1"/>
    <xf numFmtId="0" fontId="16" fillId="3" borderId="41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7" fillId="3" borderId="29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168" fontId="7" fillId="3" borderId="26" xfId="2" applyNumberFormat="1" applyFont="1" applyFill="1" applyBorder="1" applyAlignment="1">
      <alignment horizontal="center"/>
    </xf>
    <xf numFmtId="169" fontId="7" fillId="3" borderId="26" xfId="2" applyNumberFormat="1" applyFont="1" applyFill="1" applyBorder="1" applyAlignment="1">
      <alignment horizontal="center"/>
    </xf>
    <xf numFmtId="166" fontId="7" fillId="3" borderId="26" xfId="2" applyNumberFormat="1" applyFont="1" applyFill="1" applyBorder="1" applyAlignment="1">
      <alignment horizontal="center"/>
    </xf>
    <xf numFmtId="0" fontId="31" fillId="0" borderId="0" xfId="2" applyFont="1" applyBorder="1" applyAlignment="1">
      <alignment horizontal="left"/>
    </xf>
    <xf numFmtId="0" fontId="7" fillId="3" borderId="40" xfId="2" applyFont="1" applyFill="1" applyBorder="1" applyAlignment="1">
      <alignment vertical="center"/>
    </xf>
    <xf numFmtId="0" fontId="7" fillId="3" borderId="42" xfId="2" applyFont="1" applyFill="1" applyBorder="1" applyAlignment="1">
      <alignment vertical="center"/>
    </xf>
    <xf numFmtId="0" fontId="39" fillId="3" borderId="14" xfId="0" applyFont="1" applyFill="1" applyBorder="1" applyAlignment="1">
      <alignment horizontal="center" vertical="center"/>
    </xf>
    <xf numFmtId="0" fontId="7" fillId="3" borderId="15" xfId="2" applyFont="1" applyFill="1" applyBorder="1" applyAlignment="1">
      <alignment vertical="center"/>
    </xf>
    <xf numFmtId="0" fontId="7" fillId="3" borderId="15" xfId="2" applyFont="1" applyFill="1" applyBorder="1" applyAlignment="1">
      <alignment horizontal="center" vertical="center"/>
    </xf>
    <xf numFmtId="0" fontId="7" fillId="3" borderId="47" xfId="2" applyFont="1" applyFill="1" applyBorder="1" applyAlignment="1">
      <alignment horizontal="center" vertical="center"/>
    </xf>
    <xf numFmtId="0" fontId="22" fillId="3" borderId="55" xfId="2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vertical="center" wrapText="1"/>
    </xf>
    <xf numFmtId="1" fontId="7" fillId="3" borderId="55" xfId="2" applyNumberFormat="1" applyFont="1" applyFill="1" applyBorder="1" applyAlignment="1">
      <alignment vertical="center" wrapText="1"/>
    </xf>
    <xf numFmtId="0" fontId="7" fillId="3" borderId="55" xfId="2" applyFont="1" applyFill="1" applyBorder="1" applyAlignment="1">
      <alignment vertical="center" wrapText="1"/>
    </xf>
    <xf numFmtId="0" fontId="7" fillId="3" borderId="55" xfId="2" applyFont="1" applyFill="1" applyBorder="1" applyAlignment="1">
      <alignment horizontal="right" vertical="center" wrapText="1"/>
    </xf>
    <xf numFmtId="0" fontId="7" fillId="3" borderId="55" xfId="2" applyFont="1" applyFill="1" applyBorder="1" applyAlignment="1">
      <alignment horizontal="center" vertical="center" wrapText="1"/>
    </xf>
    <xf numFmtId="171" fontId="7" fillId="3" borderId="55" xfId="2" applyNumberFormat="1" applyFont="1" applyFill="1" applyBorder="1" applyAlignment="1">
      <alignment horizontal="center" vertical="center"/>
    </xf>
    <xf numFmtId="171" fontId="7" fillId="3" borderId="40" xfId="2" applyNumberFormat="1" applyFont="1" applyFill="1" applyBorder="1" applyAlignment="1">
      <alignment horizontal="center" vertical="center"/>
    </xf>
    <xf numFmtId="171" fontId="7" fillId="3" borderId="55" xfId="2" applyNumberFormat="1" applyFont="1" applyFill="1" applyBorder="1" applyAlignment="1">
      <alignment horizontal="center" vertical="center" wrapText="1"/>
    </xf>
    <xf numFmtId="0" fontId="7" fillId="3" borderId="55" xfId="0" applyFont="1" applyFill="1" applyBorder="1" applyAlignment="1">
      <alignment horizontal="center" vertical="center"/>
    </xf>
    <xf numFmtId="1" fontId="7" fillId="3" borderId="55" xfId="2" applyNumberFormat="1" applyFont="1" applyFill="1" applyBorder="1" applyAlignment="1">
      <alignment horizontal="center" vertical="center" wrapText="1"/>
    </xf>
    <xf numFmtId="0" fontId="7" fillId="3" borderId="55" xfId="0" applyFont="1" applyFill="1" applyBorder="1" applyAlignment="1">
      <alignment vertical="center" wrapText="1"/>
    </xf>
    <xf numFmtId="165" fontId="7" fillId="3" borderId="55" xfId="2" applyNumberFormat="1" applyFont="1" applyFill="1" applyBorder="1" applyAlignment="1">
      <alignment horizontal="right" vertical="center"/>
    </xf>
    <xf numFmtId="0" fontId="30" fillId="3" borderId="55" xfId="2" applyFont="1" applyFill="1" applyBorder="1" applyAlignment="1">
      <alignment vertical="center" wrapText="1"/>
    </xf>
    <xf numFmtId="1" fontId="7" fillId="3" borderId="55" xfId="2" applyNumberFormat="1" applyFont="1" applyFill="1" applyBorder="1" applyAlignment="1">
      <alignment horizontal="right" vertical="center" wrapText="1"/>
    </xf>
    <xf numFmtId="171" fontId="7" fillId="3" borderId="40" xfId="2" applyNumberFormat="1" applyFont="1" applyFill="1" applyBorder="1" applyAlignment="1">
      <alignment horizontal="center" vertical="center" wrapText="1"/>
    </xf>
    <xf numFmtId="165" fontId="7" fillId="3" borderId="55" xfId="2" applyNumberFormat="1" applyFont="1" applyFill="1" applyBorder="1" applyAlignment="1">
      <alignment horizontal="right" vertical="center" wrapText="1"/>
    </xf>
    <xf numFmtId="0" fontId="7" fillId="3" borderId="55" xfId="2" applyFont="1" applyFill="1" applyBorder="1" applyAlignment="1">
      <alignment vertical="center"/>
    </xf>
    <xf numFmtId="0" fontId="7" fillId="3" borderId="55" xfId="2" applyFont="1" applyFill="1" applyBorder="1" applyAlignment="1">
      <alignment horizontal="left" vertical="center" wrapText="1"/>
    </xf>
    <xf numFmtId="0" fontId="7" fillId="3" borderId="55" xfId="2" applyNumberFormat="1" applyFont="1" applyFill="1" applyBorder="1" applyAlignment="1">
      <alignment horizontal="right" vertical="center"/>
    </xf>
    <xf numFmtId="0" fontId="7" fillId="3" borderId="55" xfId="2" applyNumberFormat="1" applyFont="1" applyFill="1" applyBorder="1" applyAlignment="1">
      <alignment horizontal="right" vertical="center" wrapText="1"/>
    </xf>
    <xf numFmtId="0" fontId="7" fillId="3" borderId="55" xfId="0" applyFont="1" applyFill="1" applyBorder="1" applyAlignment="1">
      <alignment horizontal="center" vertical="center" wrapText="1"/>
    </xf>
    <xf numFmtId="172" fontId="7" fillId="3" borderId="55" xfId="0" applyNumberFormat="1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5" xfId="0" applyNumberFormat="1" applyFont="1" applyFill="1" applyBorder="1" applyAlignment="1">
      <alignment horizontal="right" vertical="center"/>
    </xf>
    <xf numFmtId="173" fontId="7" fillId="3" borderId="55" xfId="0" applyNumberFormat="1" applyFont="1" applyFill="1" applyBorder="1" applyAlignment="1">
      <alignment horizontal="right" vertical="center"/>
    </xf>
    <xf numFmtId="172" fontId="7" fillId="3" borderId="42" xfId="0" applyNumberFormat="1" applyFont="1" applyFill="1" applyBorder="1" applyAlignment="1">
      <alignment vertical="center"/>
    </xf>
    <xf numFmtId="173" fontId="7" fillId="3" borderId="55" xfId="2" applyNumberFormat="1" applyFont="1" applyFill="1" applyBorder="1" applyAlignment="1">
      <alignment horizontal="right" vertical="center"/>
    </xf>
    <xf numFmtId="0" fontId="7" fillId="3" borderId="42" xfId="0" applyFont="1" applyFill="1" applyBorder="1" applyAlignment="1">
      <alignment vertical="center"/>
    </xf>
    <xf numFmtId="165" fontId="7" fillId="3" borderId="55" xfId="0" applyNumberFormat="1" applyFont="1" applyFill="1" applyBorder="1" applyAlignment="1">
      <alignment horizontal="right" vertical="center"/>
    </xf>
    <xf numFmtId="0" fontId="7" fillId="3" borderId="55" xfId="0" applyNumberFormat="1" applyFont="1" applyFill="1" applyBorder="1" applyAlignment="1">
      <alignment vertical="center"/>
    </xf>
    <xf numFmtId="14" fontId="7" fillId="3" borderId="55" xfId="2" applyNumberFormat="1" applyFont="1" applyFill="1" applyBorder="1" applyAlignment="1">
      <alignment horizontal="center" vertical="center"/>
    </xf>
    <xf numFmtId="165" fontId="13" fillId="3" borderId="55" xfId="0" applyNumberFormat="1" applyFont="1" applyFill="1" applyBorder="1" applyAlignment="1">
      <alignment horizontal="right" vertical="center"/>
    </xf>
    <xf numFmtId="0" fontId="33" fillId="3" borderId="55" xfId="0" applyFont="1" applyFill="1" applyBorder="1" applyAlignment="1">
      <alignment vertical="center"/>
    </xf>
    <xf numFmtId="171" fontId="7" fillId="3" borderId="55" xfId="0" applyNumberFormat="1" applyFont="1" applyFill="1" applyBorder="1" applyAlignment="1">
      <alignment horizontal="center" vertical="center"/>
    </xf>
    <xf numFmtId="0" fontId="7" fillId="3" borderId="42" xfId="2" applyFont="1" applyFill="1" applyBorder="1" applyAlignment="1">
      <alignment vertical="center" wrapText="1"/>
    </xf>
    <xf numFmtId="171" fontId="7" fillId="3" borderId="40" xfId="0" applyNumberFormat="1" applyFont="1" applyFill="1" applyBorder="1" applyAlignment="1">
      <alignment horizontal="center" vertical="center"/>
    </xf>
    <xf numFmtId="0" fontId="33" fillId="3" borderId="55" xfId="0" applyFont="1" applyFill="1" applyBorder="1" applyAlignment="1">
      <alignment horizontal="left"/>
    </xf>
    <xf numFmtId="173" fontId="7" fillId="3" borderId="55" xfId="1" applyNumberFormat="1" applyFont="1" applyFill="1" applyBorder="1" applyAlignment="1">
      <alignment horizontal="right" vertical="center"/>
    </xf>
    <xf numFmtId="0" fontId="7" fillId="3" borderId="54" xfId="0" applyFont="1" applyFill="1" applyBorder="1" applyAlignment="1">
      <alignment vertical="center"/>
    </xf>
    <xf numFmtId="171" fontId="7" fillId="5" borderId="55" xfId="2" applyNumberFormat="1" applyFont="1" applyFill="1" applyBorder="1" applyAlignment="1">
      <alignment horizontal="center" vertical="center" wrapText="1"/>
    </xf>
    <xf numFmtId="171" fontId="7" fillId="5" borderId="40" xfId="2" applyNumberFormat="1" applyFont="1" applyFill="1" applyBorder="1" applyAlignment="1">
      <alignment horizontal="center" vertical="center" wrapText="1"/>
    </xf>
    <xf numFmtId="0" fontId="39" fillId="5" borderId="55" xfId="0" applyFont="1" applyFill="1" applyBorder="1"/>
    <xf numFmtId="165" fontId="29" fillId="5" borderId="55" xfId="0" applyNumberFormat="1" applyFont="1" applyFill="1" applyBorder="1" applyAlignment="1">
      <alignment horizontal="right"/>
    </xf>
    <xf numFmtId="0" fontId="39" fillId="0" borderId="0" xfId="0" applyFont="1" applyAlignment="1">
      <alignment horizontal="right"/>
    </xf>
    <xf numFmtId="0" fontId="39" fillId="0" borderId="0" xfId="0" applyFont="1"/>
    <xf numFmtId="0" fontId="22" fillId="0" borderId="0" xfId="2" applyFont="1" applyAlignment="1">
      <alignment horizontal="right"/>
    </xf>
    <xf numFmtId="0" fontId="22" fillId="0" borderId="0" xfId="2" applyFont="1"/>
    <xf numFmtId="0" fontId="7" fillId="0" borderId="55" xfId="2" applyFont="1" applyBorder="1" applyAlignment="1">
      <alignment horizontal="center" vertical="center" wrapText="1"/>
    </xf>
    <xf numFmtId="0" fontId="7" fillId="0" borderId="40" xfId="2" applyFont="1" applyBorder="1" applyAlignment="1">
      <alignment horizontal="center" vertical="center" wrapText="1"/>
    </xf>
    <xf numFmtId="0" fontId="7" fillId="2" borderId="64" xfId="2" applyFont="1" applyFill="1" applyBorder="1" applyAlignment="1">
      <alignment horizontal="center" vertical="center" wrapText="1"/>
    </xf>
    <xf numFmtId="0" fontId="7" fillId="2" borderId="38" xfId="2" applyFont="1" applyFill="1" applyBorder="1" applyAlignment="1">
      <alignment horizontal="center" vertical="center" wrapText="1"/>
    </xf>
    <xf numFmtId="0" fontId="7" fillId="0" borderId="32" xfId="2" applyFont="1" applyFill="1" applyBorder="1" applyAlignment="1">
      <alignment horizontal="right" vertical="center"/>
    </xf>
    <xf numFmtId="172" fontId="7" fillId="0" borderId="32" xfId="0" applyNumberFormat="1" applyFont="1" applyFill="1" applyBorder="1" applyAlignment="1">
      <alignment vertical="center"/>
    </xf>
    <xf numFmtId="172" fontId="7" fillId="0" borderId="32" xfId="0" applyNumberFormat="1" applyFont="1" applyFill="1" applyBorder="1" applyAlignment="1">
      <alignment horizontal="left" vertical="center"/>
    </xf>
    <xf numFmtId="0" fontId="33" fillId="0" borderId="26" xfId="0" applyFont="1" applyBorder="1"/>
    <xf numFmtId="14" fontId="7" fillId="0" borderId="32" xfId="2" applyNumberFormat="1" applyFont="1" applyFill="1" applyBorder="1" applyAlignment="1">
      <alignment horizontal="center" vertical="center"/>
    </xf>
    <xf numFmtId="20" fontId="7" fillId="0" borderId="32" xfId="2" applyNumberFormat="1" applyFont="1" applyFill="1" applyBorder="1" applyAlignment="1">
      <alignment horizontal="center" vertical="center"/>
    </xf>
    <xf numFmtId="0" fontId="7" fillId="0" borderId="32" xfId="2" applyFont="1" applyFill="1" applyBorder="1" applyAlignment="1">
      <alignment horizontal="center" vertical="top"/>
    </xf>
    <xf numFmtId="0" fontId="7" fillId="0" borderId="32" xfId="2" applyFont="1" applyFill="1" applyBorder="1" applyAlignment="1">
      <alignment horizontal="center" vertical="center"/>
    </xf>
    <xf numFmtId="1" fontId="7" fillId="0" borderId="32" xfId="2" applyNumberFormat="1" applyFont="1" applyFill="1" applyBorder="1" applyAlignment="1">
      <alignment horizontal="center" vertical="center"/>
    </xf>
    <xf numFmtId="1" fontId="7" fillId="0" borderId="32" xfId="2" applyNumberFormat="1" applyFont="1" applyBorder="1" applyAlignment="1">
      <alignment horizontal="center" vertical="center" wrapText="1"/>
    </xf>
    <xf numFmtId="2" fontId="7" fillId="0" borderId="32" xfId="2" applyNumberFormat="1" applyFont="1" applyBorder="1" applyAlignment="1">
      <alignment horizontal="center" vertical="center" wrapText="1"/>
    </xf>
    <xf numFmtId="0" fontId="7" fillId="0" borderId="32" xfId="2" applyFont="1" applyBorder="1" applyAlignment="1">
      <alignment horizontal="center" vertical="center" wrapText="1"/>
    </xf>
    <xf numFmtId="0" fontId="7" fillId="0" borderId="32" xfId="2" applyFont="1" applyBorder="1" applyAlignment="1">
      <alignment vertical="center" wrapText="1"/>
    </xf>
    <xf numFmtId="4" fontId="7" fillId="0" borderId="32" xfId="2" applyNumberFormat="1" applyFont="1" applyFill="1" applyBorder="1" applyAlignment="1">
      <alignment horizontal="center" vertical="center" wrapText="1"/>
    </xf>
    <xf numFmtId="0" fontId="7" fillId="0" borderId="26" xfId="2" applyFont="1" applyFill="1" applyBorder="1" applyAlignment="1">
      <alignment horizontal="right" vertical="center"/>
    </xf>
    <xf numFmtId="0" fontId="7" fillId="0" borderId="26" xfId="2" applyFont="1" applyFill="1" applyBorder="1" applyAlignment="1">
      <alignment vertical="center"/>
    </xf>
    <xf numFmtId="0" fontId="7" fillId="0" borderId="26" xfId="2" applyFont="1" applyFill="1" applyBorder="1" applyAlignment="1">
      <alignment horizontal="left" vertical="center"/>
    </xf>
    <xf numFmtId="0" fontId="33" fillId="0" borderId="26" xfId="0" applyFont="1" applyBorder="1" applyAlignment="1">
      <alignment vertical="center"/>
    </xf>
    <xf numFmtId="14" fontId="7" fillId="0" borderId="26" xfId="2" applyNumberFormat="1" applyFont="1" applyFill="1" applyBorder="1" applyAlignment="1">
      <alignment horizontal="center" vertical="center"/>
    </xf>
    <xf numFmtId="20" fontId="7" fillId="0" borderId="26" xfId="2" applyNumberFormat="1" applyFont="1" applyFill="1" applyBorder="1" applyAlignment="1">
      <alignment horizontal="center" vertical="center"/>
    </xf>
    <xf numFmtId="0" fontId="7" fillId="0" borderId="26" xfId="2" applyFont="1" applyFill="1" applyBorder="1" applyAlignment="1">
      <alignment horizontal="center" vertical="top"/>
    </xf>
    <xf numFmtId="1" fontId="7" fillId="0" borderId="26" xfId="2" applyNumberFormat="1" applyFont="1" applyFill="1" applyBorder="1" applyAlignment="1">
      <alignment horizontal="center" vertical="center"/>
    </xf>
    <xf numFmtId="1" fontId="7" fillId="0" borderId="26" xfId="2" applyNumberFormat="1" applyFont="1" applyBorder="1" applyAlignment="1">
      <alignment horizontal="center" vertical="center" wrapText="1"/>
    </xf>
    <xf numFmtId="2" fontId="7" fillId="0" borderId="26" xfId="2" applyNumberFormat="1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6" xfId="2" applyFont="1" applyBorder="1" applyAlignment="1">
      <alignment vertical="center" wrapText="1"/>
    </xf>
    <xf numFmtId="4" fontId="7" fillId="0" borderId="26" xfId="2" applyNumberFormat="1" applyFont="1" applyFill="1" applyBorder="1" applyAlignment="1">
      <alignment horizontal="center" vertical="center" wrapText="1"/>
    </xf>
    <xf numFmtId="0" fontId="7" fillId="0" borderId="26" xfId="2" applyFont="1" applyFill="1" applyBorder="1" applyAlignment="1">
      <alignment vertical="center" wrapText="1"/>
    </xf>
    <xf numFmtId="0" fontId="7" fillId="0" borderId="26" xfId="2" applyFont="1" applyFill="1" applyBorder="1" applyAlignment="1">
      <alignment horizontal="center" vertical="center" wrapText="1"/>
    </xf>
    <xf numFmtId="172" fontId="7" fillId="0" borderId="26" xfId="0" applyNumberFormat="1" applyFont="1" applyFill="1" applyBorder="1" applyAlignment="1">
      <alignment vertical="center"/>
    </xf>
    <xf numFmtId="172" fontId="7" fillId="0" borderId="26" xfId="0" applyNumberFormat="1" applyFont="1" applyFill="1" applyBorder="1" applyAlignment="1">
      <alignment horizontal="left" vertical="center"/>
    </xf>
    <xf numFmtId="175" fontId="7" fillId="0" borderId="26" xfId="2" applyNumberFormat="1" applyFont="1" applyBorder="1" applyAlignment="1">
      <alignment horizontal="center" vertical="center" wrapText="1"/>
    </xf>
    <xf numFmtId="172" fontId="7" fillId="0" borderId="26" xfId="0" applyNumberFormat="1" applyFont="1" applyFill="1" applyBorder="1" applyAlignment="1">
      <alignment horizontal="left" vertical="top"/>
    </xf>
    <xf numFmtId="14" fontId="7" fillId="0" borderId="26" xfId="2" applyNumberFormat="1" applyFont="1" applyFill="1" applyBorder="1" applyAlignment="1">
      <alignment horizontal="center" vertical="top"/>
    </xf>
    <xf numFmtId="20" fontId="7" fillId="0" borderId="26" xfId="2" applyNumberFormat="1" applyFont="1" applyFill="1" applyBorder="1" applyAlignment="1">
      <alignment horizontal="center" vertical="top"/>
    </xf>
    <xf numFmtId="1" fontId="7" fillId="0" borderId="26" xfId="2" applyNumberFormat="1" applyFont="1" applyBorder="1" applyAlignment="1">
      <alignment horizontal="center" vertical="top" wrapText="1"/>
    </xf>
    <xf numFmtId="2" fontId="7" fillId="0" borderId="26" xfId="2" applyNumberFormat="1" applyFont="1" applyBorder="1" applyAlignment="1">
      <alignment horizontal="center" vertical="top" wrapText="1"/>
    </xf>
    <xf numFmtId="0" fontId="7" fillId="0" borderId="26" xfId="2" applyFont="1" applyBorder="1" applyAlignment="1">
      <alignment horizontal="center" vertical="top" wrapText="1"/>
    </xf>
    <xf numFmtId="4" fontId="7" fillId="0" borderId="26" xfId="2" applyNumberFormat="1" applyFont="1" applyFill="1" applyBorder="1" applyAlignment="1">
      <alignment horizontal="center" vertical="top" wrapText="1"/>
    </xf>
    <xf numFmtId="0" fontId="7" fillId="0" borderId="26" xfId="2" applyFont="1" applyFill="1" applyBorder="1" applyAlignment="1">
      <alignment horizontal="right" vertical="center" wrapText="1"/>
    </xf>
    <xf numFmtId="0" fontId="33" fillId="0" borderId="26" xfId="0" applyFont="1" applyBorder="1" applyAlignment="1">
      <alignment horizontal="center" vertical="center"/>
    </xf>
    <xf numFmtId="175" fontId="7" fillId="0" borderId="26" xfId="2" applyNumberFormat="1" applyFont="1" applyBorder="1" applyAlignment="1">
      <alignment horizontal="center" vertical="top" wrapText="1"/>
    </xf>
    <xf numFmtId="0" fontId="7" fillId="0" borderId="26" xfId="2" applyFont="1" applyFill="1" applyBorder="1" applyAlignment="1">
      <alignment horizontal="center" vertical="top" wrapText="1"/>
    </xf>
    <xf numFmtId="0" fontId="7" fillId="0" borderId="26" xfId="2" applyFont="1" applyFill="1" applyBorder="1" applyAlignment="1">
      <alignment horizontal="right" vertical="top" wrapText="1"/>
    </xf>
    <xf numFmtId="0" fontId="7" fillId="0" borderId="26" xfId="2" applyFont="1" applyFill="1" applyBorder="1" applyAlignment="1">
      <alignment vertical="top" wrapText="1"/>
    </xf>
    <xf numFmtId="0" fontId="41" fillId="0" borderId="26" xfId="0" applyFont="1" applyFill="1" applyBorder="1" applyAlignment="1">
      <alignment horizontal="center" vertical="top"/>
    </xf>
    <xf numFmtId="0" fontId="41" fillId="3" borderId="26" xfId="0" applyFont="1" applyFill="1" applyBorder="1" applyAlignment="1">
      <alignment horizontal="center" vertical="top"/>
    </xf>
    <xf numFmtId="0" fontId="41" fillId="3" borderId="26" xfId="0" applyFont="1" applyFill="1" applyBorder="1" applyAlignment="1">
      <alignment horizontal="center" vertical="top" wrapText="1"/>
    </xf>
    <xf numFmtId="2" fontId="7" fillId="3" borderId="26" xfId="2" applyNumberFormat="1" applyFont="1" applyFill="1" applyBorder="1" applyAlignment="1">
      <alignment horizontal="center" vertical="top" wrapText="1"/>
    </xf>
    <xf numFmtId="0" fontId="7" fillId="3" borderId="26" xfId="2" applyFont="1" applyFill="1" applyBorder="1" applyAlignment="1">
      <alignment horizontal="center" vertical="top" wrapText="1"/>
    </xf>
    <xf numFmtId="0" fontId="7" fillId="0" borderId="43" xfId="2" applyFont="1" applyFill="1" applyBorder="1" applyAlignment="1">
      <alignment horizontal="right" vertical="top" wrapText="1"/>
    </xf>
    <xf numFmtId="0" fontId="7" fillId="0" borderId="43" xfId="2" applyFont="1" applyFill="1" applyBorder="1" applyAlignment="1">
      <alignment horizontal="left" vertical="top"/>
    </xf>
    <xf numFmtId="14" fontId="7" fillId="0" borderId="43" xfId="2" applyNumberFormat="1" applyFont="1" applyFill="1" applyBorder="1" applyAlignment="1">
      <alignment horizontal="center" vertical="top"/>
    </xf>
    <xf numFmtId="20" fontId="7" fillId="0" borderId="43" xfId="2" applyNumberFormat="1" applyFont="1" applyFill="1" applyBorder="1" applyAlignment="1">
      <alignment horizontal="center" vertical="top"/>
    </xf>
    <xf numFmtId="0" fontId="7" fillId="0" borderId="43" xfId="2" applyFont="1" applyFill="1" applyBorder="1" applyAlignment="1">
      <alignment horizontal="center" vertical="top"/>
    </xf>
    <xf numFmtId="0" fontId="7" fillId="0" borderId="43" xfId="2" applyFont="1" applyFill="1" applyBorder="1" applyAlignment="1">
      <alignment horizontal="center" vertical="center"/>
    </xf>
    <xf numFmtId="1" fontId="7" fillId="0" borderId="43" xfId="2" applyNumberFormat="1" applyFont="1" applyFill="1" applyBorder="1" applyAlignment="1">
      <alignment horizontal="center" vertical="center"/>
    </xf>
    <xf numFmtId="1" fontId="7" fillId="0" borderId="43" xfId="2" applyNumberFormat="1" applyFont="1" applyBorder="1" applyAlignment="1">
      <alignment horizontal="center" vertical="top" wrapText="1"/>
    </xf>
    <xf numFmtId="2" fontId="7" fillId="0" borderId="43" xfId="2" applyNumberFormat="1" applyFont="1" applyBorder="1" applyAlignment="1">
      <alignment horizontal="center" vertical="top" wrapText="1"/>
    </xf>
    <xf numFmtId="0" fontId="41" fillId="0" borderId="43" xfId="0" applyFont="1" applyFill="1" applyBorder="1" applyAlignment="1">
      <alignment horizontal="center" vertical="top"/>
    </xf>
    <xf numFmtId="0" fontId="7" fillId="0" borderId="43" xfId="2" applyFont="1" applyFill="1" applyBorder="1" applyAlignment="1">
      <alignment horizontal="center" vertical="top" wrapText="1"/>
    </xf>
    <xf numFmtId="0" fontId="41" fillId="3" borderId="43" xfId="0" applyFont="1" applyFill="1" applyBorder="1" applyAlignment="1">
      <alignment horizontal="center" vertical="top"/>
    </xf>
    <xf numFmtId="0" fontId="41" fillId="3" borderId="43" xfId="0" applyFont="1" applyFill="1" applyBorder="1" applyAlignment="1">
      <alignment horizontal="center" vertical="top" wrapText="1"/>
    </xf>
    <xf numFmtId="0" fontId="7" fillId="0" borderId="43" xfId="2" applyFont="1" applyBorder="1" applyAlignment="1">
      <alignment vertical="center" wrapText="1"/>
    </xf>
    <xf numFmtId="0" fontId="7" fillId="0" borderId="43" xfId="2" applyFont="1" applyBorder="1" applyAlignment="1">
      <alignment horizontal="center" vertical="top" wrapText="1"/>
    </xf>
    <xf numFmtId="2" fontId="7" fillId="3" borderId="43" xfId="2" applyNumberFormat="1" applyFont="1" applyFill="1" applyBorder="1" applyAlignment="1">
      <alignment horizontal="center" vertical="top" wrapText="1"/>
    </xf>
    <xf numFmtId="0" fontId="7" fillId="3" borderId="43" xfId="2" applyFont="1" applyFill="1" applyBorder="1" applyAlignment="1">
      <alignment horizontal="center" vertical="top" wrapText="1"/>
    </xf>
    <xf numFmtId="1" fontId="7" fillId="0" borderId="18" xfId="2" applyNumberFormat="1" applyFont="1" applyBorder="1" applyAlignment="1">
      <alignment horizontal="center" vertical="center" wrapText="1"/>
    </xf>
    <xf numFmtId="2" fontId="7" fillId="0" borderId="18" xfId="2" applyNumberFormat="1" applyFont="1" applyBorder="1" applyAlignment="1">
      <alignment horizontal="center" vertical="center" wrapText="1"/>
    </xf>
    <xf numFmtId="0" fontId="22" fillId="0" borderId="18" xfId="2" applyFont="1" applyFill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22" fillId="0" borderId="18" xfId="2" applyFont="1" applyBorder="1" applyAlignment="1">
      <alignment vertical="center" wrapText="1"/>
    </xf>
    <xf numFmtId="4" fontId="7" fillId="0" borderId="18" xfId="2" applyNumberFormat="1" applyFont="1" applyBorder="1" applyAlignment="1">
      <alignment horizontal="right" vertical="center" wrapText="1"/>
    </xf>
    <xf numFmtId="0" fontId="41" fillId="0" borderId="20" xfId="0" applyFont="1" applyBorder="1"/>
    <xf numFmtId="0" fontId="20" fillId="0" borderId="0" xfId="2" applyFont="1" applyAlignment="1">
      <alignment horizontal="left"/>
    </xf>
    <xf numFmtId="0" fontId="36" fillId="2" borderId="39" xfId="2" applyFont="1" applyFill="1" applyBorder="1" applyAlignment="1">
      <alignment horizontal="center" vertical="center"/>
    </xf>
    <xf numFmtId="0" fontId="36" fillId="2" borderId="31" xfId="2" applyFont="1" applyFill="1" applyBorder="1" applyAlignment="1">
      <alignment horizontal="center" vertical="center"/>
    </xf>
    <xf numFmtId="0" fontId="36" fillId="2" borderId="54" xfId="2" applyFont="1" applyFill="1" applyBorder="1" applyAlignment="1">
      <alignment horizontal="center" vertical="center"/>
    </xf>
    <xf numFmtId="0" fontId="36" fillId="2" borderId="39" xfId="2" applyFont="1" applyFill="1" applyBorder="1" applyAlignment="1">
      <alignment horizontal="center"/>
    </xf>
    <xf numFmtId="0" fontId="36" fillId="2" borderId="54" xfId="2" applyFont="1" applyFill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0" fontId="19" fillId="0" borderId="0" xfId="2" applyFont="1" applyAlignment="1">
      <alignment horizontal="left"/>
    </xf>
    <xf numFmtId="0" fontId="7" fillId="2" borderId="23" xfId="2" applyFont="1" applyFill="1" applyBorder="1" applyAlignment="1">
      <alignment horizontal="center"/>
    </xf>
    <xf numFmtId="0" fontId="7" fillId="2" borderId="26" xfId="2" applyFont="1" applyFill="1" applyBorder="1" applyAlignment="1">
      <alignment horizontal="center"/>
    </xf>
    <xf numFmtId="0" fontId="27" fillId="2" borderId="39" xfId="2" applyFont="1" applyFill="1" applyBorder="1" applyAlignment="1">
      <alignment horizontal="center"/>
    </xf>
    <xf numFmtId="0" fontId="27" fillId="2" borderId="31" xfId="2" applyFont="1" applyFill="1" applyBorder="1" applyAlignment="1">
      <alignment horizontal="center"/>
    </xf>
    <xf numFmtId="0" fontId="27" fillId="2" borderId="16" xfId="2" applyFont="1" applyFill="1" applyBorder="1" applyAlignment="1">
      <alignment horizontal="center"/>
    </xf>
    <xf numFmtId="0" fontId="27" fillId="2" borderId="44" xfId="2" applyFont="1" applyFill="1" applyBorder="1" applyAlignment="1">
      <alignment horizontal="center"/>
    </xf>
    <xf numFmtId="0" fontId="27" fillId="2" borderId="45" xfId="2" applyFont="1" applyFill="1" applyBorder="1" applyAlignment="1">
      <alignment horizontal="center"/>
    </xf>
    <xf numFmtId="0" fontId="27" fillId="2" borderId="0" xfId="2" applyFont="1" applyFill="1" applyBorder="1" applyAlignment="1">
      <alignment horizontal="center"/>
    </xf>
    <xf numFmtId="0" fontId="5" fillId="2" borderId="39" xfId="2" applyFont="1" applyFill="1" applyBorder="1" applyAlignment="1">
      <alignment horizontal="center"/>
    </xf>
    <xf numFmtId="0" fontId="31" fillId="0" borderId="0" xfId="2" applyFont="1" applyAlignment="1">
      <alignment horizontal="left"/>
    </xf>
    <xf numFmtId="0" fontId="5" fillId="2" borderId="31" xfId="2" applyFont="1" applyFill="1" applyBorder="1" applyAlignment="1">
      <alignment horizontal="center"/>
    </xf>
    <xf numFmtId="0" fontId="5" fillId="2" borderId="16" xfId="2" applyFont="1" applyFill="1" applyBorder="1" applyAlignment="1">
      <alignment horizontal="center"/>
    </xf>
    <xf numFmtId="0" fontId="5" fillId="2" borderId="44" xfId="2" applyFont="1" applyFill="1" applyBorder="1" applyAlignment="1">
      <alignment horizontal="center"/>
    </xf>
    <xf numFmtId="0" fontId="5" fillId="2" borderId="45" xfId="2" applyFont="1" applyFill="1" applyBorder="1" applyAlignment="1">
      <alignment horizontal="center"/>
    </xf>
    <xf numFmtId="0" fontId="7" fillId="5" borderId="26" xfId="2" applyFont="1" applyFill="1" applyBorder="1" applyAlignment="1">
      <alignment horizontal="center" vertical="center"/>
    </xf>
    <xf numFmtId="0" fontId="7" fillId="3" borderId="39" xfId="2" applyFont="1" applyFill="1" applyBorder="1" applyAlignment="1">
      <alignment horizontal="center" vertical="center"/>
    </xf>
    <xf numFmtId="0" fontId="7" fillId="3" borderId="31" xfId="2" applyFont="1" applyFill="1" applyBorder="1" applyAlignment="1">
      <alignment horizontal="center" vertical="center"/>
    </xf>
    <xf numFmtId="0" fontId="7" fillId="3" borderId="54" xfId="2" applyFont="1" applyFill="1" applyBorder="1" applyAlignment="1">
      <alignment horizontal="center" vertical="center"/>
    </xf>
    <xf numFmtId="0" fontId="7" fillId="3" borderId="55" xfId="2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0" borderId="54" xfId="2" applyFont="1" applyFill="1" applyBorder="1" applyAlignment="1">
      <alignment horizontal="center" vertical="center" wrapText="1"/>
    </xf>
    <xf numFmtId="0" fontId="20" fillId="0" borderId="0" xfId="2" applyFont="1" applyAlignment="1">
      <alignment horizontal="left"/>
    </xf>
    <xf numFmtId="0" fontId="35" fillId="7" borderId="40" xfId="2" applyFont="1" applyFill="1" applyBorder="1" applyAlignment="1">
      <alignment horizontal="center"/>
    </xf>
    <xf numFmtId="0" fontId="35" fillId="7" borderId="41" xfId="2" applyFont="1" applyFill="1" applyBorder="1" applyAlignment="1">
      <alignment horizontal="center"/>
    </xf>
    <xf numFmtId="0" fontId="35" fillId="7" borderId="42" xfId="2" applyFont="1" applyFill="1" applyBorder="1" applyAlignment="1">
      <alignment horizontal="center"/>
    </xf>
    <xf numFmtId="0" fontId="6" fillId="0" borderId="52" xfId="2" applyFont="1" applyBorder="1" applyAlignment="1">
      <alignment horizontal="center"/>
    </xf>
    <xf numFmtId="0" fontId="6" fillId="0" borderId="0" xfId="2" applyFont="1" applyBorder="1" applyAlignment="1">
      <alignment horizontal="center"/>
    </xf>
    <xf numFmtId="0" fontId="6" fillId="0" borderId="21" xfId="2" applyFont="1" applyBorder="1" applyAlignment="1">
      <alignment horizontal="center"/>
    </xf>
    <xf numFmtId="0" fontId="36" fillId="2" borderId="39" xfId="2" applyFont="1" applyFill="1" applyBorder="1" applyAlignment="1">
      <alignment horizontal="center" vertical="center"/>
    </xf>
    <xf numFmtId="0" fontId="36" fillId="2" borderId="31" xfId="2" applyFont="1" applyFill="1" applyBorder="1" applyAlignment="1">
      <alignment horizontal="center" vertical="center"/>
    </xf>
    <xf numFmtId="0" fontId="36" fillId="2" borderId="54" xfId="2" applyFont="1" applyFill="1" applyBorder="1" applyAlignment="1">
      <alignment horizontal="center" vertical="center"/>
    </xf>
    <xf numFmtId="0" fontId="35" fillId="2" borderId="39" xfId="2" applyFont="1" applyFill="1" applyBorder="1" applyAlignment="1">
      <alignment horizontal="center" vertical="center"/>
    </xf>
    <xf numFmtId="0" fontId="35" fillId="2" borderId="31" xfId="2" applyFont="1" applyFill="1" applyBorder="1" applyAlignment="1">
      <alignment horizontal="center" vertical="center"/>
    </xf>
    <xf numFmtId="0" fontId="35" fillId="2" borderId="54" xfId="2" applyFont="1" applyFill="1" applyBorder="1" applyAlignment="1">
      <alignment horizontal="center" vertical="center"/>
    </xf>
    <xf numFmtId="0" fontId="5" fillId="2" borderId="40" xfId="2" applyFont="1" applyFill="1" applyBorder="1" applyAlignment="1">
      <alignment horizontal="center"/>
    </xf>
    <xf numFmtId="0" fontId="5" fillId="2" borderId="41" xfId="2" applyFont="1" applyFill="1" applyBorder="1" applyAlignment="1">
      <alignment horizontal="center"/>
    </xf>
    <xf numFmtId="0" fontId="5" fillId="2" borderId="42" xfId="2" applyFont="1" applyFill="1" applyBorder="1" applyAlignment="1">
      <alignment horizontal="center"/>
    </xf>
    <xf numFmtId="0" fontId="36" fillId="2" borderId="39" xfId="2" applyFont="1" applyFill="1" applyBorder="1" applyAlignment="1">
      <alignment horizontal="center"/>
    </xf>
    <xf numFmtId="0" fontId="36" fillId="5" borderId="40" xfId="2" applyFont="1" applyFill="1" applyBorder="1" applyAlignment="1">
      <alignment horizontal="center"/>
    </xf>
    <xf numFmtId="0" fontId="36" fillId="5" borderId="41" xfId="2" applyFont="1" applyFill="1" applyBorder="1" applyAlignment="1">
      <alignment horizontal="center"/>
    </xf>
    <xf numFmtId="0" fontId="36" fillId="5" borderId="42" xfId="2" applyFont="1" applyFill="1" applyBorder="1" applyAlignment="1">
      <alignment horizontal="center"/>
    </xf>
    <xf numFmtId="0" fontId="36" fillId="2" borderId="54" xfId="2" applyFont="1" applyFill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7" fillId="0" borderId="1" xfId="2" applyFont="1" applyBorder="1" applyAlignment="1">
      <alignment horizontal="center"/>
    </xf>
    <xf numFmtId="0" fontId="8" fillId="0" borderId="4" xfId="2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6" fillId="0" borderId="1" xfId="2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4" fillId="2" borderId="2" xfId="2" applyFont="1" applyFill="1" applyBorder="1" applyAlignment="1">
      <alignment horizontal="center"/>
    </xf>
    <xf numFmtId="0" fontId="19" fillId="0" borderId="0" xfId="2" applyFont="1" applyAlignment="1">
      <alignment horizontal="left"/>
    </xf>
    <xf numFmtId="0" fontId="12" fillId="4" borderId="14" xfId="2" applyFont="1" applyFill="1" applyBorder="1" applyAlignment="1">
      <alignment horizontal="center"/>
    </xf>
    <xf numFmtId="0" fontId="12" fillId="4" borderId="15" xfId="2" applyFont="1" applyFill="1" applyBorder="1" applyAlignment="1">
      <alignment horizontal="center"/>
    </xf>
    <xf numFmtId="0" fontId="12" fillId="4" borderId="16" xfId="2" applyFont="1" applyFill="1" applyBorder="1" applyAlignment="1">
      <alignment horizontal="center"/>
    </xf>
    <xf numFmtId="0" fontId="12" fillId="4" borderId="17" xfId="2" applyFont="1" applyFill="1" applyBorder="1" applyAlignment="1">
      <alignment horizontal="center"/>
    </xf>
    <xf numFmtId="0" fontId="12" fillId="4" borderId="18" xfId="2" applyFont="1" applyFill="1" applyBorder="1" applyAlignment="1">
      <alignment horizontal="center"/>
    </xf>
    <xf numFmtId="0" fontId="12" fillId="4" borderId="19" xfId="2" applyFont="1" applyFill="1" applyBorder="1" applyAlignment="1">
      <alignment horizontal="center"/>
    </xf>
    <xf numFmtId="0" fontId="12" fillId="4" borderId="20" xfId="2" applyFont="1" applyFill="1" applyBorder="1" applyAlignment="1">
      <alignment horizontal="center"/>
    </xf>
    <xf numFmtId="0" fontId="7" fillId="2" borderId="23" xfId="2" applyFont="1" applyFill="1" applyBorder="1" applyAlignment="1">
      <alignment horizontal="center"/>
    </xf>
    <xf numFmtId="0" fontId="7" fillId="2" borderId="26" xfId="2" applyFont="1" applyFill="1" applyBorder="1" applyAlignment="1">
      <alignment horizontal="center"/>
    </xf>
    <xf numFmtId="0" fontId="23" fillId="5" borderId="33" xfId="0" applyFont="1" applyFill="1" applyBorder="1" applyAlignment="1">
      <alignment horizontal="center"/>
    </xf>
    <xf numFmtId="0" fontId="23" fillId="5" borderId="34" xfId="0" applyFont="1" applyFill="1" applyBorder="1" applyAlignment="1">
      <alignment horizontal="center"/>
    </xf>
    <xf numFmtId="0" fontId="23" fillId="5" borderId="35" xfId="0" applyFont="1" applyFill="1" applyBorder="1" applyAlignment="1">
      <alignment horizontal="center"/>
    </xf>
    <xf numFmtId="0" fontId="7" fillId="2" borderId="22" xfId="2" applyFont="1" applyFill="1" applyBorder="1" applyAlignment="1">
      <alignment horizontal="left"/>
    </xf>
    <xf numFmtId="0" fontId="7" fillId="2" borderId="25" xfId="2" applyFont="1" applyFill="1" applyBorder="1" applyAlignment="1">
      <alignment horizontal="left"/>
    </xf>
    <xf numFmtId="0" fontId="27" fillId="2" borderId="39" xfId="2" applyFont="1" applyFill="1" applyBorder="1" applyAlignment="1">
      <alignment horizontal="center"/>
    </xf>
    <xf numFmtId="0" fontId="27" fillId="2" borderId="31" xfId="2" applyFont="1" applyFill="1" applyBorder="1" applyAlignment="1">
      <alignment horizontal="center"/>
    </xf>
    <xf numFmtId="0" fontId="27" fillId="2" borderId="16" xfId="2" applyFont="1" applyFill="1" applyBorder="1" applyAlignment="1">
      <alignment horizontal="center"/>
    </xf>
    <xf numFmtId="0" fontId="27" fillId="2" borderId="44" xfId="2" applyFont="1" applyFill="1" applyBorder="1" applyAlignment="1">
      <alignment horizontal="center"/>
    </xf>
    <xf numFmtId="0" fontId="27" fillId="2" borderId="45" xfId="2" applyFont="1" applyFill="1" applyBorder="1" applyAlignment="1">
      <alignment horizontal="center"/>
    </xf>
    <xf numFmtId="0" fontId="28" fillId="2" borderId="40" xfId="2" applyFont="1" applyFill="1" applyBorder="1" applyAlignment="1">
      <alignment horizontal="center"/>
    </xf>
    <xf numFmtId="0" fontId="28" fillId="2" borderId="41" xfId="2" applyFont="1" applyFill="1" applyBorder="1" applyAlignment="1">
      <alignment horizontal="center"/>
    </xf>
    <xf numFmtId="0" fontId="28" fillId="2" borderId="42" xfId="2" applyFont="1" applyFill="1" applyBorder="1" applyAlignment="1">
      <alignment horizontal="center"/>
    </xf>
    <xf numFmtId="0" fontId="17" fillId="5" borderId="52" xfId="2" applyFont="1" applyFill="1" applyBorder="1" applyAlignment="1">
      <alignment horizontal="center"/>
    </xf>
    <xf numFmtId="0" fontId="17" fillId="5" borderId="53" xfId="2" applyFont="1" applyFill="1" applyBorder="1" applyAlignment="1">
      <alignment horizontal="center"/>
    </xf>
    <xf numFmtId="0" fontId="27" fillId="2" borderId="0" xfId="2" applyFont="1" applyFill="1" applyBorder="1" applyAlignment="1">
      <alignment horizontal="center"/>
    </xf>
    <xf numFmtId="0" fontId="32" fillId="2" borderId="40" xfId="2" applyFont="1" applyFill="1" applyBorder="1" applyAlignment="1">
      <alignment horizontal="center"/>
    </xf>
    <xf numFmtId="0" fontId="32" fillId="2" borderId="41" xfId="2" applyFont="1" applyFill="1" applyBorder="1" applyAlignment="1">
      <alignment horizontal="center"/>
    </xf>
    <xf numFmtId="0" fontId="32" fillId="2" borderId="42" xfId="2" applyFont="1" applyFill="1" applyBorder="1" applyAlignment="1">
      <alignment horizontal="center"/>
    </xf>
    <xf numFmtId="0" fontId="5" fillId="2" borderId="39" xfId="2" applyFont="1" applyFill="1" applyBorder="1" applyAlignment="1">
      <alignment horizontal="center"/>
    </xf>
    <xf numFmtId="0" fontId="31" fillId="0" borderId="0" xfId="2" applyFont="1" applyAlignment="1">
      <alignment horizontal="left"/>
    </xf>
    <xf numFmtId="0" fontId="16" fillId="6" borderId="14" xfId="2" applyFont="1" applyFill="1" applyBorder="1" applyAlignment="1">
      <alignment horizontal="center"/>
    </xf>
    <xf numFmtId="0" fontId="16" fillId="6" borderId="15" xfId="2" applyFont="1" applyFill="1" applyBorder="1" applyAlignment="1">
      <alignment horizontal="center"/>
    </xf>
    <xf numFmtId="0" fontId="16" fillId="6" borderId="16" xfId="2" applyFont="1" applyFill="1" applyBorder="1" applyAlignment="1">
      <alignment horizontal="center"/>
    </xf>
    <xf numFmtId="0" fontId="16" fillId="6" borderId="17" xfId="2" applyFont="1" applyFill="1" applyBorder="1" applyAlignment="1">
      <alignment horizontal="center"/>
    </xf>
    <xf numFmtId="0" fontId="16" fillId="6" borderId="18" xfId="2" applyFont="1" applyFill="1" applyBorder="1" applyAlignment="1">
      <alignment horizontal="center"/>
    </xf>
    <xf numFmtId="0" fontId="16" fillId="6" borderId="19" xfId="2" applyFont="1" applyFill="1" applyBorder="1" applyAlignment="1">
      <alignment horizontal="center"/>
    </xf>
    <xf numFmtId="0" fontId="16" fillId="6" borderId="20" xfId="2" applyFont="1" applyFill="1" applyBorder="1" applyAlignment="1">
      <alignment horizontal="center"/>
    </xf>
    <xf numFmtId="0" fontId="7" fillId="5" borderId="47" xfId="2" applyFont="1" applyFill="1" applyBorder="1" applyAlignment="1">
      <alignment horizontal="center"/>
    </xf>
    <xf numFmtId="0" fontId="7" fillId="5" borderId="11" xfId="2" applyFont="1" applyFill="1" applyBorder="1" applyAlignment="1">
      <alignment horizontal="center"/>
    </xf>
    <xf numFmtId="0" fontId="7" fillId="5" borderId="49" xfId="2" applyFont="1" applyFill="1" applyBorder="1" applyAlignment="1">
      <alignment horizontal="center"/>
    </xf>
    <xf numFmtId="0" fontId="5" fillId="2" borderId="31" xfId="2" applyFont="1" applyFill="1" applyBorder="1" applyAlignment="1">
      <alignment horizontal="center"/>
    </xf>
    <xf numFmtId="0" fontId="5" fillId="2" borderId="16" xfId="2" applyFont="1" applyFill="1" applyBorder="1" applyAlignment="1">
      <alignment horizontal="center"/>
    </xf>
    <xf numFmtId="0" fontId="5" fillId="2" borderId="44" xfId="2" applyFont="1" applyFill="1" applyBorder="1" applyAlignment="1">
      <alignment horizontal="center"/>
    </xf>
    <xf numFmtId="0" fontId="5" fillId="2" borderId="0" xfId="2" applyFont="1" applyFill="1" applyBorder="1" applyAlignment="1">
      <alignment horizontal="center"/>
    </xf>
    <xf numFmtId="0" fontId="5" fillId="2" borderId="45" xfId="2" applyFont="1" applyFill="1" applyBorder="1" applyAlignment="1">
      <alignment horizontal="center"/>
    </xf>
    <xf numFmtId="0" fontId="7" fillId="5" borderId="26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/>
    </xf>
    <xf numFmtId="0" fontId="7" fillId="3" borderId="40" xfId="2" applyFont="1" applyFill="1" applyBorder="1" applyAlignment="1">
      <alignment horizontal="center" vertical="center"/>
    </xf>
    <xf numFmtId="0" fontId="7" fillId="3" borderId="41" xfId="2" applyFont="1" applyFill="1" applyBorder="1" applyAlignment="1">
      <alignment horizontal="center" vertical="center"/>
    </xf>
    <xf numFmtId="0" fontId="7" fillId="3" borderId="42" xfId="2" applyFont="1" applyFill="1" applyBorder="1" applyAlignment="1">
      <alignment horizontal="center" vertical="center"/>
    </xf>
    <xf numFmtId="0" fontId="7" fillId="3" borderId="39" xfId="2" applyFont="1" applyFill="1" applyBorder="1" applyAlignment="1">
      <alignment horizontal="center" vertical="center"/>
    </xf>
    <xf numFmtId="0" fontId="7" fillId="3" borderId="31" xfId="2" applyFont="1" applyFill="1" applyBorder="1" applyAlignment="1">
      <alignment horizontal="center" vertical="center"/>
    </xf>
    <xf numFmtId="0" fontId="7" fillId="3" borderId="54" xfId="2" applyFont="1" applyFill="1" applyBorder="1" applyAlignment="1">
      <alignment horizontal="center" vertical="center"/>
    </xf>
    <xf numFmtId="0" fontId="7" fillId="3" borderId="51" xfId="2" applyFont="1" applyFill="1" applyBorder="1" applyAlignment="1">
      <alignment horizontal="center" vertical="center"/>
    </xf>
    <xf numFmtId="0" fontId="7" fillId="3" borderId="55" xfId="2" applyFont="1" applyFill="1" applyBorder="1" applyAlignment="1">
      <alignment horizontal="center" vertical="center"/>
    </xf>
    <xf numFmtId="0" fontId="40" fillId="5" borderId="51" xfId="0" applyFont="1" applyFill="1" applyBorder="1" applyAlignment="1">
      <alignment horizontal="center"/>
    </xf>
    <xf numFmtId="0" fontId="40" fillId="5" borderId="41" xfId="0" applyFont="1" applyFill="1" applyBorder="1" applyAlignment="1">
      <alignment horizontal="center"/>
    </xf>
    <xf numFmtId="0" fontId="40" fillId="5" borderId="42" xfId="0" applyFont="1" applyFill="1" applyBorder="1" applyAlignment="1">
      <alignment horizontal="center"/>
    </xf>
    <xf numFmtId="0" fontId="16" fillId="6" borderId="62" xfId="2" applyFont="1" applyFill="1" applyBorder="1" applyAlignment="1">
      <alignment horizontal="center"/>
    </xf>
    <xf numFmtId="0" fontId="16" fillId="6" borderId="60" xfId="2" applyFont="1" applyFill="1" applyBorder="1" applyAlignment="1">
      <alignment horizontal="center"/>
    </xf>
    <xf numFmtId="0" fontId="16" fillId="6" borderId="61" xfId="2" applyFont="1" applyFill="1" applyBorder="1" applyAlignment="1">
      <alignment horizontal="center"/>
    </xf>
    <xf numFmtId="0" fontId="7" fillId="3" borderId="16" xfId="2" applyFont="1" applyFill="1" applyBorder="1" applyAlignment="1">
      <alignment horizontal="center" vertical="center"/>
    </xf>
    <xf numFmtId="0" fontId="7" fillId="3" borderId="44" xfId="2" applyFont="1" applyFill="1" applyBorder="1" applyAlignment="1">
      <alignment horizontal="center" vertical="center"/>
    </xf>
    <xf numFmtId="0" fontId="7" fillId="3" borderId="53" xfId="2" applyFont="1" applyFill="1" applyBorder="1" applyAlignment="1">
      <alignment horizontal="center" vertical="center"/>
    </xf>
    <xf numFmtId="0" fontId="29" fillId="3" borderId="39" xfId="0" applyFont="1" applyFill="1" applyBorder="1" applyAlignment="1">
      <alignment horizontal="center" vertical="center"/>
    </xf>
    <xf numFmtId="0" fontId="29" fillId="3" borderId="31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41" fillId="5" borderId="17" xfId="0" applyFont="1" applyFill="1" applyBorder="1" applyAlignment="1">
      <alignment horizontal="center"/>
    </xf>
    <xf numFmtId="0" fontId="41" fillId="5" borderId="18" xfId="0" applyFont="1" applyFill="1" applyBorder="1" applyAlignment="1">
      <alignment horizontal="center"/>
    </xf>
    <xf numFmtId="0" fontId="7" fillId="0" borderId="16" xfId="2" applyFont="1" applyBorder="1" applyAlignment="1">
      <alignment horizontal="center" vertical="center" wrapText="1"/>
    </xf>
    <xf numFmtId="0" fontId="7" fillId="0" borderId="44" xfId="2" applyFont="1" applyBorder="1" applyAlignment="1">
      <alignment horizontal="center" vertical="center" wrapText="1"/>
    </xf>
    <xf numFmtId="0" fontId="7" fillId="0" borderId="53" xfId="2" applyFont="1" applyBorder="1" applyAlignment="1">
      <alignment horizontal="center" vertical="center" wrapText="1"/>
    </xf>
    <xf numFmtId="0" fontId="7" fillId="0" borderId="39" xfId="2" applyFont="1" applyBorder="1" applyAlignment="1">
      <alignment horizontal="center" vertical="center" wrapText="1"/>
    </xf>
    <xf numFmtId="0" fontId="7" fillId="0" borderId="31" xfId="2" applyFont="1" applyBorder="1" applyAlignment="1">
      <alignment horizontal="center" vertical="center" wrapText="1"/>
    </xf>
    <xf numFmtId="0" fontId="7" fillId="0" borderId="54" xfId="2" applyFont="1" applyBorder="1" applyAlignment="1">
      <alignment horizontal="center" vertical="center" wrapText="1"/>
    </xf>
    <xf numFmtId="0" fontId="7" fillId="0" borderId="63" xfId="2" applyFont="1" applyBorder="1" applyAlignment="1">
      <alignment horizontal="center" vertical="center" wrapText="1"/>
    </xf>
    <xf numFmtId="0" fontId="7" fillId="0" borderId="39" xfId="2" applyFont="1" applyBorder="1" applyAlignment="1">
      <alignment vertical="center" wrapText="1"/>
    </xf>
    <xf numFmtId="0" fontId="7" fillId="0" borderId="31" xfId="2" applyFont="1" applyBorder="1" applyAlignment="1">
      <alignment vertical="center" wrapText="1"/>
    </xf>
    <xf numFmtId="0" fontId="7" fillId="0" borderId="54" xfId="2" applyFont="1" applyBorder="1" applyAlignment="1">
      <alignment vertical="center" wrapText="1"/>
    </xf>
    <xf numFmtId="0" fontId="7" fillId="0" borderId="14" xfId="2" applyFont="1" applyFill="1" applyBorder="1" applyAlignment="1">
      <alignment horizontal="center" vertical="center" wrapText="1"/>
    </xf>
    <xf numFmtId="0" fontId="7" fillId="0" borderId="16" xfId="2" applyFont="1" applyFill="1" applyBorder="1" applyAlignment="1">
      <alignment horizontal="center" vertical="center" wrapText="1"/>
    </xf>
    <xf numFmtId="0" fontId="7" fillId="0" borderId="51" xfId="2" applyFont="1" applyFill="1" applyBorder="1" applyAlignment="1">
      <alignment horizontal="center" vertical="center" wrapText="1"/>
    </xf>
    <xf numFmtId="0" fontId="7" fillId="0" borderId="53" xfId="2" applyFont="1" applyFill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39" xfId="2" applyFont="1" applyFill="1" applyBorder="1" applyAlignment="1">
      <alignment horizontal="center" vertical="center" wrapText="1"/>
    </xf>
    <xf numFmtId="0" fontId="7" fillId="0" borderId="31" xfId="2" applyFont="1" applyFill="1" applyBorder="1" applyAlignment="1">
      <alignment horizontal="center" vertical="center" wrapText="1"/>
    </xf>
    <xf numFmtId="0" fontId="7" fillId="0" borderId="54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 wrapText="1"/>
    </xf>
    <xf numFmtId="0" fontId="7" fillId="2" borderId="45" xfId="2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 vertical="center" wrapText="1"/>
    </xf>
    <xf numFmtId="0" fontId="31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1" fillId="0" borderId="0" xfId="2" applyFont="1" applyBorder="1" applyAlignment="1">
      <alignment horizontal="center"/>
    </xf>
    <xf numFmtId="0" fontId="11" fillId="0" borderId="52" xfId="2" applyFont="1" applyBorder="1" applyAlignment="1">
      <alignment horizontal="center"/>
    </xf>
    <xf numFmtId="0" fontId="11" fillId="0" borderId="21" xfId="2" applyFont="1" applyBorder="1" applyAlignment="1">
      <alignment horizontal="center"/>
    </xf>
    <xf numFmtId="14" fontId="17" fillId="3" borderId="26" xfId="0" applyNumberFormat="1" applyFont="1" applyFill="1" applyBorder="1" applyAlignment="1">
      <alignment horizontal="right"/>
    </xf>
    <xf numFmtId="14" fontId="17" fillId="3" borderId="43" xfId="0" applyNumberFormat="1" applyFont="1" applyFill="1" applyBorder="1" applyAlignment="1">
      <alignment horizontal="right"/>
    </xf>
    <xf numFmtId="14" fontId="29" fillId="3" borderId="26" xfId="0" applyNumberFormat="1" applyFont="1" applyFill="1" applyBorder="1" applyAlignment="1">
      <alignment horizontal="right"/>
    </xf>
    <xf numFmtId="14" fontId="29" fillId="3" borderId="26" xfId="0" applyNumberFormat="1" applyFont="1" applyFill="1" applyBorder="1" applyAlignment="1">
      <alignment horizontal="right" vertical="top"/>
    </xf>
    <xf numFmtId="14" fontId="17" fillId="3" borderId="26" xfId="0" applyNumberFormat="1" applyFont="1" applyFill="1" applyBorder="1" applyAlignment="1">
      <alignment horizontal="right" vertical="top"/>
    </xf>
    <xf numFmtId="14" fontId="17" fillId="3" borderId="26" xfId="2" applyNumberFormat="1" applyFont="1" applyFill="1" applyBorder="1" applyAlignment="1">
      <alignment horizontal="right" vertical="top"/>
    </xf>
    <xf numFmtId="14" fontId="17" fillId="3" borderId="26" xfId="2" applyNumberFormat="1" applyFont="1" applyFill="1" applyBorder="1" applyAlignment="1">
      <alignment horizontal="right" vertical="center"/>
    </xf>
    <xf numFmtId="14" fontId="17" fillId="3" borderId="43" xfId="2" applyNumberFormat="1" applyFont="1" applyFill="1" applyBorder="1" applyAlignment="1">
      <alignment horizontal="right" vertical="center"/>
    </xf>
    <xf numFmtId="14" fontId="17" fillId="3" borderId="26" xfId="2" applyNumberFormat="1" applyFont="1" applyFill="1" applyBorder="1" applyAlignment="1">
      <alignment horizontal="right"/>
    </xf>
    <xf numFmtId="14" fontId="7" fillId="3" borderId="26" xfId="0" applyNumberFormat="1" applyFont="1" applyFill="1" applyBorder="1" applyAlignment="1">
      <alignment horizontal="center"/>
    </xf>
    <xf numFmtId="14" fontId="7" fillId="3" borderId="26" xfId="2" applyNumberFormat="1" applyFont="1" applyFill="1" applyBorder="1" applyAlignment="1">
      <alignment horizontal="center" vertical="center"/>
    </xf>
    <xf numFmtId="14" fontId="33" fillId="3" borderId="26" xfId="0" applyNumberFormat="1" applyFont="1" applyFill="1" applyBorder="1" applyAlignment="1">
      <alignment horizontal="center" vertical="center"/>
    </xf>
    <xf numFmtId="14" fontId="7" fillId="3" borderId="43" xfId="2" applyNumberFormat="1" applyFont="1" applyFill="1" applyBorder="1" applyAlignment="1">
      <alignment horizontal="center" vertical="center"/>
    </xf>
    <xf numFmtId="14" fontId="7" fillId="3" borderId="55" xfId="2" applyNumberFormat="1" applyFont="1" applyFill="1" applyBorder="1" applyAlignment="1">
      <alignment horizontal="right" vertical="center" wrapText="1"/>
    </xf>
    <xf numFmtId="14" fontId="7" fillId="3" borderId="55" xfId="2" applyNumberFormat="1" applyFont="1" applyFill="1" applyBorder="1" applyAlignment="1">
      <alignment horizontal="right" vertical="center"/>
    </xf>
    <xf numFmtId="14" fontId="7" fillId="3" borderId="55" xfId="0" applyNumberFormat="1" applyFont="1" applyFill="1" applyBorder="1" applyAlignment="1">
      <alignment horizontal="right" vertical="center"/>
    </xf>
  </cellXfs>
  <cellStyles count="3">
    <cellStyle name="Milliers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3</xdr:row>
      <xdr:rowOff>190500</xdr:rowOff>
    </xdr:from>
    <xdr:to>
      <xdr:col>26</xdr:col>
      <xdr:colOff>247650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6535400" y="790575"/>
          <a:ext cx="7048500" cy="38100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BILAN  ANNUEL DES INCENDIES DE FORETS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294217</xdr:colOff>
      <xdr:row>3</xdr:row>
      <xdr:rowOff>226483</xdr:rowOff>
    </xdr:from>
    <xdr:to>
      <xdr:col>23</xdr:col>
      <xdr:colOff>243417</xdr:colOff>
      <xdr:row>6</xdr:row>
      <xdr:rowOff>89958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8761942" y="940858"/>
          <a:ext cx="12141200" cy="50165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ctr" rtl="0">
            <a:defRPr sz="1000"/>
          </a:pPr>
          <a:r>
            <a:rPr lang="fr-FR" sz="24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BILAN  FINAL DES INCENDIES (CAMPAGNE 2012)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675217</xdr:colOff>
      <xdr:row>5</xdr:row>
      <xdr:rowOff>178858</xdr:rowOff>
    </xdr:from>
    <xdr:to>
      <xdr:col>23</xdr:col>
      <xdr:colOff>624417</xdr:colOff>
      <xdr:row>7</xdr:row>
      <xdr:rowOff>232833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6009217" y="1331383"/>
          <a:ext cx="12141200" cy="50165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ctr" rtl="0">
            <a:defRPr sz="1000"/>
          </a:pPr>
          <a:r>
            <a:rPr lang="fr-FR" sz="24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BILAN  FINAL DES INCENDIES (CAMPAGNE 2013)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46567</xdr:colOff>
      <xdr:row>3</xdr:row>
      <xdr:rowOff>74083</xdr:rowOff>
    </xdr:from>
    <xdr:to>
      <xdr:col>23</xdr:col>
      <xdr:colOff>910167</xdr:colOff>
      <xdr:row>5</xdr:row>
      <xdr:rowOff>137583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9676342" y="788458"/>
          <a:ext cx="12160250" cy="50165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fr-FR" sz="24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BILAN  FINAL DES INCENDIES (CAMPAGNE 2014)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3</xdr:row>
      <xdr:rowOff>190500</xdr:rowOff>
    </xdr:from>
    <xdr:to>
      <xdr:col>24</xdr:col>
      <xdr:colOff>0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15087600" y="790575"/>
          <a:ext cx="5086350" cy="38100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fr-FR" sz="2000" b="1" i="0" strike="noStrike">
              <a:solidFill>
                <a:srgbClr val="000000"/>
              </a:solidFill>
              <a:latin typeface="Arial"/>
              <a:cs typeface="Arial"/>
            </a:rPr>
            <a:t>      BILAN  MENSUEL DES INCENDIES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3</xdr:row>
      <xdr:rowOff>190500</xdr:rowOff>
    </xdr:from>
    <xdr:to>
      <xdr:col>24</xdr:col>
      <xdr:colOff>0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5363825" y="790575"/>
          <a:ext cx="5248275" cy="38100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fr-FR" sz="2000" b="1" i="0" strike="noStrike">
              <a:solidFill>
                <a:srgbClr val="000000"/>
              </a:solidFill>
              <a:latin typeface="Arial"/>
              <a:cs typeface="Arial"/>
            </a:rPr>
            <a:t>      BILAN  MENSUEL DES INCENDIES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3</xdr:row>
      <xdr:rowOff>190500</xdr:rowOff>
    </xdr:from>
    <xdr:to>
      <xdr:col>24</xdr:col>
      <xdr:colOff>0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15135225" y="790575"/>
          <a:ext cx="5276850" cy="38100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fr-FR" sz="2000" b="1" i="0" strike="noStrike">
              <a:solidFill>
                <a:srgbClr val="000000"/>
              </a:solidFill>
              <a:latin typeface="Arial"/>
              <a:cs typeface="Arial"/>
            </a:rPr>
            <a:t>      BILAN  MENSUEL DES INCENDIES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7"/>
  <sheetViews>
    <sheetView topLeftCell="C1" zoomScale="75" zoomScaleNormal="75" workbookViewId="0">
      <selection activeCell="H12" sqref="H12:I104"/>
    </sheetView>
  </sheetViews>
  <sheetFormatPr baseColWidth="10" defaultColWidth="11.453125" defaultRowHeight="14.5" x14ac:dyDescent="0.35"/>
  <cols>
    <col min="2" max="2" width="15.7265625" customWidth="1"/>
    <col min="3" max="3" width="15.81640625" customWidth="1"/>
    <col min="4" max="4" width="52.26953125" customWidth="1"/>
    <col min="5" max="5" width="14.26953125" customWidth="1"/>
    <col min="34" max="34" width="21.54296875" customWidth="1"/>
    <col min="35" max="35" width="15.26953125" customWidth="1"/>
    <col min="36" max="36" width="15.1796875" customWidth="1"/>
  </cols>
  <sheetData>
    <row r="1" spans="1:37" ht="15.5" x14ac:dyDescent="0.35">
      <c r="A1" s="609" t="s">
        <v>0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59"/>
      <c r="AK1" s="59"/>
    </row>
    <row r="2" spans="1:37" ht="15.5" x14ac:dyDescent="0.35">
      <c r="A2" s="310" t="s">
        <v>1</v>
      </c>
      <c r="B2" s="310"/>
      <c r="C2" s="310"/>
      <c r="D2" s="579"/>
      <c r="E2" s="311"/>
      <c r="F2" s="311"/>
      <c r="G2" s="312"/>
      <c r="H2" s="310"/>
      <c r="I2" s="579"/>
      <c r="J2" s="579"/>
      <c r="K2" s="579"/>
      <c r="L2" s="579"/>
      <c r="M2" s="139"/>
      <c r="N2" s="579"/>
      <c r="O2" s="139"/>
      <c r="P2" s="139"/>
      <c r="Q2" s="139"/>
      <c r="R2" s="139"/>
      <c r="S2" s="139"/>
      <c r="T2" s="313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579"/>
      <c r="AF2" s="579"/>
      <c r="AG2" s="579"/>
      <c r="AH2" s="579"/>
      <c r="AI2" s="579"/>
      <c r="AJ2" s="59"/>
      <c r="AK2" s="59"/>
    </row>
    <row r="3" spans="1:37" ht="15.5" x14ac:dyDescent="0.35">
      <c r="A3" s="609" t="s">
        <v>2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59"/>
      <c r="AK3" s="59"/>
    </row>
    <row r="4" spans="1:37" ht="15.5" x14ac:dyDescent="0.35">
      <c r="A4" s="579"/>
      <c r="B4" s="579"/>
      <c r="C4" s="579"/>
      <c r="D4" s="579"/>
      <c r="E4" s="314"/>
      <c r="F4" s="314"/>
      <c r="G4" s="312"/>
      <c r="H4" s="579"/>
      <c r="I4" s="579"/>
      <c r="J4" s="579"/>
      <c r="K4" s="579"/>
      <c r="L4" s="579"/>
      <c r="M4" s="139"/>
      <c r="N4" s="579"/>
      <c r="O4" s="139"/>
      <c r="P4" s="139"/>
      <c r="Q4" s="139"/>
      <c r="R4" s="139"/>
      <c r="S4" s="139"/>
      <c r="T4" s="313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579"/>
      <c r="AF4" s="579"/>
      <c r="AG4" s="579"/>
      <c r="AH4" s="579"/>
      <c r="AI4" s="579"/>
      <c r="AJ4" s="59"/>
      <c r="AK4" s="59"/>
    </row>
    <row r="5" spans="1:37" ht="15.5" x14ac:dyDescent="0.35">
      <c r="A5" s="579"/>
      <c r="B5" s="579"/>
      <c r="C5" s="579"/>
      <c r="D5" s="579"/>
      <c r="E5" s="314"/>
      <c r="F5" s="314"/>
      <c r="G5" s="312"/>
      <c r="H5" s="579"/>
      <c r="I5" s="579"/>
      <c r="J5" s="579"/>
      <c r="K5" s="579"/>
      <c r="L5" s="579"/>
      <c r="M5" s="139"/>
      <c r="N5" s="579"/>
      <c r="O5" s="139"/>
      <c r="P5" s="139"/>
      <c r="Q5" s="139"/>
      <c r="R5" s="139"/>
      <c r="S5" s="139"/>
      <c r="T5" s="313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579"/>
      <c r="AF5" s="579"/>
      <c r="AG5" s="579"/>
      <c r="AH5" s="579"/>
      <c r="AI5" s="579"/>
      <c r="AJ5" s="59"/>
      <c r="AK5" s="59"/>
    </row>
    <row r="6" spans="1:37" ht="15" thickBot="1" x14ac:dyDescent="0.4">
      <c r="A6" s="137"/>
      <c r="B6" s="59"/>
      <c r="C6" s="59"/>
      <c r="D6" s="60"/>
      <c r="E6" s="315"/>
      <c r="F6" s="315"/>
      <c r="G6" s="316"/>
      <c r="H6" s="59"/>
      <c r="I6" s="59"/>
      <c r="J6" s="59"/>
      <c r="K6" s="59"/>
      <c r="L6" s="59"/>
      <c r="M6" s="62"/>
      <c r="N6" s="59"/>
      <c r="O6" s="62"/>
      <c r="P6" s="62"/>
      <c r="Q6" s="62"/>
      <c r="R6" s="62"/>
      <c r="S6" s="62"/>
      <c r="T6" s="317"/>
      <c r="U6" s="62"/>
      <c r="V6" s="62"/>
      <c r="W6" s="62"/>
      <c r="X6" s="62"/>
      <c r="Y6" s="140"/>
      <c r="Z6" s="140"/>
      <c r="AA6" s="140"/>
      <c r="AB6" s="140"/>
      <c r="AC6" s="140"/>
      <c r="AD6" s="140"/>
      <c r="AE6" s="61"/>
      <c r="AF6" s="59"/>
      <c r="AG6" s="59"/>
      <c r="AH6" s="59"/>
      <c r="AI6" s="59"/>
      <c r="AJ6" s="59"/>
      <c r="AK6" s="59"/>
    </row>
    <row r="7" spans="1:37" ht="16" thickBot="1" x14ac:dyDescent="0.4">
      <c r="A7" s="142"/>
      <c r="B7" s="62"/>
      <c r="C7" s="62"/>
      <c r="D7" s="60"/>
      <c r="E7" s="316"/>
      <c r="F7" s="316"/>
      <c r="G7" s="316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317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10" t="s">
        <v>3</v>
      </c>
      <c r="AG7" s="611"/>
      <c r="AH7" s="611"/>
      <c r="AI7" s="612"/>
      <c r="AJ7" s="59"/>
      <c r="AK7" s="59"/>
    </row>
    <row r="8" spans="1:37" ht="15" thickBot="1" x14ac:dyDescent="0.4">
      <c r="A8" s="613"/>
      <c r="B8" s="613"/>
      <c r="C8" s="613"/>
      <c r="D8" s="613"/>
      <c r="E8" s="613"/>
      <c r="F8" s="613"/>
      <c r="G8" s="613"/>
      <c r="H8" s="613"/>
      <c r="I8" s="613"/>
      <c r="J8" s="613"/>
      <c r="K8" s="613"/>
      <c r="L8" s="613"/>
      <c r="M8" s="613"/>
      <c r="N8" s="613"/>
      <c r="O8" s="613"/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3"/>
      <c r="AA8" s="613"/>
      <c r="AB8" s="613"/>
      <c r="AC8" s="613"/>
      <c r="AD8" s="613"/>
      <c r="AE8" s="613"/>
      <c r="AF8" s="613"/>
      <c r="AG8" s="613"/>
      <c r="AH8" s="614"/>
      <c r="AI8" s="615"/>
      <c r="AJ8" s="59"/>
      <c r="AK8" s="59"/>
    </row>
    <row r="9" spans="1:37" ht="15" thickBot="1" x14ac:dyDescent="0.4">
      <c r="A9" s="616" t="s">
        <v>4</v>
      </c>
      <c r="B9" s="619" t="s">
        <v>5</v>
      </c>
      <c r="C9" s="616" t="s">
        <v>6</v>
      </c>
      <c r="D9" s="580" t="s">
        <v>7</v>
      </c>
      <c r="E9" s="622" t="s">
        <v>8</v>
      </c>
      <c r="F9" s="623"/>
      <c r="G9" s="624"/>
      <c r="H9" s="625" t="s">
        <v>9</v>
      </c>
      <c r="I9" s="625"/>
      <c r="J9" s="625" t="s">
        <v>10</v>
      </c>
      <c r="K9" s="625"/>
      <c r="L9" s="625" t="s">
        <v>11</v>
      </c>
      <c r="M9" s="625"/>
      <c r="N9" s="583" t="s">
        <v>12</v>
      </c>
      <c r="O9" s="625" t="s">
        <v>13</v>
      </c>
      <c r="P9" s="625"/>
      <c r="Q9" s="625"/>
      <c r="R9" s="625"/>
      <c r="S9" s="625"/>
      <c r="T9" s="625"/>
      <c r="U9" s="625"/>
      <c r="V9" s="625"/>
      <c r="W9" s="625"/>
      <c r="X9" s="625"/>
      <c r="Y9" s="625"/>
      <c r="Z9" s="625"/>
      <c r="AA9" s="625"/>
      <c r="AB9" s="625"/>
      <c r="AC9" s="625"/>
      <c r="AD9" s="625"/>
      <c r="AE9" s="596"/>
      <c r="AF9" s="596"/>
      <c r="AG9" s="596"/>
      <c r="AH9" s="318" t="s">
        <v>14</v>
      </c>
      <c r="AI9" s="583" t="s">
        <v>15</v>
      </c>
      <c r="AJ9" s="583" t="s">
        <v>16</v>
      </c>
      <c r="AK9" s="583" t="s">
        <v>17</v>
      </c>
    </row>
    <row r="10" spans="1:37" ht="15" thickBot="1" x14ac:dyDescent="0.4">
      <c r="A10" s="617"/>
      <c r="B10" s="620"/>
      <c r="C10" s="617"/>
      <c r="D10" s="581" t="s">
        <v>18</v>
      </c>
      <c r="E10" s="596" t="s">
        <v>19</v>
      </c>
      <c r="F10" s="596" t="s">
        <v>20</v>
      </c>
      <c r="G10" s="319" t="s">
        <v>21</v>
      </c>
      <c r="H10" s="625" t="s">
        <v>22</v>
      </c>
      <c r="I10" s="625" t="s">
        <v>23</v>
      </c>
      <c r="J10" s="625" t="s">
        <v>22</v>
      </c>
      <c r="K10" s="625" t="s">
        <v>23</v>
      </c>
      <c r="L10" s="625" t="s">
        <v>22</v>
      </c>
      <c r="M10" s="625" t="s">
        <v>23</v>
      </c>
      <c r="N10" s="598"/>
      <c r="O10" s="625" t="s">
        <v>24</v>
      </c>
      <c r="P10" s="625"/>
      <c r="Q10" s="625"/>
      <c r="R10" s="625"/>
      <c r="S10" s="625"/>
      <c r="T10" s="625" t="s">
        <v>25</v>
      </c>
      <c r="U10" s="625"/>
      <c r="V10" s="625"/>
      <c r="W10" s="625"/>
      <c r="X10" s="625"/>
      <c r="Y10" s="625" t="s">
        <v>26</v>
      </c>
      <c r="Z10" s="625"/>
      <c r="AA10" s="625"/>
      <c r="AB10" s="625"/>
      <c r="AC10" s="625"/>
      <c r="AD10" s="625"/>
      <c r="AE10" s="320" t="s">
        <v>27</v>
      </c>
      <c r="AF10" s="320" t="s">
        <v>28</v>
      </c>
      <c r="AG10" s="320" t="s">
        <v>29</v>
      </c>
      <c r="AH10" s="321" t="s">
        <v>30</v>
      </c>
      <c r="AI10" s="320" t="s">
        <v>31</v>
      </c>
      <c r="AJ10" s="320" t="s">
        <v>32</v>
      </c>
      <c r="AK10" s="320" t="s">
        <v>33</v>
      </c>
    </row>
    <row r="11" spans="1:37" ht="15" thickBot="1" x14ac:dyDescent="0.4">
      <c r="A11" s="618"/>
      <c r="B11" s="621"/>
      <c r="C11" s="618"/>
      <c r="D11" s="582" t="s">
        <v>34</v>
      </c>
      <c r="E11" s="322" t="s">
        <v>35</v>
      </c>
      <c r="F11" s="323" t="s">
        <v>36</v>
      </c>
      <c r="G11" s="324" t="s">
        <v>37</v>
      </c>
      <c r="H11" s="629"/>
      <c r="I11" s="629"/>
      <c r="J11" s="629"/>
      <c r="K11" s="629"/>
      <c r="L11" s="629"/>
      <c r="M11" s="629"/>
      <c r="N11" s="584" t="s">
        <v>38</v>
      </c>
      <c r="O11" s="325" t="s">
        <v>39</v>
      </c>
      <c r="P11" s="325" t="s">
        <v>40</v>
      </c>
      <c r="Q11" s="325" t="s">
        <v>41</v>
      </c>
      <c r="R11" s="325" t="s">
        <v>42</v>
      </c>
      <c r="S11" s="325" t="s">
        <v>43</v>
      </c>
      <c r="T11" s="326" t="s">
        <v>39</v>
      </c>
      <c r="U11" s="325" t="s">
        <v>40</v>
      </c>
      <c r="V11" s="325" t="s">
        <v>41</v>
      </c>
      <c r="W11" s="325" t="s">
        <v>42</v>
      </c>
      <c r="X11" s="325" t="s">
        <v>43</v>
      </c>
      <c r="Y11" s="325" t="s">
        <v>39</v>
      </c>
      <c r="Z11" s="325" t="s">
        <v>40</v>
      </c>
      <c r="AA11" s="325" t="s">
        <v>41</v>
      </c>
      <c r="AB11" s="325" t="s">
        <v>42</v>
      </c>
      <c r="AC11" s="325" t="s">
        <v>43</v>
      </c>
      <c r="AD11" s="325" t="s">
        <v>44</v>
      </c>
      <c r="AE11" s="584"/>
      <c r="AF11" s="584"/>
      <c r="AG11" s="584" t="s">
        <v>45</v>
      </c>
      <c r="AH11" s="327" t="s">
        <v>46</v>
      </c>
      <c r="AI11" s="584" t="s">
        <v>47</v>
      </c>
      <c r="AJ11" s="584" t="s">
        <v>48</v>
      </c>
      <c r="AK11" s="328"/>
    </row>
    <row r="12" spans="1:37" x14ac:dyDescent="0.35">
      <c r="A12" s="329">
        <v>1</v>
      </c>
      <c r="B12" s="330" t="s">
        <v>49</v>
      </c>
      <c r="C12" s="330" t="s">
        <v>50</v>
      </c>
      <c r="D12" s="331" t="s">
        <v>51</v>
      </c>
      <c r="E12" s="332" t="s">
        <v>52</v>
      </c>
      <c r="F12" s="332" t="s">
        <v>53</v>
      </c>
      <c r="G12" s="333"/>
      <c r="H12" s="334">
        <v>40724</v>
      </c>
      <c r="I12" s="335">
        <v>0.60069444444444442</v>
      </c>
      <c r="J12" s="336">
        <v>40724</v>
      </c>
      <c r="K12" s="337">
        <v>0.61111111111111105</v>
      </c>
      <c r="L12" s="336">
        <v>40724</v>
      </c>
      <c r="M12" s="338">
        <v>0.83333333333333337</v>
      </c>
      <c r="N12" s="339" t="s">
        <v>54</v>
      </c>
      <c r="O12" s="329">
        <v>30</v>
      </c>
      <c r="P12" s="340"/>
      <c r="Q12" s="340"/>
      <c r="R12" s="340"/>
      <c r="S12" s="340"/>
      <c r="T12" s="341"/>
      <c r="U12" s="340"/>
      <c r="V12" s="340"/>
      <c r="W12" s="340"/>
      <c r="X12" s="340"/>
      <c r="Y12" s="329">
        <v>30</v>
      </c>
      <c r="Z12" s="340"/>
      <c r="AA12" s="340"/>
      <c r="AB12" s="340"/>
      <c r="AC12" s="340"/>
      <c r="AD12" s="329">
        <f>SUM(Y12:AC12)</f>
        <v>30</v>
      </c>
      <c r="AE12" s="340" t="s">
        <v>55</v>
      </c>
      <c r="AF12" s="340" t="s">
        <v>56</v>
      </c>
      <c r="AG12" s="342" t="s">
        <v>57</v>
      </c>
      <c r="AH12" s="342" t="s">
        <v>58</v>
      </c>
      <c r="AI12" s="343" t="s">
        <v>59</v>
      </c>
      <c r="AJ12" s="344">
        <v>2400000</v>
      </c>
      <c r="AK12" s="345" t="s">
        <v>60</v>
      </c>
    </row>
    <row r="13" spans="1:37" x14ac:dyDescent="0.35">
      <c r="A13" s="346">
        <v>2</v>
      </c>
      <c r="B13" s="347" t="s">
        <v>49</v>
      </c>
      <c r="C13" s="347" t="s">
        <v>50</v>
      </c>
      <c r="D13" s="348" t="s">
        <v>61</v>
      </c>
      <c r="E13" s="332" t="s">
        <v>52</v>
      </c>
      <c r="F13" s="332" t="s">
        <v>53</v>
      </c>
      <c r="G13" s="349">
        <v>605</v>
      </c>
      <c r="H13" s="350">
        <v>40725</v>
      </c>
      <c r="I13" s="351">
        <v>0.68055555555555547</v>
      </c>
      <c r="J13" s="334">
        <v>40725</v>
      </c>
      <c r="K13" s="352">
        <v>0.6875</v>
      </c>
      <c r="L13" s="350">
        <v>40725</v>
      </c>
      <c r="M13" s="351">
        <v>0.84027777777777779</v>
      </c>
      <c r="N13" s="353" t="s">
        <v>62</v>
      </c>
      <c r="O13" s="354">
        <v>1</v>
      </c>
      <c r="P13" s="354"/>
      <c r="Q13" s="354"/>
      <c r="R13" s="354"/>
      <c r="S13" s="354"/>
      <c r="T13" s="355"/>
      <c r="U13" s="354"/>
      <c r="V13" s="354"/>
      <c r="W13" s="354"/>
      <c r="X13" s="354"/>
      <c r="Y13" s="354">
        <v>1</v>
      </c>
      <c r="Z13" s="354"/>
      <c r="AA13" s="354"/>
      <c r="AB13" s="354"/>
      <c r="AC13" s="354"/>
      <c r="AD13" s="329">
        <f t="shared" ref="AD13:AD76" si="0">SUM(Y13:AC13)</f>
        <v>1</v>
      </c>
      <c r="AE13" s="356" t="s">
        <v>63</v>
      </c>
      <c r="AF13" s="356" t="s">
        <v>56</v>
      </c>
      <c r="AG13" s="357" t="s">
        <v>57</v>
      </c>
      <c r="AH13" s="342" t="s">
        <v>64</v>
      </c>
      <c r="AI13" s="358" t="s">
        <v>65</v>
      </c>
      <c r="AJ13" s="344">
        <v>80000</v>
      </c>
      <c r="AK13" s="359" t="s">
        <v>60</v>
      </c>
    </row>
    <row r="14" spans="1:37" x14ac:dyDescent="0.35">
      <c r="A14" s="346">
        <v>3</v>
      </c>
      <c r="B14" s="347" t="s">
        <v>49</v>
      </c>
      <c r="C14" s="347" t="s">
        <v>50</v>
      </c>
      <c r="D14" s="348" t="s">
        <v>61</v>
      </c>
      <c r="E14" s="332" t="s">
        <v>52</v>
      </c>
      <c r="F14" s="332" t="s">
        <v>53</v>
      </c>
      <c r="G14" s="349"/>
      <c r="H14" s="350">
        <v>40726</v>
      </c>
      <c r="I14" s="351">
        <v>0.35416666666666669</v>
      </c>
      <c r="J14" s="334">
        <v>40726</v>
      </c>
      <c r="K14" s="352">
        <v>0.36458333333333331</v>
      </c>
      <c r="L14" s="350">
        <v>40727</v>
      </c>
      <c r="M14" s="351">
        <v>0.375</v>
      </c>
      <c r="N14" s="360" t="s">
        <v>62</v>
      </c>
      <c r="O14" s="354">
        <v>4</v>
      </c>
      <c r="P14" s="354"/>
      <c r="Q14" s="354"/>
      <c r="R14" s="354"/>
      <c r="S14" s="354"/>
      <c r="T14" s="355"/>
      <c r="U14" s="354"/>
      <c r="V14" s="354"/>
      <c r="W14" s="354"/>
      <c r="X14" s="354"/>
      <c r="Y14" s="354">
        <v>4</v>
      </c>
      <c r="Z14" s="354"/>
      <c r="AA14" s="354"/>
      <c r="AB14" s="354"/>
      <c r="AC14" s="354"/>
      <c r="AD14" s="329">
        <f t="shared" si="0"/>
        <v>4</v>
      </c>
      <c r="AE14" s="356" t="s">
        <v>66</v>
      </c>
      <c r="AF14" s="356" t="s">
        <v>56</v>
      </c>
      <c r="AG14" s="357" t="s">
        <v>57</v>
      </c>
      <c r="AH14" s="342" t="s">
        <v>58</v>
      </c>
      <c r="AI14" s="358" t="s">
        <v>67</v>
      </c>
      <c r="AJ14" s="344">
        <v>320000</v>
      </c>
      <c r="AK14" s="359" t="s">
        <v>60</v>
      </c>
    </row>
    <row r="15" spans="1:37" x14ac:dyDescent="0.35">
      <c r="A15" s="346">
        <v>4</v>
      </c>
      <c r="B15" s="347" t="s">
        <v>68</v>
      </c>
      <c r="C15" s="347" t="s">
        <v>68</v>
      </c>
      <c r="D15" s="348" t="s">
        <v>69</v>
      </c>
      <c r="E15" s="361"/>
      <c r="F15" s="361"/>
      <c r="G15" s="349"/>
      <c r="H15" s="350">
        <v>40727</v>
      </c>
      <c r="I15" s="351">
        <v>0.40625</v>
      </c>
      <c r="J15" s="334">
        <v>40727</v>
      </c>
      <c r="K15" s="352"/>
      <c r="L15" s="350">
        <v>40727</v>
      </c>
      <c r="M15" s="351">
        <v>0.4236111111111111</v>
      </c>
      <c r="N15" s="360" t="s">
        <v>70</v>
      </c>
      <c r="O15" s="354"/>
      <c r="P15" s="354"/>
      <c r="Q15" s="354"/>
      <c r="R15" s="354"/>
      <c r="S15" s="354"/>
      <c r="T15" s="355"/>
      <c r="U15" s="354">
        <v>1</v>
      </c>
      <c r="V15" s="354"/>
      <c r="W15" s="354"/>
      <c r="X15" s="354"/>
      <c r="Y15" s="354"/>
      <c r="Z15" s="354">
        <v>1</v>
      </c>
      <c r="AA15" s="354"/>
      <c r="AB15" s="354"/>
      <c r="AC15" s="354"/>
      <c r="AD15" s="329">
        <f t="shared" si="0"/>
        <v>1</v>
      </c>
      <c r="AE15" s="356" t="s">
        <v>71</v>
      </c>
      <c r="AF15" s="356" t="s">
        <v>56</v>
      </c>
      <c r="AG15" s="362" t="s">
        <v>72</v>
      </c>
      <c r="AH15" s="362"/>
      <c r="AI15" s="356" t="s">
        <v>73</v>
      </c>
      <c r="AJ15" s="344">
        <v>78000</v>
      </c>
      <c r="AK15" s="359" t="s">
        <v>60</v>
      </c>
    </row>
    <row r="16" spans="1:37" x14ac:dyDescent="0.35">
      <c r="A16" s="346">
        <v>5</v>
      </c>
      <c r="B16" s="347" t="s">
        <v>49</v>
      </c>
      <c r="C16" s="347" t="s">
        <v>50</v>
      </c>
      <c r="D16" s="348" t="s">
        <v>61</v>
      </c>
      <c r="E16" s="332" t="s">
        <v>74</v>
      </c>
      <c r="F16" s="332" t="s">
        <v>75</v>
      </c>
      <c r="G16" s="349"/>
      <c r="H16" s="350">
        <v>40727</v>
      </c>
      <c r="I16" s="351">
        <v>0.50694444444444442</v>
      </c>
      <c r="J16" s="334">
        <v>40727</v>
      </c>
      <c r="K16" s="352"/>
      <c r="L16" s="350">
        <v>40727</v>
      </c>
      <c r="M16" s="351">
        <v>0.6875</v>
      </c>
      <c r="N16" s="360" t="s">
        <v>62</v>
      </c>
      <c r="O16" s="354">
        <v>1</v>
      </c>
      <c r="P16" s="354"/>
      <c r="Q16" s="354"/>
      <c r="R16" s="354"/>
      <c r="S16" s="354"/>
      <c r="T16" s="355"/>
      <c r="U16" s="354"/>
      <c r="V16" s="354"/>
      <c r="W16" s="354"/>
      <c r="X16" s="354"/>
      <c r="Y16" s="354">
        <v>1</v>
      </c>
      <c r="Z16" s="354"/>
      <c r="AA16" s="354"/>
      <c r="AB16" s="354"/>
      <c r="AC16" s="354"/>
      <c r="AD16" s="329">
        <f t="shared" si="0"/>
        <v>1</v>
      </c>
      <c r="AE16" s="356" t="s">
        <v>63</v>
      </c>
      <c r="AF16" s="356" t="s">
        <v>56</v>
      </c>
      <c r="AG16" s="356" t="s">
        <v>57</v>
      </c>
      <c r="AH16" s="356"/>
      <c r="AI16" s="356" t="s">
        <v>59</v>
      </c>
      <c r="AJ16" s="344">
        <v>80000</v>
      </c>
      <c r="AK16" s="359" t="s">
        <v>60</v>
      </c>
    </row>
    <row r="17" spans="1:37" x14ac:dyDescent="0.35">
      <c r="A17" s="346">
        <v>6</v>
      </c>
      <c r="B17" s="347" t="s">
        <v>49</v>
      </c>
      <c r="C17" s="347" t="s">
        <v>76</v>
      </c>
      <c r="D17" s="348" t="s">
        <v>77</v>
      </c>
      <c r="E17" s="332"/>
      <c r="F17" s="332"/>
      <c r="G17" s="349"/>
      <c r="H17" s="350">
        <v>40727</v>
      </c>
      <c r="I17" s="351">
        <v>0.74305555555555547</v>
      </c>
      <c r="J17" s="334">
        <v>40727</v>
      </c>
      <c r="K17" s="352"/>
      <c r="L17" s="350">
        <v>40727</v>
      </c>
      <c r="M17" s="351">
        <v>0.78472222222222221</v>
      </c>
      <c r="N17" s="360" t="s">
        <v>62</v>
      </c>
      <c r="O17" s="354">
        <v>0.5</v>
      </c>
      <c r="P17" s="354"/>
      <c r="Q17" s="354">
        <v>1</v>
      </c>
      <c r="R17" s="354"/>
      <c r="S17" s="354"/>
      <c r="T17" s="355"/>
      <c r="U17" s="354"/>
      <c r="V17" s="354"/>
      <c r="W17" s="354"/>
      <c r="X17" s="354"/>
      <c r="Y17" s="354">
        <v>0.5</v>
      </c>
      <c r="Z17" s="354"/>
      <c r="AA17" s="354">
        <v>1</v>
      </c>
      <c r="AB17" s="354"/>
      <c r="AC17" s="354"/>
      <c r="AD17" s="329">
        <f t="shared" si="0"/>
        <v>1.5</v>
      </c>
      <c r="AE17" s="356" t="s">
        <v>71</v>
      </c>
      <c r="AF17" s="356" t="s">
        <v>56</v>
      </c>
      <c r="AG17" s="356" t="s">
        <v>57</v>
      </c>
      <c r="AH17" s="356"/>
      <c r="AI17" s="358" t="s">
        <v>73</v>
      </c>
      <c r="AJ17" s="344">
        <v>55000</v>
      </c>
      <c r="AK17" s="359" t="s">
        <v>60</v>
      </c>
    </row>
    <row r="18" spans="1:37" x14ac:dyDescent="0.35">
      <c r="A18" s="346">
        <v>7</v>
      </c>
      <c r="B18" s="347" t="s">
        <v>78</v>
      </c>
      <c r="C18" s="347" t="s">
        <v>79</v>
      </c>
      <c r="D18" s="348" t="s">
        <v>80</v>
      </c>
      <c r="E18" s="332"/>
      <c r="F18" s="332"/>
      <c r="G18" s="349"/>
      <c r="H18" s="350">
        <v>40732</v>
      </c>
      <c r="I18" s="351">
        <v>0.52777777777777779</v>
      </c>
      <c r="J18" s="334">
        <v>40732</v>
      </c>
      <c r="K18" s="352"/>
      <c r="L18" s="350">
        <v>40732</v>
      </c>
      <c r="M18" s="351">
        <v>0.75</v>
      </c>
      <c r="N18" s="360" t="s">
        <v>81</v>
      </c>
      <c r="O18" s="354"/>
      <c r="P18" s="354">
        <v>1</v>
      </c>
      <c r="Q18" s="354"/>
      <c r="R18" s="354"/>
      <c r="S18" s="354"/>
      <c r="T18" s="355"/>
      <c r="U18" s="354"/>
      <c r="V18" s="354">
        <v>4</v>
      </c>
      <c r="W18" s="354"/>
      <c r="X18" s="354"/>
      <c r="Y18" s="354"/>
      <c r="Z18" s="354">
        <v>1</v>
      </c>
      <c r="AA18" s="354">
        <v>4</v>
      </c>
      <c r="AB18" s="354"/>
      <c r="AC18" s="354"/>
      <c r="AD18" s="329">
        <f t="shared" si="0"/>
        <v>5</v>
      </c>
      <c r="AE18" s="356" t="s">
        <v>55</v>
      </c>
      <c r="AF18" s="356" t="s">
        <v>56</v>
      </c>
      <c r="AG18" s="356" t="s">
        <v>57</v>
      </c>
      <c r="AH18" s="356"/>
      <c r="AI18" s="356" t="s">
        <v>82</v>
      </c>
      <c r="AJ18" s="344">
        <v>138000</v>
      </c>
      <c r="AK18" s="359" t="s">
        <v>60</v>
      </c>
    </row>
    <row r="19" spans="1:37" x14ac:dyDescent="0.35">
      <c r="A19" s="346">
        <v>8</v>
      </c>
      <c r="B19" s="347" t="s">
        <v>83</v>
      </c>
      <c r="C19" s="347" t="s">
        <v>83</v>
      </c>
      <c r="D19" s="348" t="s">
        <v>84</v>
      </c>
      <c r="E19" s="332" t="s">
        <v>85</v>
      </c>
      <c r="F19" s="332" t="s">
        <v>86</v>
      </c>
      <c r="G19" s="349">
        <v>1600</v>
      </c>
      <c r="H19" s="350">
        <v>40733</v>
      </c>
      <c r="I19" s="351">
        <v>0.57638888888888895</v>
      </c>
      <c r="J19" s="363">
        <v>40733</v>
      </c>
      <c r="K19" s="364">
        <v>0.58333333333333337</v>
      </c>
      <c r="L19" s="350">
        <v>40733</v>
      </c>
      <c r="M19" s="351">
        <v>0.59722222222222221</v>
      </c>
      <c r="N19" s="360" t="s">
        <v>81</v>
      </c>
      <c r="O19" s="354"/>
      <c r="P19" s="365">
        <v>0.02</v>
      </c>
      <c r="Q19" s="354"/>
      <c r="R19" s="354"/>
      <c r="S19" s="354"/>
      <c r="T19" s="355"/>
      <c r="U19" s="354"/>
      <c r="V19" s="354"/>
      <c r="W19" s="354"/>
      <c r="X19" s="354"/>
      <c r="Y19" s="354"/>
      <c r="Z19" s="365">
        <v>0.02</v>
      </c>
      <c r="AA19" s="354"/>
      <c r="AB19" s="354"/>
      <c r="AC19" s="354"/>
      <c r="AD19" s="329">
        <f t="shared" si="0"/>
        <v>0.02</v>
      </c>
      <c r="AE19" s="356" t="s">
        <v>55</v>
      </c>
      <c r="AF19" s="356" t="s">
        <v>56</v>
      </c>
      <c r="AG19" s="356" t="s">
        <v>57</v>
      </c>
      <c r="AH19" s="342" t="s">
        <v>87</v>
      </c>
      <c r="AI19" s="358" t="s">
        <v>73</v>
      </c>
      <c r="AJ19" s="344">
        <v>156</v>
      </c>
      <c r="AK19" s="359" t="s">
        <v>60</v>
      </c>
    </row>
    <row r="20" spans="1:37" x14ac:dyDescent="0.35">
      <c r="A20" s="346">
        <v>9</v>
      </c>
      <c r="B20" s="347" t="s">
        <v>83</v>
      </c>
      <c r="C20" s="347" t="s">
        <v>83</v>
      </c>
      <c r="D20" s="348" t="s">
        <v>88</v>
      </c>
      <c r="E20" s="366" t="s">
        <v>89</v>
      </c>
      <c r="F20" s="366" t="s">
        <v>90</v>
      </c>
      <c r="G20" s="367">
        <v>775</v>
      </c>
      <c r="H20" s="368">
        <v>40736</v>
      </c>
      <c r="I20" s="369">
        <v>0.5625</v>
      </c>
      <c r="J20" s="370" t="s">
        <v>91</v>
      </c>
      <c r="K20" s="371">
        <v>0.56944444444444442</v>
      </c>
      <c r="L20" s="336">
        <v>40736</v>
      </c>
      <c r="M20" s="369">
        <v>0.69444444444444453</v>
      </c>
      <c r="N20" s="360" t="s">
        <v>81</v>
      </c>
      <c r="O20" s="354"/>
      <c r="P20" s="354">
        <v>0.5</v>
      </c>
      <c r="Q20" s="354"/>
      <c r="R20" s="354"/>
      <c r="S20" s="354"/>
      <c r="T20" s="355"/>
      <c r="U20" s="354"/>
      <c r="V20" s="354"/>
      <c r="W20" s="354"/>
      <c r="X20" s="354"/>
      <c r="Y20" s="354"/>
      <c r="Z20" s="354">
        <v>0.5</v>
      </c>
      <c r="AA20" s="354"/>
      <c r="AB20" s="354"/>
      <c r="AC20" s="354"/>
      <c r="AD20" s="329">
        <f t="shared" si="0"/>
        <v>0.5</v>
      </c>
      <c r="AE20" s="356" t="s">
        <v>55</v>
      </c>
      <c r="AF20" s="356" t="s">
        <v>56</v>
      </c>
      <c r="AG20" s="356" t="s">
        <v>57</v>
      </c>
      <c r="AH20" s="342" t="s">
        <v>92</v>
      </c>
      <c r="AI20" s="356" t="s">
        <v>73</v>
      </c>
      <c r="AJ20" s="344">
        <v>39000</v>
      </c>
      <c r="AK20" s="359" t="s">
        <v>60</v>
      </c>
    </row>
    <row r="21" spans="1:37" x14ac:dyDescent="0.35">
      <c r="A21" s="346">
        <v>10</v>
      </c>
      <c r="B21" s="347" t="s">
        <v>78</v>
      </c>
      <c r="C21" s="347" t="s">
        <v>78</v>
      </c>
      <c r="D21" s="348" t="s">
        <v>93</v>
      </c>
      <c r="E21" s="332"/>
      <c r="F21" s="332"/>
      <c r="G21" s="349"/>
      <c r="H21" s="372">
        <v>40736</v>
      </c>
      <c r="I21" s="373">
        <v>0.73958333333333337</v>
      </c>
      <c r="J21" s="363">
        <v>40736</v>
      </c>
      <c r="K21" s="364"/>
      <c r="L21" s="334">
        <v>40736</v>
      </c>
      <c r="M21" s="373">
        <v>0.79166666666666663</v>
      </c>
      <c r="N21" s="360" t="s">
        <v>62</v>
      </c>
      <c r="O21" s="354">
        <v>0.5</v>
      </c>
      <c r="P21" s="354"/>
      <c r="Q21" s="354">
        <v>1.5</v>
      </c>
      <c r="R21" s="354"/>
      <c r="S21" s="354"/>
      <c r="T21" s="355"/>
      <c r="U21" s="354"/>
      <c r="V21" s="354"/>
      <c r="W21" s="354"/>
      <c r="X21" s="354"/>
      <c r="Y21" s="354">
        <v>0.5</v>
      </c>
      <c r="Z21" s="354"/>
      <c r="AA21" s="354">
        <v>1.5</v>
      </c>
      <c r="AB21" s="354"/>
      <c r="AC21" s="354"/>
      <c r="AD21" s="329">
        <f t="shared" si="0"/>
        <v>2</v>
      </c>
      <c r="AE21" s="356" t="s">
        <v>94</v>
      </c>
      <c r="AF21" s="356" t="s">
        <v>56</v>
      </c>
      <c r="AG21" s="356" t="s">
        <v>57</v>
      </c>
      <c r="AH21" s="356"/>
      <c r="AI21" s="358" t="s">
        <v>73</v>
      </c>
      <c r="AJ21" s="344">
        <v>62500</v>
      </c>
      <c r="AK21" s="359" t="s">
        <v>60</v>
      </c>
    </row>
    <row r="22" spans="1:37" x14ac:dyDescent="0.35">
      <c r="A22" s="346">
        <v>11</v>
      </c>
      <c r="B22" s="347" t="s">
        <v>83</v>
      </c>
      <c r="C22" s="347" t="s">
        <v>95</v>
      </c>
      <c r="D22" s="348" t="s">
        <v>96</v>
      </c>
      <c r="E22" s="332" t="s">
        <v>97</v>
      </c>
      <c r="F22" s="332" t="s">
        <v>98</v>
      </c>
      <c r="G22" s="349"/>
      <c r="H22" s="372">
        <v>40740</v>
      </c>
      <c r="I22" s="373">
        <v>0.75</v>
      </c>
      <c r="J22" s="363">
        <v>40740</v>
      </c>
      <c r="K22" s="364">
        <v>0.76041666666666663</v>
      </c>
      <c r="L22" s="334">
        <v>40740</v>
      </c>
      <c r="M22" s="373">
        <v>0.79166666666666663</v>
      </c>
      <c r="N22" s="360" t="s">
        <v>41</v>
      </c>
      <c r="O22" s="354"/>
      <c r="P22" s="354"/>
      <c r="Q22" s="365">
        <v>0.01</v>
      </c>
      <c r="R22" s="354"/>
      <c r="S22" s="354"/>
      <c r="T22" s="355"/>
      <c r="U22" s="354"/>
      <c r="V22" s="354"/>
      <c r="W22" s="354"/>
      <c r="X22" s="354"/>
      <c r="Y22" s="354"/>
      <c r="Z22" s="354"/>
      <c r="AA22" s="365">
        <v>0.01</v>
      </c>
      <c r="AB22" s="354"/>
      <c r="AC22" s="354"/>
      <c r="AD22" s="329">
        <f t="shared" si="0"/>
        <v>0.01</v>
      </c>
      <c r="AE22" s="356" t="s">
        <v>66</v>
      </c>
      <c r="AF22" s="356" t="s">
        <v>56</v>
      </c>
      <c r="AG22" s="356" t="s">
        <v>57</v>
      </c>
      <c r="AH22" s="342" t="s">
        <v>92</v>
      </c>
      <c r="AI22" s="356" t="s">
        <v>73</v>
      </c>
      <c r="AJ22" s="344">
        <v>15</v>
      </c>
      <c r="AK22" s="359" t="s">
        <v>60</v>
      </c>
    </row>
    <row r="23" spans="1:37" x14ac:dyDescent="0.35">
      <c r="A23" s="346">
        <v>12</v>
      </c>
      <c r="B23" s="347" t="s">
        <v>78</v>
      </c>
      <c r="C23" s="347" t="s">
        <v>99</v>
      </c>
      <c r="D23" s="348" t="s">
        <v>100</v>
      </c>
      <c r="E23" s="332"/>
      <c r="F23" s="332"/>
      <c r="G23" s="349"/>
      <c r="H23" s="372">
        <v>40741</v>
      </c>
      <c r="I23" s="373">
        <v>0.56944444444444442</v>
      </c>
      <c r="J23" s="363">
        <v>40741</v>
      </c>
      <c r="K23" s="364"/>
      <c r="L23" s="334">
        <v>40741</v>
      </c>
      <c r="M23" s="373">
        <v>0.64583333333333337</v>
      </c>
      <c r="N23" s="360" t="s">
        <v>62</v>
      </c>
      <c r="O23" s="354"/>
      <c r="P23" s="354"/>
      <c r="Q23" s="354">
        <v>1.5</v>
      </c>
      <c r="R23" s="354"/>
      <c r="S23" s="354"/>
      <c r="T23" s="355">
        <v>0.5</v>
      </c>
      <c r="U23" s="354"/>
      <c r="V23" s="354"/>
      <c r="W23" s="354"/>
      <c r="X23" s="354"/>
      <c r="Y23" s="354">
        <v>0.5</v>
      </c>
      <c r="Z23" s="354"/>
      <c r="AA23" s="354">
        <v>1.5</v>
      </c>
      <c r="AB23" s="354"/>
      <c r="AC23" s="354"/>
      <c r="AD23" s="329">
        <f t="shared" si="0"/>
        <v>2</v>
      </c>
      <c r="AE23" s="356" t="s">
        <v>55</v>
      </c>
      <c r="AF23" s="356" t="s">
        <v>56</v>
      </c>
      <c r="AG23" s="356" t="s">
        <v>72</v>
      </c>
      <c r="AH23" s="356"/>
      <c r="AI23" s="356" t="s">
        <v>67</v>
      </c>
      <c r="AJ23" s="344">
        <v>62500</v>
      </c>
      <c r="AK23" s="359" t="s">
        <v>60</v>
      </c>
    </row>
    <row r="24" spans="1:37" x14ac:dyDescent="0.35">
      <c r="A24" s="346">
        <v>13</v>
      </c>
      <c r="B24" s="347" t="s">
        <v>101</v>
      </c>
      <c r="C24" s="347" t="s">
        <v>101</v>
      </c>
      <c r="D24" s="348" t="s">
        <v>102</v>
      </c>
      <c r="E24" s="332"/>
      <c r="F24" s="332"/>
      <c r="G24" s="349"/>
      <c r="H24" s="372">
        <v>40746</v>
      </c>
      <c r="I24" s="373">
        <v>0.53819444444444442</v>
      </c>
      <c r="J24" s="363">
        <v>40746</v>
      </c>
      <c r="K24" s="364"/>
      <c r="L24" s="334">
        <v>40746</v>
      </c>
      <c r="M24" s="373">
        <v>0.75</v>
      </c>
      <c r="N24" s="360" t="s">
        <v>62</v>
      </c>
      <c r="O24" s="354">
        <v>3</v>
      </c>
      <c r="P24" s="354"/>
      <c r="Q24" s="354">
        <v>3</v>
      </c>
      <c r="R24" s="354"/>
      <c r="S24" s="354"/>
      <c r="T24" s="355"/>
      <c r="U24" s="354"/>
      <c r="V24" s="354"/>
      <c r="W24" s="354"/>
      <c r="X24" s="354"/>
      <c r="Y24" s="354">
        <v>3</v>
      </c>
      <c r="Z24" s="354"/>
      <c r="AA24" s="354">
        <v>3</v>
      </c>
      <c r="AB24" s="354"/>
      <c r="AC24" s="354"/>
      <c r="AD24" s="329">
        <f t="shared" si="0"/>
        <v>6</v>
      </c>
      <c r="AE24" s="356" t="s">
        <v>63</v>
      </c>
      <c r="AF24" s="356" t="s">
        <v>56</v>
      </c>
      <c r="AG24" s="356" t="s">
        <v>103</v>
      </c>
      <c r="AH24" s="356"/>
      <c r="AI24" s="356" t="s">
        <v>104</v>
      </c>
      <c r="AJ24" s="344">
        <v>285000</v>
      </c>
      <c r="AK24" s="359" t="s">
        <v>60</v>
      </c>
    </row>
    <row r="25" spans="1:37" x14ac:dyDescent="0.35">
      <c r="A25" s="346">
        <v>14</v>
      </c>
      <c r="B25" s="347" t="s">
        <v>68</v>
      </c>
      <c r="C25" s="347" t="s">
        <v>105</v>
      </c>
      <c r="D25" s="348" t="s">
        <v>106</v>
      </c>
      <c r="E25" s="332"/>
      <c r="F25" s="332"/>
      <c r="G25" s="349"/>
      <c r="H25" s="372">
        <v>40749</v>
      </c>
      <c r="I25" s="373">
        <v>0.50347222222222221</v>
      </c>
      <c r="J25" s="363">
        <v>40729</v>
      </c>
      <c r="K25" s="364"/>
      <c r="L25" s="334">
        <v>40749</v>
      </c>
      <c r="M25" s="373">
        <v>0.55902777777777779</v>
      </c>
      <c r="N25" s="360" t="s">
        <v>41</v>
      </c>
      <c r="O25" s="354"/>
      <c r="P25" s="354"/>
      <c r="Q25" s="354">
        <v>0.75</v>
      </c>
      <c r="R25" s="354"/>
      <c r="S25" s="354"/>
      <c r="T25" s="355"/>
      <c r="U25" s="354"/>
      <c r="V25" s="354"/>
      <c r="W25" s="354"/>
      <c r="X25" s="354"/>
      <c r="Y25" s="354"/>
      <c r="Z25" s="354"/>
      <c r="AA25" s="354">
        <v>0.75</v>
      </c>
      <c r="AB25" s="354"/>
      <c r="AC25" s="354"/>
      <c r="AD25" s="329">
        <f t="shared" si="0"/>
        <v>0.75</v>
      </c>
      <c r="AE25" s="356" t="s">
        <v>94</v>
      </c>
      <c r="AF25" s="356" t="s">
        <v>56</v>
      </c>
      <c r="AG25" s="356" t="s">
        <v>72</v>
      </c>
      <c r="AH25" s="356"/>
      <c r="AI25" s="356" t="s">
        <v>65</v>
      </c>
      <c r="AJ25" s="344">
        <v>11250</v>
      </c>
      <c r="AK25" s="359" t="s">
        <v>60</v>
      </c>
    </row>
    <row r="26" spans="1:37" x14ac:dyDescent="0.35">
      <c r="A26" s="346">
        <v>15</v>
      </c>
      <c r="B26" s="347" t="s">
        <v>78</v>
      </c>
      <c r="C26" s="347" t="s">
        <v>107</v>
      </c>
      <c r="D26" s="348" t="s">
        <v>108</v>
      </c>
      <c r="E26" s="332"/>
      <c r="F26" s="332"/>
      <c r="G26" s="349"/>
      <c r="H26" s="372">
        <v>40752</v>
      </c>
      <c r="I26" s="373">
        <v>0.41666666666666669</v>
      </c>
      <c r="J26" s="363">
        <v>40752</v>
      </c>
      <c r="K26" s="364"/>
      <c r="L26" s="334">
        <v>40752</v>
      </c>
      <c r="M26" s="373">
        <v>0.46875</v>
      </c>
      <c r="N26" s="360" t="s">
        <v>81</v>
      </c>
      <c r="O26" s="354"/>
      <c r="P26" s="354"/>
      <c r="Q26" s="354"/>
      <c r="R26" s="354"/>
      <c r="S26" s="354"/>
      <c r="T26" s="355"/>
      <c r="U26" s="354">
        <v>0.5</v>
      </c>
      <c r="V26" s="354"/>
      <c r="W26" s="354"/>
      <c r="X26" s="354"/>
      <c r="Y26" s="354"/>
      <c r="Z26" s="354">
        <v>0.5</v>
      </c>
      <c r="AA26" s="354"/>
      <c r="AB26" s="354"/>
      <c r="AC26" s="354"/>
      <c r="AD26" s="329">
        <f t="shared" si="0"/>
        <v>0.5</v>
      </c>
      <c r="AE26" s="356" t="s">
        <v>94</v>
      </c>
      <c r="AF26" s="356" t="s">
        <v>56</v>
      </c>
      <c r="AG26" s="356" t="s">
        <v>72</v>
      </c>
      <c r="AH26" s="356"/>
      <c r="AI26" s="356" t="s">
        <v>109</v>
      </c>
      <c r="AJ26" s="344">
        <v>39000</v>
      </c>
      <c r="AK26" s="359" t="s">
        <v>60</v>
      </c>
    </row>
    <row r="27" spans="1:37" x14ac:dyDescent="0.35">
      <c r="A27" s="346">
        <v>16</v>
      </c>
      <c r="B27" s="347" t="s">
        <v>78</v>
      </c>
      <c r="C27" s="347" t="s">
        <v>78</v>
      </c>
      <c r="D27" s="348" t="s">
        <v>110</v>
      </c>
      <c r="E27" s="332"/>
      <c r="F27" s="332"/>
      <c r="G27" s="349"/>
      <c r="H27" s="334">
        <v>40757</v>
      </c>
      <c r="I27" s="374">
        <v>0.59305555555555556</v>
      </c>
      <c r="J27" s="336"/>
      <c r="K27" s="374"/>
      <c r="L27" s="336">
        <v>40757</v>
      </c>
      <c r="M27" s="374">
        <v>0.66319444444444442</v>
      </c>
      <c r="N27" s="375" t="s">
        <v>62</v>
      </c>
      <c r="O27" s="354">
        <v>0.5</v>
      </c>
      <c r="P27" s="354"/>
      <c r="Q27" s="354"/>
      <c r="R27" s="354"/>
      <c r="S27" s="354"/>
      <c r="T27" s="355"/>
      <c r="U27" s="354"/>
      <c r="V27" s="354"/>
      <c r="W27" s="354"/>
      <c r="X27" s="354" t="s">
        <v>111</v>
      </c>
      <c r="Y27" s="354">
        <v>0.5</v>
      </c>
      <c r="Z27" s="354"/>
      <c r="AA27" s="354"/>
      <c r="AB27" s="354"/>
      <c r="AC27" s="354" t="s">
        <v>111</v>
      </c>
      <c r="AD27" s="329">
        <f t="shared" si="0"/>
        <v>0.5</v>
      </c>
      <c r="AE27" s="342" t="s">
        <v>55</v>
      </c>
      <c r="AF27" s="342" t="s">
        <v>56</v>
      </c>
      <c r="AG27" s="342" t="s">
        <v>72</v>
      </c>
      <c r="AH27" s="342"/>
      <c r="AI27" s="342" t="s">
        <v>67</v>
      </c>
      <c r="AJ27" s="344">
        <v>40000</v>
      </c>
      <c r="AK27" s="345" t="s">
        <v>60</v>
      </c>
    </row>
    <row r="28" spans="1:37" x14ac:dyDescent="0.35">
      <c r="A28" s="346">
        <v>17</v>
      </c>
      <c r="B28" s="347" t="s">
        <v>83</v>
      </c>
      <c r="C28" s="347" t="s">
        <v>95</v>
      </c>
      <c r="D28" s="348" t="s">
        <v>112</v>
      </c>
      <c r="E28" s="332" t="s">
        <v>113</v>
      </c>
      <c r="F28" s="332" t="s">
        <v>114</v>
      </c>
      <c r="G28" s="349"/>
      <c r="H28" s="334">
        <v>40761</v>
      </c>
      <c r="I28" s="374">
        <v>0.55208333333333337</v>
      </c>
      <c r="J28" s="336">
        <v>40761</v>
      </c>
      <c r="K28" s="374">
        <v>0.5625</v>
      </c>
      <c r="L28" s="336">
        <v>40761</v>
      </c>
      <c r="M28" s="374">
        <v>0.57638888888888895</v>
      </c>
      <c r="N28" s="375" t="s">
        <v>41</v>
      </c>
      <c r="O28" s="354"/>
      <c r="P28" s="354"/>
      <c r="Q28" s="365">
        <v>0.05</v>
      </c>
      <c r="R28" s="354"/>
      <c r="S28" s="354"/>
      <c r="T28" s="355"/>
      <c r="U28" s="354"/>
      <c r="V28" s="354"/>
      <c r="W28" s="354"/>
      <c r="X28" s="354"/>
      <c r="Y28" s="354"/>
      <c r="Z28" s="354"/>
      <c r="AA28" s="365">
        <v>0.05</v>
      </c>
      <c r="AB28" s="354"/>
      <c r="AC28" s="354"/>
      <c r="AD28" s="329">
        <f t="shared" si="0"/>
        <v>0.05</v>
      </c>
      <c r="AE28" s="342" t="s">
        <v>71</v>
      </c>
      <c r="AF28" s="342" t="s">
        <v>56</v>
      </c>
      <c r="AG28" s="342" t="s">
        <v>57</v>
      </c>
      <c r="AH28" s="342" t="s">
        <v>92</v>
      </c>
      <c r="AI28" s="342" t="s">
        <v>73</v>
      </c>
      <c r="AJ28" s="344">
        <v>75</v>
      </c>
      <c r="AK28" s="345" t="s">
        <v>60</v>
      </c>
    </row>
    <row r="29" spans="1:37" x14ac:dyDescent="0.35">
      <c r="A29" s="346">
        <v>18</v>
      </c>
      <c r="B29" s="347" t="s">
        <v>83</v>
      </c>
      <c r="C29" s="347" t="s">
        <v>83</v>
      </c>
      <c r="D29" s="348" t="s">
        <v>115</v>
      </c>
      <c r="E29" s="332"/>
      <c r="F29" s="332"/>
      <c r="G29" s="349"/>
      <c r="H29" s="334">
        <v>40763</v>
      </c>
      <c r="I29" s="374">
        <v>0.47916666666666669</v>
      </c>
      <c r="J29" s="336"/>
      <c r="K29" s="374"/>
      <c r="L29" s="336">
        <v>40764</v>
      </c>
      <c r="M29" s="374">
        <v>0.375</v>
      </c>
      <c r="N29" s="375" t="s">
        <v>41</v>
      </c>
      <c r="O29" s="354"/>
      <c r="P29" s="354"/>
      <c r="Q29" s="354">
        <v>2</v>
      </c>
      <c r="R29" s="354"/>
      <c r="S29" s="354" t="s">
        <v>116</v>
      </c>
      <c r="T29" s="355"/>
      <c r="U29" s="354"/>
      <c r="V29" s="354"/>
      <c r="W29" s="354"/>
      <c r="X29" s="354"/>
      <c r="Y29" s="354"/>
      <c r="Z29" s="354"/>
      <c r="AA29" s="354">
        <v>2</v>
      </c>
      <c r="AB29" s="354"/>
      <c r="AC29" s="354" t="s">
        <v>116</v>
      </c>
      <c r="AD29" s="329">
        <f t="shared" si="0"/>
        <v>2</v>
      </c>
      <c r="AE29" s="342" t="s">
        <v>117</v>
      </c>
      <c r="AF29" s="342" t="s">
        <v>56</v>
      </c>
      <c r="AG29" s="342" t="s">
        <v>72</v>
      </c>
      <c r="AH29" s="342"/>
      <c r="AI29" s="342" t="s">
        <v>65</v>
      </c>
      <c r="AJ29" s="344">
        <v>30000</v>
      </c>
      <c r="AK29" s="345" t="s">
        <v>60</v>
      </c>
    </row>
    <row r="30" spans="1:37" x14ac:dyDescent="0.35">
      <c r="A30" s="346">
        <v>19</v>
      </c>
      <c r="B30" s="347" t="s">
        <v>49</v>
      </c>
      <c r="C30" s="347" t="s">
        <v>50</v>
      </c>
      <c r="D30" s="348" t="s">
        <v>118</v>
      </c>
      <c r="E30" s="332" t="s">
        <v>119</v>
      </c>
      <c r="F30" s="332" t="s">
        <v>120</v>
      </c>
      <c r="G30" s="349">
        <v>565</v>
      </c>
      <c r="H30" s="334">
        <v>40763</v>
      </c>
      <c r="I30" s="374">
        <v>0.53472222222222221</v>
      </c>
      <c r="J30" s="336">
        <v>40763</v>
      </c>
      <c r="K30" s="374">
        <v>0.54166666666666663</v>
      </c>
      <c r="L30" s="336">
        <v>40764</v>
      </c>
      <c r="M30" s="374">
        <v>0.45833333333333331</v>
      </c>
      <c r="N30" s="375" t="s">
        <v>62</v>
      </c>
      <c r="O30" s="354">
        <v>25</v>
      </c>
      <c r="P30" s="354"/>
      <c r="Q30" s="354"/>
      <c r="R30" s="354"/>
      <c r="S30" s="354"/>
      <c r="T30" s="355"/>
      <c r="U30" s="354"/>
      <c r="V30" s="354">
        <v>5</v>
      </c>
      <c r="W30" s="354"/>
      <c r="X30" s="354" t="s">
        <v>121</v>
      </c>
      <c r="Y30" s="354">
        <v>25</v>
      </c>
      <c r="Z30" s="354"/>
      <c r="AA30" s="354">
        <v>5</v>
      </c>
      <c r="AB30" s="354"/>
      <c r="AC30" s="354" t="s">
        <v>121</v>
      </c>
      <c r="AD30" s="329">
        <f t="shared" si="0"/>
        <v>30</v>
      </c>
      <c r="AE30" s="342" t="s">
        <v>55</v>
      </c>
      <c r="AF30" s="342" t="s">
        <v>56</v>
      </c>
      <c r="AG30" s="342" t="s">
        <v>57</v>
      </c>
      <c r="AH30" s="342" t="s">
        <v>92</v>
      </c>
      <c r="AI30" s="342" t="s">
        <v>65</v>
      </c>
      <c r="AJ30" s="344">
        <v>2075000</v>
      </c>
      <c r="AK30" s="345" t="s">
        <v>60</v>
      </c>
    </row>
    <row r="31" spans="1:37" x14ac:dyDescent="0.35">
      <c r="A31" s="346">
        <v>20</v>
      </c>
      <c r="B31" s="347" t="s">
        <v>83</v>
      </c>
      <c r="C31" s="347" t="s">
        <v>83</v>
      </c>
      <c r="D31" s="348" t="s">
        <v>122</v>
      </c>
      <c r="E31" s="332"/>
      <c r="F31" s="332"/>
      <c r="G31" s="349"/>
      <c r="H31" s="334">
        <v>40763</v>
      </c>
      <c r="I31" s="374">
        <v>0.54513888888888895</v>
      </c>
      <c r="J31" s="336">
        <v>40763</v>
      </c>
      <c r="K31" s="374">
        <v>0.55208333333333337</v>
      </c>
      <c r="L31" s="336">
        <v>40764</v>
      </c>
      <c r="M31" s="374">
        <v>0.52083333333333337</v>
      </c>
      <c r="N31" s="375" t="s">
        <v>123</v>
      </c>
      <c r="O31" s="354"/>
      <c r="P31" s="354">
        <v>30</v>
      </c>
      <c r="Q31" s="354"/>
      <c r="R31" s="354"/>
      <c r="S31" s="354"/>
      <c r="T31" s="355"/>
      <c r="U31" s="354"/>
      <c r="V31" s="354"/>
      <c r="W31" s="354"/>
      <c r="X31" s="354"/>
      <c r="Y31" s="354"/>
      <c r="Z31" s="354">
        <v>30</v>
      </c>
      <c r="AA31" s="354"/>
      <c r="AB31" s="354"/>
      <c r="AC31" s="354"/>
      <c r="AD31" s="329">
        <f t="shared" si="0"/>
        <v>30</v>
      </c>
      <c r="AE31" s="342" t="s">
        <v>63</v>
      </c>
      <c r="AF31" s="342" t="s">
        <v>56</v>
      </c>
      <c r="AG31" s="342" t="s">
        <v>57</v>
      </c>
      <c r="AH31" s="342" t="s">
        <v>92</v>
      </c>
      <c r="AI31" s="342" t="s">
        <v>73</v>
      </c>
      <c r="AJ31" s="344">
        <v>2340000</v>
      </c>
      <c r="AK31" s="345" t="s">
        <v>60</v>
      </c>
    </row>
    <row r="32" spans="1:37" x14ac:dyDescent="0.35">
      <c r="A32" s="346">
        <v>21</v>
      </c>
      <c r="B32" s="347" t="s">
        <v>83</v>
      </c>
      <c r="C32" s="347" t="s">
        <v>95</v>
      </c>
      <c r="D32" s="348" t="s">
        <v>124</v>
      </c>
      <c r="E32" s="332" t="s">
        <v>125</v>
      </c>
      <c r="F32" s="332" t="s">
        <v>126</v>
      </c>
      <c r="G32" s="349"/>
      <c r="H32" s="334">
        <v>40763</v>
      </c>
      <c r="I32" s="374">
        <v>0.54861111111111105</v>
      </c>
      <c r="J32" s="336">
        <v>40763</v>
      </c>
      <c r="K32" s="374">
        <v>0.55208333333333337</v>
      </c>
      <c r="L32" s="336">
        <v>40763</v>
      </c>
      <c r="M32" s="374">
        <v>0.66666666666666663</v>
      </c>
      <c r="N32" s="375" t="s">
        <v>123</v>
      </c>
      <c r="O32" s="354"/>
      <c r="P32" s="354">
        <v>0.1</v>
      </c>
      <c r="Q32" s="354"/>
      <c r="R32" s="354"/>
      <c r="S32" s="354"/>
      <c r="T32" s="355"/>
      <c r="U32" s="354"/>
      <c r="V32" s="354"/>
      <c r="W32" s="354"/>
      <c r="X32" s="354"/>
      <c r="Y32" s="354"/>
      <c r="Z32" s="354">
        <v>0.1</v>
      </c>
      <c r="AA32" s="354"/>
      <c r="AB32" s="354"/>
      <c r="AC32" s="354"/>
      <c r="AD32" s="329">
        <f t="shared" si="0"/>
        <v>0.1</v>
      </c>
      <c r="AE32" s="342" t="s">
        <v>55</v>
      </c>
      <c r="AF32" s="342" t="s">
        <v>56</v>
      </c>
      <c r="AG32" s="342" t="s">
        <v>57</v>
      </c>
      <c r="AH32" s="342" t="s">
        <v>92</v>
      </c>
      <c r="AI32" s="342" t="s">
        <v>73</v>
      </c>
      <c r="AJ32" s="344">
        <v>7800</v>
      </c>
      <c r="AK32" s="345" t="s">
        <v>60</v>
      </c>
    </row>
    <row r="33" spans="1:37" x14ac:dyDescent="0.35">
      <c r="A33" s="346">
        <v>22</v>
      </c>
      <c r="B33" s="347" t="s">
        <v>83</v>
      </c>
      <c r="C33" s="347" t="s">
        <v>83</v>
      </c>
      <c r="D33" s="376" t="s">
        <v>127</v>
      </c>
      <c r="E33" s="377"/>
      <c r="F33" s="377"/>
      <c r="G33" s="378"/>
      <c r="H33" s="334">
        <v>40766</v>
      </c>
      <c r="I33" s="374">
        <v>0.42708333333333331</v>
      </c>
      <c r="J33" s="336"/>
      <c r="K33" s="374"/>
      <c r="L33" s="336">
        <v>40767</v>
      </c>
      <c r="M33" s="374">
        <v>0.39583333333333331</v>
      </c>
      <c r="N33" s="375" t="s">
        <v>123</v>
      </c>
      <c r="O33" s="354"/>
      <c r="P33" s="354">
        <v>10</v>
      </c>
      <c r="Q33" s="354"/>
      <c r="R33" s="354"/>
      <c r="S33" s="354"/>
      <c r="T33" s="355"/>
      <c r="U33" s="354"/>
      <c r="V33" s="354"/>
      <c r="W33" s="354"/>
      <c r="X33" s="354"/>
      <c r="Y33" s="354"/>
      <c r="Z33" s="354">
        <v>10</v>
      </c>
      <c r="AA33" s="354"/>
      <c r="AB33" s="354"/>
      <c r="AC33" s="354"/>
      <c r="AD33" s="329">
        <f t="shared" si="0"/>
        <v>10</v>
      </c>
      <c r="AE33" s="342" t="s">
        <v>55</v>
      </c>
      <c r="AF33" s="342" t="s">
        <v>56</v>
      </c>
      <c r="AG33" s="342" t="s">
        <v>72</v>
      </c>
      <c r="AH33" s="342"/>
      <c r="AI33" s="342" t="s">
        <v>128</v>
      </c>
      <c r="AJ33" s="344">
        <v>780000</v>
      </c>
      <c r="AK33" s="345" t="s">
        <v>60</v>
      </c>
    </row>
    <row r="34" spans="1:37" x14ac:dyDescent="0.35">
      <c r="A34" s="346">
        <v>23</v>
      </c>
      <c r="B34" s="347" t="s">
        <v>83</v>
      </c>
      <c r="C34" s="347" t="s">
        <v>83</v>
      </c>
      <c r="D34" s="376" t="s">
        <v>129</v>
      </c>
      <c r="E34" s="377" t="s">
        <v>130</v>
      </c>
      <c r="F34" s="377" t="s">
        <v>131</v>
      </c>
      <c r="G34" s="378"/>
      <c r="H34" s="334">
        <v>40766</v>
      </c>
      <c r="I34" s="374">
        <v>0.65625</v>
      </c>
      <c r="J34" s="336">
        <v>40766</v>
      </c>
      <c r="K34" s="374">
        <v>0.66666666666666663</v>
      </c>
      <c r="L34" s="336">
        <v>40767</v>
      </c>
      <c r="M34" s="374">
        <v>0.25</v>
      </c>
      <c r="N34" s="375" t="s">
        <v>62</v>
      </c>
      <c r="O34" s="354">
        <v>0.3</v>
      </c>
      <c r="P34" s="354"/>
      <c r="Q34" s="354"/>
      <c r="R34" s="354"/>
      <c r="S34" s="354"/>
      <c r="T34" s="355"/>
      <c r="U34" s="354"/>
      <c r="V34" s="354"/>
      <c r="W34" s="354"/>
      <c r="X34" s="354"/>
      <c r="Y34" s="354">
        <v>0.3</v>
      </c>
      <c r="Z34" s="354"/>
      <c r="AA34" s="354"/>
      <c r="AB34" s="354"/>
      <c r="AC34" s="354"/>
      <c r="AD34" s="329">
        <f t="shared" si="0"/>
        <v>0.3</v>
      </c>
      <c r="AE34" s="342" t="s">
        <v>55</v>
      </c>
      <c r="AF34" s="342" t="s">
        <v>56</v>
      </c>
      <c r="AG34" s="342" t="s">
        <v>57</v>
      </c>
      <c r="AH34" s="342" t="s">
        <v>92</v>
      </c>
      <c r="AI34" s="342" t="s">
        <v>65</v>
      </c>
      <c r="AJ34" s="344">
        <v>24000</v>
      </c>
      <c r="AK34" s="345" t="s">
        <v>60</v>
      </c>
    </row>
    <row r="35" spans="1:37" x14ac:dyDescent="0.35">
      <c r="A35" s="346">
        <v>24</v>
      </c>
      <c r="B35" s="347" t="s">
        <v>49</v>
      </c>
      <c r="C35" s="347" t="s">
        <v>50</v>
      </c>
      <c r="D35" s="376" t="s">
        <v>132</v>
      </c>
      <c r="E35" s="377" t="s">
        <v>133</v>
      </c>
      <c r="F35" s="377" t="s">
        <v>134</v>
      </c>
      <c r="G35" s="378">
        <v>960</v>
      </c>
      <c r="H35" s="334">
        <v>40767</v>
      </c>
      <c r="I35" s="374">
        <v>0.60416666666666663</v>
      </c>
      <c r="J35" s="336">
        <v>40767</v>
      </c>
      <c r="K35" s="374">
        <v>0.61111111111111105</v>
      </c>
      <c r="L35" s="336">
        <v>40767</v>
      </c>
      <c r="M35" s="374">
        <v>0.70833333333333337</v>
      </c>
      <c r="N35" s="375" t="s">
        <v>123</v>
      </c>
      <c r="O35" s="354"/>
      <c r="P35" s="354">
        <v>0.5</v>
      </c>
      <c r="Q35" s="354"/>
      <c r="R35" s="354"/>
      <c r="S35" s="354"/>
      <c r="T35" s="355"/>
      <c r="U35" s="354"/>
      <c r="V35" s="354"/>
      <c r="W35" s="354"/>
      <c r="X35" s="354"/>
      <c r="Y35" s="354"/>
      <c r="Z35" s="354">
        <v>0.5</v>
      </c>
      <c r="AA35" s="354"/>
      <c r="AB35" s="354"/>
      <c r="AC35" s="354"/>
      <c r="AD35" s="329">
        <f t="shared" si="0"/>
        <v>0.5</v>
      </c>
      <c r="AE35" s="342" t="s">
        <v>63</v>
      </c>
      <c r="AF35" s="342" t="s">
        <v>56</v>
      </c>
      <c r="AG35" s="342" t="s">
        <v>57</v>
      </c>
      <c r="AH35" s="342" t="s">
        <v>92</v>
      </c>
      <c r="AI35" s="342" t="s">
        <v>65</v>
      </c>
      <c r="AJ35" s="344">
        <v>39000</v>
      </c>
      <c r="AK35" s="345" t="s">
        <v>60</v>
      </c>
    </row>
    <row r="36" spans="1:37" x14ac:dyDescent="0.35">
      <c r="A36" s="346">
        <v>25</v>
      </c>
      <c r="B36" s="347" t="s">
        <v>78</v>
      </c>
      <c r="C36" s="347" t="s">
        <v>79</v>
      </c>
      <c r="D36" s="376" t="s">
        <v>135</v>
      </c>
      <c r="E36" s="377"/>
      <c r="F36" s="377"/>
      <c r="G36" s="378"/>
      <c r="H36" s="334">
        <v>40767</v>
      </c>
      <c r="I36" s="374">
        <v>0.67013888888888884</v>
      </c>
      <c r="J36" s="336"/>
      <c r="K36" s="374"/>
      <c r="L36" s="336">
        <v>40767</v>
      </c>
      <c r="M36" s="374">
        <v>0.91666666666666663</v>
      </c>
      <c r="N36" s="375" t="s">
        <v>123</v>
      </c>
      <c r="O36" s="354"/>
      <c r="P36" s="354">
        <v>2</v>
      </c>
      <c r="Q36" s="354"/>
      <c r="R36" s="354"/>
      <c r="S36" s="354"/>
      <c r="T36" s="355"/>
      <c r="U36" s="354">
        <v>3</v>
      </c>
      <c r="V36" s="354"/>
      <c r="W36" s="354"/>
      <c r="X36" s="354" t="s">
        <v>136</v>
      </c>
      <c r="Y36" s="354"/>
      <c r="Z36" s="354">
        <v>5</v>
      </c>
      <c r="AA36" s="354"/>
      <c r="AB36" s="354"/>
      <c r="AC36" s="354" t="s">
        <v>136</v>
      </c>
      <c r="AD36" s="329">
        <f t="shared" si="0"/>
        <v>5</v>
      </c>
      <c r="AE36" s="342" t="s">
        <v>55</v>
      </c>
      <c r="AF36" s="342" t="s">
        <v>56</v>
      </c>
      <c r="AG36" s="342" t="s">
        <v>72</v>
      </c>
      <c r="AH36" s="342"/>
      <c r="AI36" s="342" t="s">
        <v>128</v>
      </c>
      <c r="AJ36" s="344">
        <v>390000</v>
      </c>
      <c r="AK36" s="345" t="s">
        <v>60</v>
      </c>
    </row>
    <row r="37" spans="1:37" x14ac:dyDescent="0.35">
      <c r="A37" s="346">
        <v>26</v>
      </c>
      <c r="B37" s="347" t="s">
        <v>49</v>
      </c>
      <c r="C37" s="347" t="s">
        <v>137</v>
      </c>
      <c r="D37" s="376" t="s">
        <v>138</v>
      </c>
      <c r="E37" s="377"/>
      <c r="F37" s="377"/>
      <c r="G37" s="378"/>
      <c r="H37" s="334">
        <v>40768</v>
      </c>
      <c r="I37" s="374">
        <v>0.54166666666666663</v>
      </c>
      <c r="J37" s="336"/>
      <c r="K37" s="374"/>
      <c r="L37" s="336">
        <v>40768</v>
      </c>
      <c r="M37" s="374">
        <v>0.625</v>
      </c>
      <c r="N37" s="375" t="s">
        <v>62</v>
      </c>
      <c r="O37" s="354">
        <v>0.5</v>
      </c>
      <c r="P37" s="354"/>
      <c r="Q37" s="354"/>
      <c r="R37" s="354"/>
      <c r="S37" s="354"/>
      <c r="T37" s="355"/>
      <c r="U37" s="354"/>
      <c r="V37" s="354"/>
      <c r="W37" s="354"/>
      <c r="X37" s="354"/>
      <c r="Y37" s="354">
        <v>0.5</v>
      </c>
      <c r="Z37" s="354"/>
      <c r="AA37" s="354"/>
      <c r="AB37" s="354"/>
      <c r="AC37" s="354"/>
      <c r="AD37" s="329">
        <f t="shared" si="0"/>
        <v>0.5</v>
      </c>
      <c r="AE37" s="342" t="s">
        <v>117</v>
      </c>
      <c r="AF37" s="342" t="s">
        <v>56</v>
      </c>
      <c r="AG37" s="342" t="s">
        <v>72</v>
      </c>
      <c r="AH37" s="342"/>
      <c r="AI37" s="342" t="s">
        <v>73</v>
      </c>
      <c r="AJ37" s="344">
        <v>40000</v>
      </c>
      <c r="AK37" s="345" t="s">
        <v>60</v>
      </c>
    </row>
    <row r="38" spans="1:37" x14ac:dyDescent="0.35">
      <c r="A38" s="346">
        <v>27</v>
      </c>
      <c r="B38" s="347" t="s">
        <v>83</v>
      </c>
      <c r="C38" s="347" t="s">
        <v>83</v>
      </c>
      <c r="D38" s="376" t="s">
        <v>129</v>
      </c>
      <c r="E38" s="377" t="s">
        <v>139</v>
      </c>
      <c r="F38" s="377" t="s">
        <v>140</v>
      </c>
      <c r="G38" s="378">
        <v>680</v>
      </c>
      <c r="H38" s="334">
        <v>40769</v>
      </c>
      <c r="I38" s="374">
        <v>0.48958333333333331</v>
      </c>
      <c r="J38" s="336">
        <v>40769</v>
      </c>
      <c r="K38" s="374">
        <v>0.5</v>
      </c>
      <c r="L38" s="336">
        <v>40769</v>
      </c>
      <c r="M38" s="374">
        <v>0.70833333333333337</v>
      </c>
      <c r="N38" s="375" t="s">
        <v>62</v>
      </c>
      <c r="O38" s="354">
        <v>3</v>
      </c>
      <c r="P38" s="354"/>
      <c r="Q38" s="354"/>
      <c r="R38" s="354"/>
      <c r="S38" s="354"/>
      <c r="T38" s="355"/>
      <c r="U38" s="354"/>
      <c r="V38" s="354"/>
      <c r="W38" s="354"/>
      <c r="X38" s="354"/>
      <c r="Y38" s="354">
        <v>3</v>
      </c>
      <c r="Z38" s="354"/>
      <c r="AA38" s="354"/>
      <c r="AB38" s="354"/>
      <c r="AC38" s="354"/>
      <c r="AD38" s="329">
        <f t="shared" si="0"/>
        <v>3</v>
      </c>
      <c r="AE38" s="342" t="s">
        <v>55</v>
      </c>
      <c r="AF38" s="342" t="s">
        <v>56</v>
      </c>
      <c r="AG38" s="342" t="s">
        <v>57</v>
      </c>
      <c r="AH38" s="342" t="s">
        <v>92</v>
      </c>
      <c r="AI38" s="342" t="s">
        <v>73</v>
      </c>
      <c r="AJ38" s="344">
        <v>240000</v>
      </c>
      <c r="AK38" s="345" t="s">
        <v>60</v>
      </c>
    </row>
    <row r="39" spans="1:37" x14ac:dyDescent="0.35">
      <c r="A39" s="346">
        <v>28</v>
      </c>
      <c r="B39" s="347" t="s">
        <v>49</v>
      </c>
      <c r="C39" s="347" t="s">
        <v>137</v>
      </c>
      <c r="D39" s="376" t="s">
        <v>141</v>
      </c>
      <c r="E39" s="377"/>
      <c r="F39" s="377"/>
      <c r="G39" s="378"/>
      <c r="H39" s="334">
        <v>40770</v>
      </c>
      <c r="I39" s="374">
        <v>0.63541666666666663</v>
      </c>
      <c r="J39" s="336"/>
      <c r="K39" s="374"/>
      <c r="L39" s="336">
        <v>40770</v>
      </c>
      <c r="M39" s="374">
        <v>0.6875</v>
      </c>
      <c r="N39" s="375" t="s">
        <v>62</v>
      </c>
      <c r="O39" s="354">
        <v>0.6</v>
      </c>
      <c r="P39" s="354"/>
      <c r="Q39" s="354"/>
      <c r="R39" s="354"/>
      <c r="S39" s="354"/>
      <c r="T39" s="355"/>
      <c r="U39" s="354"/>
      <c r="V39" s="354"/>
      <c r="W39" s="354"/>
      <c r="X39" s="354"/>
      <c r="Y39" s="354">
        <v>0.6</v>
      </c>
      <c r="Z39" s="354"/>
      <c r="AA39" s="354"/>
      <c r="AB39" s="354"/>
      <c r="AC39" s="354"/>
      <c r="AD39" s="329">
        <f t="shared" si="0"/>
        <v>0.6</v>
      </c>
      <c r="AE39" s="342" t="s">
        <v>117</v>
      </c>
      <c r="AF39" s="342" t="s">
        <v>56</v>
      </c>
      <c r="AG39" s="342" t="s">
        <v>72</v>
      </c>
      <c r="AH39" s="342"/>
      <c r="AI39" s="342" t="s">
        <v>73</v>
      </c>
      <c r="AJ39" s="344">
        <v>48000</v>
      </c>
      <c r="AK39" s="345" t="s">
        <v>60</v>
      </c>
    </row>
    <row r="40" spans="1:37" x14ac:dyDescent="0.35">
      <c r="A40" s="346">
        <v>29</v>
      </c>
      <c r="B40" s="347" t="s">
        <v>83</v>
      </c>
      <c r="C40" s="347" t="s">
        <v>83</v>
      </c>
      <c r="D40" s="376" t="s">
        <v>142</v>
      </c>
      <c r="E40" s="377" t="s">
        <v>143</v>
      </c>
      <c r="F40" s="377" t="s">
        <v>144</v>
      </c>
      <c r="G40" s="378"/>
      <c r="H40" s="334">
        <v>40770</v>
      </c>
      <c r="I40" s="374">
        <v>0.59722222222222221</v>
      </c>
      <c r="J40" s="336">
        <v>40770</v>
      </c>
      <c r="K40" s="374">
        <v>0.60416666666666663</v>
      </c>
      <c r="L40" s="336">
        <v>40770</v>
      </c>
      <c r="M40" s="374">
        <v>0.79861111111111116</v>
      </c>
      <c r="N40" s="375" t="s">
        <v>62</v>
      </c>
      <c r="O40" s="354">
        <v>2</v>
      </c>
      <c r="P40" s="354"/>
      <c r="Q40" s="354"/>
      <c r="R40" s="354"/>
      <c r="S40" s="354"/>
      <c r="T40" s="355"/>
      <c r="U40" s="354"/>
      <c r="V40" s="354"/>
      <c r="W40" s="354"/>
      <c r="X40" s="354"/>
      <c r="Y40" s="354">
        <v>2</v>
      </c>
      <c r="Z40" s="354"/>
      <c r="AA40" s="354"/>
      <c r="AB40" s="354"/>
      <c r="AC40" s="354"/>
      <c r="AD40" s="329">
        <f t="shared" si="0"/>
        <v>2</v>
      </c>
      <c r="AE40" s="342" t="s">
        <v>117</v>
      </c>
      <c r="AF40" s="342" t="s">
        <v>56</v>
      </c>
      <c r="AG40" s="342" t="s">
        <v>57</v>
      </c>
      <c r="AH40" s="342" t="s">
        <v>92</v>
      </c>
      <c r="AI40" s="342" t="s">
        <v>73</v>
      </c>
      <c r="AJ40" s="344">
        <v>160000</v>
      </c>
      <c r="AK40" s="345" t="s">
        <v>60</v>
      </c>
    </row>
    <row r="41" spans="1:37" x14ac:dyDescent="0.35">
      <c r="A41" s="346">
        <v>30</v>
      </c>
      <c r="B41" s="347" t="s">
        <v>145</v>
      </c>
      <c r="C41" s="347" t="s">
        <v>145</v>
      </c>
      <c r="D41" s="376" t="s">
        <v>146</v>
      </c>
      <c r="E41" s="377" t="s">
        <v>147</v>
      </c>
      <c r="F41" s="377" t="s">
        <v>148</v>
      </c>
      <c r="G41" s="378">
        <v>640</v>
      </c>
      <c r="H41" s="334">
        <v>40770</v>
      </c>
      <c r="I41" s="374">
        <v>0.65625</v>
      </c>
      <c r="J41" s="336">
        <v>40770</v>
      </c>
      <c r="K41" s="374">
        <v>0.65972222222222221</v>
      </c>
      <c r="L41" s="336">
        <v>40770</v>
      </c>
      <c r="M41" s="374">
        <v>0.8125</v>
      </c>
      <c r="N41" s="375" t="s">
        <v>41</v>
      </c>
      <c r="O41" s="354"/>
      <c r="P41" s="354">
        <v>0.48</v>
      </c>
      <c r="Q41" s="354">
        <v>3.5</v>
      </c>
      <c r="R41" s="354"/>
      <c r="S41" s="354"/>
      <c r="T41" s="355"/>
      <c r="U41" s="354"/>
      <c r="V41" s="354"/>
      <c r="W41" s="354"/>
      <c r="X41" s="354"/>
      <c r="Y41" s="354"/>
      <c r="Z41" s="354">
        <v>0.48</v>
      </c>
      <c r="AA41" s="354">
        <v>3.5</v>
      </c>
      <c r="AB41" s="354"/>
      <c r="AC41" s="354"/>
      <c r="AD41" s="329">
        <f t="shared" si="0"/>
        <v>3.98</v>
      </c>
      <c r="AE41" s="342" t="s">
        <v>55</v>
      </c>
      <c r="AF41" s="342" t="s">
        <v>56</v>
      </c>
      <c r="AG41" s="342" t="s">
        <v>57</v>
      </c>
      <c r="AH41" s="342" t="s">
        <v>149</v>
      </c>
      <c r="AI41" s="342" t="s">
        <v>73</v>
      </c>
      <c r="AJ41" s="344">
        <v>91500</v>
      </c>
      <c r="AK41" s="345" t="s">
        <v>60</v>
      </c>
    </row>
    <row r="42" spans="1:37" x14ac:dyDescent="0.35">
      <c r="A42" s="346">
        <v>31</v>
      </c>
      <c r="B42" s="347" t="s">
        <v>49</v>
      </c>
      <c r="C42" s="347" t="s">
        <v>150</v>
      </c>
      <c r="D42" s="379" t="s">
        <v>151</v>
      </c>
      <c r="E42" s="380"/>
      <c r="F42" s="380"/>
      <c r="G42" s="380"/>
      <c r="H42" s="334">
        <v>40771</v>
      </c>
      <c r="I42" s="374">
        <v>0.51041666666666663</v>
      </c>
      <c r="J42" s="336"/>
      <c r="K42" s="374"/>
      <c r="L42" s="336">
        <v>40771</v>
      </c>
      <c r="M42" s="374">
        <v>0.83333333333333337</v>
      </c>
      <c r="N42" s="375" t="s">
        <v>62</v>
      </c>
      <c r="O42" s="354">
        <v>4</v>
      </c>
      <c r="P42" s="354"/>
      <c r="Q42" s="354"/>
      <c r="R42" s="354"/>
      <c r="S42" s="354"/>
      <c r="T42" s="355"/>
      <c r="U42" s="354"/>
      <c r="V42" s="354"/>
      <c r="W42" s="354"/>
      <c r="X42" s="354"/>
      <c r="Y42" s="354">
        <v>4</v>
      </c>
      <c r="Z42" s="354"/>
      <c r="AA42" s="354"/>
      <c r="AB42" s="354"/>
      <c r="AC42" s="354"/>
      <c r="AD42" s="329">
        <f t="shared" si="0"/>
        <v>4</v>
      </c>
      <c r="AE42" s="342" t="s">
        <v>66</v>
      </c>
      <c r="AF42" s="342" t="s">
        <v>56</v>
      </c>
      <c r="AG42" s="342" t="s">
        <v>57</v>
      </c>
      <c r="AH42" s="342"/>
      <c r="AI42" s="342" t="s">
        <v>73</v>
      </c>
      <c r="AJ42" s="344">
        <v>320000</v>
      </c>
      <c r="AK42" s="345" t="s">
        <v>60</v>
      </c>
    </row>
    <row r="43" spans="1:37" x14ac:dyDescent="0.35">
      <c r="A43" s="346">
        <v>32</v>
      </c>
      <c r="B43" s="347" t="s">
        <v>68</v>
      </c>
      <c r="C43" s="347" t="s">
        <v>105</v>
      </c>
      <c r="D43" s="379" t="s">
        <v>152</v>
      </c>
      <c r="E43" s="380"/>
      <c r="F43" s="380"/>
      <c r="G43" s="380"/>
      <c r="H43" s="334">
        <v>40772</v>
      </c>
      <c r="I43" s="374">
        <v>0.36805555555555558</v>
      </c>
      <c r="J43" s="336"/>
      <c r="K43" s="374"/>
      <c r="L43" s="336">
        <v>40772</v>
      </c>
      <c r="M43" s="374">
        <v>0.4597222222222222</v>
      </c>
      <c r="N43" s="375" t="s">
        <v>123</v>
      </c>
      <c r="O43" s="354"/>
      <c r="P43" s="354"/>
      <c r="Q43" s="354"/>
      <c r="R43" s="354"/>
      <c r="S43" s="354"/>
      <c r="T43" s="355"/>
      <c r="U43" s="354">
        <v>0.25</v>
      </c>
      <c r="V43" s="354"/>
      <c r="W43" s="354"/>
      <c r="X43" s="354"/>
      <c r="Y43" s="354"/>
      <c r="Z43" s="354">
        <v>0.25</v>
      </c>
      <c r="AA43" s="354"/>
      <c r="AB43" s="354"/>
      <c r="AC43" s="354"/>
      <c r="AD43" s="329">
        <f t="shared" si="0"/>
        <v>0.25</v>
      </c>
      <c r="AE43" s="342" t="s">
        <v>117</v>
      </c>
      <c r="AF43" s="342" t="s">
        <v>56</v>
      </c>
      <c r="AG43" s="342" t="s">
        <v>72</v>
      </c>
      <c r="AH43" s="342"/>
      <c r="AI43" s="342" t="s">
        <v>67</v>
      </c>
      <c r="AJ43" s="344">
        <v>1950</v>
      </c>
      <c r="AK43" s="345" t="s">
        <v>60</v>
      </c>
    </row>
    <row r="44" spans="1:37" x14ac:dyDescent="0.35">
      <c r="A44" s="346">
        <v>33</v>
      </c>
      <c r="B44" s="347" t="s">
        <v>49</v>
      </c>
      <c r="C44" s="347" t="s">
        <v>76</v>
      </c>
      <c r="D44" s="379" t="s">
        <v>153</v>
      </c>
      <c r="E44" s="380"/>
      <c r="F44" s="380"/>
      <c r="G44" s="380"/>
      <c r="H44" s="334">
        <v>40772</v>
      </c>
      <c r="I44" s="352">
        <v>0.54166666666666663</v>
      </c>
      <c r="J44" s="336"/>
      <c r="K44" s="374"/>
      <c r="L44" s="336">
        <v>40772</v>
      </c>
      <c r="M44" s="352">
        <v>0.60416666666666663</v>
      </c>
      <c r="N44" s="339" t="s">
        <v>62</v>
      </c>
      <c r="O44" s="354">
        <v>1</v>
      </c>
      <c r="P44" s="354"/>
      <c r="Q44" s="354"/>
      <c r="R44" s="354"/>
      <c r="S44" s="354"/>
      <c r="T44" s="355"/>
      <c r="U44" s="354"/>
      <c r="V44" s="354"/>
      <c r="W44" s="354"/>
      <c r="X44" s="354"/>
      <c r="Y44" s="354">
        <v>1</v>
      </c>
      <c r="Z44" s="354"/>
      <c r="AA44" s="354"/>
      <c r="AB44" s="354"/>
      <c r="AC44" s="354"/>
      <c r="AD44" s="329">
        <f t="shared" si="0"/>
        <v>1</v>
      </c>
      <c r="AE44" s="340" t="s">
        <v>117</v>
      </c>
      <c r="AF44" s="340" t="s">
        <v>56</v>
      </c>
      <c r="AG44" s="342" t="s">
        <v>72</v>
      </c>
      <c r="AH44" s="342"/>
      <c r="AI44" s="343" t="s">
        <v>59</v>
      </c>
      <c r="AJ44" s="344">
        <v>80000</v>
      </c>
      <c r="AK44" s="345" t="s">
        <v>60</v>
      </c>
    </row>
    <row r="45" spans="1:37" x14ac:dyDescent="0.35">
      <c r="A45" s="346">
        <v>34</v>
      </c>
      <c r="B45" s="347" t="s">
        <v>49</v>
      </c>
      <c r="C45" s="347" t="s">
        <v>150</v>
      </c>
      <c r="D45" s="379" t="s">
        <v>151</v>
      </c>
      <c r="E45" s="381"/>
      <c r="F45" s="381"/>
      <c r="G45" s="381"/>
      <c r="H45" s="336">
        <v>40772</v>
      </c>
      <c r="I45" s="352">
        <v>0.69444444444444453</v>
      </c>
      <c r="J45" s="336"/>
      <c r="K45" s="374"/>
      <c r="L45" s="336">
        <v>40772</v>
      </c>
      <c r="M45" s="352">
        <v>0.77083333333333337</v>
      </c>
      <c r="N45" s="340" t="s">
        <v>62</v>
      </c>
      <c r="O45" s="354">
        <v>1.5</v>
      </c>
      <c r="P45" s="354"/>
      <c r="Q45" s="354"/>
      <c r="R45" s="354"/>
      <c r="S45" s="354"/>
      <c r="T45" s="355"/>
      <c r="U45" s="354"/>
      <c r="V45" s="354"/>
      <c r="W45" s="354"/>
      <c r="X45" s="354"/>
      <c r="Y45" s="354">
        <v>1.5</v>
      </c>
      <c r="Z45" s="354"/>
      <c r="AA45" s="354"/>
      <c r="AB45" s="354"/>
      <c r="AC45" s="354"/>
      <c r="AD45" s="329">
        <f t="shared" si="0"/>
        <v>1.5</v>
      </c>
      <c r="AE45" s="340" t="s">
        <v>63</v>
      </c>
      <c r="AF45" s="340" t="s">
        <v>56</v>
      </c>
      <c r="AG45" s="342" t="s">
        <v>72</v>
      </c>
      <c r="AH45" s="342"/>
      <c r="AI45" s="343" t="s">
        <v>65</v>
      </c>
      <c r="AJ45" s="344">
        <v>120000</v>
      </c>
      <c r="AK45" s="345" t="s">
        <v>60</v>
      </c>
    </row>
    <row r="46" spans="1:37" x14ac:dyDescent="0.35">
      <c r="A46" s="346">
        <v>35</v>
      </c>
      <c r="B46" s="347" t="s">
        <v>83</v>
      </c>
      <c r="C46" s="347" t="s">
        <v>83</v>
      </c>
      <c r="D46" s="379" t="s">
        <v>154</v>
      </c>
      <c r="E46" s="380" t="s">
        <v>155</v>
      </c>
      <c r="F46" s="380" t="s">
        <v>156</v>
      </c>
      <c r="G46" s="380">
        <v>892</v>
      </c>
      <c r="H46" s="334">
        <v>40773</v>
      </c>
      <c r="I46" s="352">
        <v>0.44791666666666669</v>
      </c>
      <c r="J46" s="334">
        <v>40773</v>
      </c>
      <c r="K46" s="352">
        <v>0.4513888888888889</v>
      </c>
      <c r="L46" s="334">
        <v>40773</v>
      </c>
      <c r="M46" s="352">
        <v>0.47916666666666669</v>
      </c>
      <c r="N46" s="340" t="s">
        <v>41</v>
      </c>
      <c r="O46" s="354"/>
      <c r="P46" s="354"/>
      <c r="Q46" s="354">
        <v>0.02</v>
      </c>
      <c r="R46" s="354"/>
      <c r="S46" s="354"/>
      <c r="T46" s="355"/>
      <c r="U46" s="354"/>
      <c r="V46" s="354"/>
      <c r="W46" s="354"/>
      <c r="X46" s="354"/>
      <c r="Y46" s="354"/>
      <c r="Z46" s="354"/>
      <c r="AA46" s="354">
        <v>0.02</v>
      </c>
      <c r="AB46" s="354"/>
      <c r="AC46" s="354"/>
      <c r="AD46" s="329">
        <f t="shared" si="0"/>
        <v>0.02</v>
      </c>
      <c r="AE46" s="340" t="s">
        <v>117</v>
      </c>
      <c r="AF46" s="340" t="s">
        <v>56</v>
      </c>
      <c r="AG46" s="382" t="s">
        <v>57</v>
      </c>
      <c r="AH46" s="382" t="s">
        <v>64</v>
      </c>
      <c r="AI46" s="340" t="s">
        <v>65</v>
      </c>
      <c r="AJ46" s="344">
        <v>300</v>
      </c>
      <c r="AK46" s="345" t="s">
        <v>60</v>
      </c>
    </row>
    <row r="47" spans="1:37" x14ac:dyDescent="0.35">
      <c r="A47" s="346">
        <v>36</v>
      </c>
      <c r="B47" s="347" t="s">
        <v>68</v>
      </c>
      <c r="C47" s="347" t="s">
        <v>157</v>
      </c>
      <c r="D47" s="379" t="s">
        <v>158</v>
      </c>
      <c r="E47" s="380"/>
      <c r="F47" s="380"/>
      <c r="G47" s="380"/>
      <c r="H47" s="334">
        <v>40773</v>
      </c>
      <c r="I47" s="352">
        <v>0.5</v>
      </c>
      <c r="J47" s="334"/>
      <c r="K47" s="352"/>
      <c r="L47" s="334">
        <v>40773</v>
      </c>
      <c r="M47" s="352">
        <v>0.58333333333333337</v>
      </c>
      <c r="N47" s="340" t="s">
        <v>123</v>
      </c>
      <c r="O47" s="354"/>
      <c r="P47" s="354">
        <v>1.5</v>
      </c>
      <c r="Q47" s="354"/>
      <c r="R47" s="354"/>
      <c r="S47" s="354"/>
      <c r="T47" s="355"/>
      <c r="U47" s="354"/>
      <c r="V47" s="354"/>
      <c r="W47" s="354"/>
      <c r="X47" s="354"/>
      <c r="Y47" s="354"/>
      <c r="Z47" s="354">
        <v>1.5</v>
      </c>
      <c r="AA47" s="354"/>
      <c r="AB47" s="354"/>
      <c r="AC47" s="354"/>
      <c r="AD47" s="329">
        <f t="shared" si="0"/>
        <v>1.5</v>
      </c>
      <c r="AE47" s="340" t="s">
        <v>117</v>
      </c>
      <c r="AF47" s="340" t="s">
        <v>56</v>
      </c>
      <c r="AG47" s="340" t="s">
        <v>72</v>
      </c>
      <c r="AH47" s="340"/>
      <c r="AI47" s="340" t="s">
        <v>73</v>
      </c>
      <c r="AJ47" s="344">
        <v>117000</v>
      </c>
      <c r="AK47" s="345" t="s">
        <v>60</v>
      </c>
    </row>
    <row r="48" spans="1:37" x14ac:dyDescent="0.35">
      <c r="A48" s="346">
        <v>37</v>
      </c>
      <c r="B48" s="347" t="s">
        <v>49</v>
      </c>
      <c r="C48" s="347" t="s">
        <v>76</v>
      </c>
      <c r="D48" s="379" t="s">
        <v>159</v>
      </c>
      <c r="E48" s="380"/>
      <c r="F48" s="380"/>
      <c r="G48" s="380"/>
      <c r="H48" s="334">
        <v>40773</v>
      </c>
      <c r="I48" s="352">
        <v>0.63888888888888895</v>
      </c>
      <c r="J48" s="334"/>
      <c r="K48" s="352"/>
      <c r="L48" s="334">
        <v>40773</v>
      </c>
      <c r="M48" s="352">
        <v>0.8125</v>
      </c>
      <c r="N48" s="340" t="s">
        <v>62</v>
      </c>
      <c r="O48" s="354">
        <v>5</v>
      </c>
      <c r="P48" s="354"/>
      <c r="Q48" s="354">
        <v>10</v>
      </c>
      <c r="R48" s="354"/>
      <c r="S48" s="354"/>
      <c r="T48" s="355"/>
      <c r="U48" s="354"/>
      <c r="V48" s="354"/>
      <c r="W48" s="354"/>
      <c r="X48" s="354"/>
      <c r="Y48" s="354">
        <v>5</v>
      </c>
      <c r="Z48" s="354"/>
      <c r="AA48" s="354">
        <v>10</v>
      </c>
      <c r="AB48" s="354"/>
      <c r="AC48" s="354"/>
      <c r="AD48" s="329">
        <f t="shared" si="0"/>
        <v>15</v>
      </c>
      <c r="AE48" s="340" t="s">
        <v>66</v>
      </c>
      <c r="AF48" s="340" t="s">
        <v>56</v>
      </c>
      <c r="AG48" s="340" t="s">
        <v>57</v>
      </c>
      <c r="AH48" s="340"/>
      <c r="AI48" s="343" t="s">
        <v>67</v>
      </c>
      <c r="AJ48" s="344">
        <v>550000</v>
      </c>
      <c r="AK48" s="345" t="s">
        <v>60</v>
      </c>
    </row>
    <row r="49" spans="1:37" x14ac:dyDescent="0.35">
      <c r="A49" s="346">
        <v>38</v>
      </c>
      <c r="B49" s="347" t="s">
        <v>49</v>
      </c>
      <c r="C49" s="347" t="s">
        <v>150</v>
      </c>
      <c r="D49" s="379" t="s">
        <v>151</v>
      </c>
      <c r="E49" s="380"/>
      <c r="F49" s="380"/>
      <c r="G49" s="380"/>
      <c r="H49" s="334">
        <v>40773</v>
      </c>
      <c r="I49" s="352">
        <v>0.64583333333333337</v>
      </c>
      <c r="J49" s="334"/>
      <c r="K49" s="352"/>
      <c r="L49" s="334">
        <v>40773</v>
      </c>
      <c r="M49" s="352">
        <v>0.76041666666666663</v>
      </c>
      <c r="N49" s="340" t="s">
        <v>62</v>
      </c>
      <c r="O49" s="354">
        <v>2</v>
      </c>
      <c r="P49" s="354"/>
      <c r="Q49" s="354"/>
      <c r="R49" s="354"/>
      <c r="S49" s="354"/>
      <c r="T49" s="355"/>
      <c r="U49" s="354"/>
      <c r="V49" s="354"/>
      <c r="W49" s="354"/>
      <c r="X49" s="354"/>
      <c r="Y49" s="354">
        <v>2</v>
      </c>
      <c r="Z49" s="354"/>
      <c r="AA49" s="354"/>
      <c r="AB49" s="354"/>
      <c r="AC49" s="354"/>
      <c r="AD49" s="329">
        <f t="shared" si="0"/>
        <v>2</v>
      </c>
      <c r="AE49" s="340" t="s">
        <v>66</v>
      </c>
      <c r="AF49" s="340" t="s">
        <v>56</v>
      </c>
      <c r="AG49" s="340" t="s">
        <v>72</v>
      </c>
      <c r="AH49" s="340"/>
      <c r="AI49" s="340" t="s">
        <v>65</v>
      </c>
      <c r="AJ49" s="344">
        <v>160000</v>
      </c>
      <c r="AK49" s="345" t="s">
        <v>60</v>
      </c>
    </row>
    <row r="50" spans="1:37" x14ac:dyDescent="0.35">
      <c r="A50" s="346">
        <v>39</v>
      </c>
      <c r="B50" s="347" t="s">
        <v>160</v>
      </c>
      <c r="C50" s="347" t="s">
        <v>160</v>
      </c>
      <c r="D50" s="379" t="s">
        <v>161</v>
      </c>
      <c r="E50" s="380"/>
      <c r="F50" s="380"/>
      <c r="G50" s="380"/>
      <c r="H50" s="334">
        <v>40774</v>
      </c>
      <c r="I50" s="364">
        <v>0.33333333333333331</v>
      </c>
      <c r="J50" s="363"/>
      <c r="K50" s="364"/>
      <c r="L50" s="334">
        <v>40774</v>
      </c>
      <c r="M50" s="364">
        <v>0.40625</v>
      </c>
      <c r="N50" s="340" t="s">
        <v>62</v>
      </c>
      <c r="O50" s="354"/>
      <c r="P50" s="354"/>
      <c r="Q50" s="354"/>
      <c r="R50" s="354"/>
      <c r="S50" s="354"/>
      <c r="T50" s="355">
        <v>0.2</v>
      </c>
      <c r="U50" s="354"/>
      <c r="V50" s="354"/>
      <c r="W50" s="354"/>
      <c r="X50" s="354"/>
      <c r="Y50" s="354">
        <v>0.2</v>
      </c>
      <c r="Z50" s="354"/>
      <c r="AA50" s="354"/>
      <c r="AB50" s="354"/>
      <c r="AC50" s="354"/>
      <c r="AD50" s="329">
        <f t="shared" si="0"/>
        <v>0.2</v>
      </c>
      <c r="AE50" s="340" t="s">
        <v>66</v>
      </c>
      <c r="AF50" s="340" t="s">
        <v>56</v>
      </c>
      <c r="AG50" s="340" t="s">
        <v>57</v>
      </c>
      <c r="AH50" s="340"/>
      <c r="AI50" s="343" t="s">
        <v>73</v>
      </c>
      <c r="AJ50" s="344">
        <v>16000</v>
      </c>
      <c r="AK50" s="345" t="s">
        <v>60</v>
      </c>
    </row>
    <row r="51" spans="1:37" x14ac:dyDescent="0.35">
      <c r="A51" s="346">
        <v>40</v>
      </c>
      <c r="B51" s="347" t="s">
        <v>145</v>
      </c>
      <c r="C51" s="347" t="s">
        <v>145</v>
      </c>
      <c r="D51" s="379" t="s">
        <v>162</v>
      </c>
      <c r="E51" s="380" t="s">
        <v>163</v>
      </c>
      <c r="F51" s="380" t="s">
        <v>164</v>
      </c>
      <c r="G51" s="380">
        <v>605</v>
      </c>
      <c r="H51" s="334">
        <v>40774</v>
      </c>
      <c r="I51" s="364">
        <v>0.65625</v>
      </c>
      <c r="J51" s="363">
        <v>40774</v>
      </c>
      <c r="K51" s="364">
        <v>0.66666666666666663</v>
      </c>
      <c r="L51" s="334">
        <v>40774</v>
      </c>
      <c r="M51" s="364">
        <v>0.68402777777777779</v>
      </c>
      <c r="N51" s="340" t="s">
        <v>165</v>
      </c>
      <c r="O51" s="354"/>
      <c r="P51" s="354"/>
      <c r="Q51" s="354"/>
      <c r="R51" s="354"/>
      <c r="S51" s="354"/>
      <c r="T51" s="355">
        <v>0.02</v>
      </c>
      <c r="U51" s="354"/>
      <c r="V51" s="354"/>
      <c r="W51" s="354"/>
      <c r="X51" s="354"/>
      <c r="Y51" s="354">
        <v>0.02</v>
      </c>
      <c r="Z51" s="354"/>
      <c r="AA51" s="354"/>
      <c r="AB51" s="354"/>
      <c r="AC51" s="354"/>
      <c r="AD51" s="329">
        <f t="shared" si="0"/>
        <v>0.02</v>
      </c>
      <c r="AE51" s="340" t="s">
        <v>117</v>
      </c>
      <c r="AF51" s="340" t="s">
        <v>56</v>
      </c>
      <c r="AG51" s="340" t="s">
        <v>57</v>
      </c>
      <c r="AH51" s="340" t="s">
        <v>166</v>
      </c>
      <c r="AI51" s="340" t="s">
        <v>73</v>
      </c>
      <c r="AJ51" s="344">
        <v>1600</v>
      </c>
      <c r="AK51" s="345" t="s">
        <v>60</v>
      </c>
    </row>
    <row r="52" spans="1:37" x14ac:dyDescent="0.35">
      <c r="A52" s="346">
        <v>41</v>
      </c>
      <c r="B52" s="347" t="s">
        <v>49</v>
      </c>
      <c r="C52" s="347" t="s">
        <v>150</v>
      </c>
      <c r="D52" s="379" t="s">
        <v>167</v>
      </c>
      <c r="E52" s="380"/>
      <c r="F52" s="380"/>
      <c r="G52" s="380"/>
      <c r="H52" s="334">
        <v>40774</v>
      </c>
      <c r="I52" s="364">
        <v>0.68055555555555547</v>
      </c>
      <c r="J52" s="363"/>
      <c r="K52" s="364"/>
      <c r="L52" s="334">
        <v>40774</v>
      </c>
      <c r="M52" s="364">
        <v>0.77777777777777779</v>
      </c>
      <c r="N52" s="340" t="s">
        <v>62</v>
      </c>
      <c r="O52" s="354">
        <v>2</v>
      </c>
      <c r="P52" s="354"/>
      <c r="Q52" s="354"/>
      <c r="R52" s="354"/>
      <c r="S52" s="354"/>
      <c r="T52" s="355"/>
      <c r="U52" s="354"/>
      <c r="V52" s="354"/>
      <c r="W52" s="354"/>
      <c r="X52" s="354"/>
      <c r="Y52" s="354">
        <v>2</v>
      </c>
      <c r="Z52" s="354"/>
      <c r="AA52" s="354"/>
      <c r="AB52" s="354"/>
      <c r="AC52" s="354"/>
      <c r="AD52" s="329">
        <f t="shared" si="0"/>
        <v>2</v>
      </c>
      <c r="AE52" s="340" t="s">
        <v>117</v>
      </c>
      <c r="AF52" s="340" t="s">
        <v>56</v>
      </c>
      <c r="AG52" s="340" t="s">
        <v>72</v>
      </c>
      <c r="AH52" s="340"/>
      <c r="AI52" s="343" t="s">
        <v>65</v>
      </c>
      <c r="AJ52" s="344">
        <v>160000</v>
      </c>
      <c r="AK52" s="345" t="s">
        <v>60</v>
      </c>
    </row>
    <row r="53" spans="1:37" x14ac:dyDescent="0.35">
      <c r="A53" s="346">
        <v>42</v>
      </c>
      <c r="B53" s="347" t="s">
        <v>83</v>
      </c>
      <c r="C53" s="347" t="s">
        <v>83</v>
      </c>
      <c r="D53" s="379" t="s">
        <v>168</v>
      </c>
      <c r="E53" s="380" t="s">
        <v>169</v>
      </c>
      <c r="F53" s="380" t="s">
        <v>170</v>
      </c>
      <c r="G53" s="380">
        <v>549</v>
      </c>
      <c r="H53" s="334">
        <v>40774</v>
      </c>
      <c r="I53" s="364">
        <v>0.66666666666666663</v>
      </c>
      <c r="J53" s="363">
        <v>40774</v>
      </c>
      <c r="K53" s="364">
        <v>0.67708333333333337</v>
      </c>
      <c r="L53" s="334">
        <v>40774</v>
      </c>
      <c r="M53" s="364">
        <v>0.79166666666666663</v>
      </c>
      <c r="N53" s="340" t="s">
        <v>41</v>
      </c>
      <c r="O53" s="354"/>
      <c r="P53" s="354"/>
      <c r="Q53" s="354">
        <v>0.3</v>
      </c>
      <c r="R53" s="354"/>
      <c r="S53" s="354"/>
      <c r="T53" s="355"/>
      <c r="U53" s="354"/>
      <c r="V53" s="354"/>
      <c r="W53" s="354"/>
      <c r="X53" s="354"/>
      <c r="Y53" s="354"/>
      <c r="Z53" s="354"/>
      <c r="AA53" s="354">
        <v>0.3</v>
      </c>
      <c r="AB53" s="354"/>
      <c r="AC53" s="354"/>
      <c r="AD53" s="329">
        <f t="shared" si="0"/>
        <v>0.3</v>
      </c>
      <c r="AE53" s="340" t="s">
        <v>55</v>
      </c>
      <c r="AF53" s="340" t="s">
        <v>56</v>
      </c>
      <c r="AG53" s="340" t="s">
        <v>57</v>
      </c>
      <c r="AH53" s="340" t="s">
        <v>166</v>
      </c>
      <c r="AI53" s="340" t="s">
        <v>65</v>
      </c>
      <c r="AJ53" s="344">
        <v>6000</v>
      </c>
      <c r="AK53" s="345" t="s">
        <v>60</v>
      </c>
    </row>
    <row r="54" spans="1:37" x14ac:dyDescent="0.35">
      <c r="A54" s="346">
        <v>43</v>
      </c>
      <c r="B54" s="347" t="s">
        <v>49</v>
      </c>
      <c r="C54" s="347" t="s">
        <v>137</v>
      </c>
      <c r="D54" s="379" t="s">
        <v>171</v>
      </c>
      <c r="E54" s="380"/>
      <c r="F54" s="380"/>
      <c r="G54" s="380"/>
      <c r="H54" s="334">
        <v>40774</v>
      </c>
      <c r="I54" s="364">
        <v>0.66666666666666663</v>
      </c>
      <c r="J54" s="363"/>
      <c r="K54" s="364"/>
      <c r="L54" s="334">
        <v>40774</v>
      </c>
      <c r="M54" s="364">
        <v>0.79166666666666663</v>
      </c>
      <c r="N54" s="340" t="s">
        <v>62</v>
      </c>
      <c r="O54" s="354">
        <v>0.2</v>
      </c>
      <c r="P54" s="354"/>
      <c r="Q54" s="354"/>
      <c r="R54" s="354"/>
      <c r="S54" s="354"/>
      <c r="T54" s="355"/>
      <c r="U54" s="354"/>
      <c r="V54" s="354"/>
      <c r="W54" s="354"/>
      <c r="X54" s="354"/>
      <c r="Y54" s="354">
        <v>0.2</v>
      </c>
      <c r="Z54" s="354"/>
      <c r="AA54" s="354"/>
      <c r="AB54" s="354"/>
      <c r="AC54" s="354"/>
      <c r="AD54" s="329">
        <f t="shared" si="0"/>
        <v>0.2</v>
      </c>
      <c r="AE54" s="340" t="s">
        <v>66</v>
      </c>
      <c r="AF54" s="340" t="s">
        <v>56</v>
      </c>
      <c r="AG54" s="340" t="s">
        <v>57</v>
      </c>
      <c r="AH54" s="340"/>
      <c r="AI54" s="340" t="s">
        <v>65</v>
      </c>
      <c r="AJ54" s="344">
        <v>16000</v>
      </c>
      <c r="AK54" s="345" t="s">
        <v>60</v>
      </c>
    </row>
    <row r="55" spans="1:37" x14ac:dyDescent="0.35">
      <c r="A55" s="346">
        <v>44</v>
      </c>
      <c r="B55" s="347" t="s">
        <v>49</v>
      </c>
      <c r="C55" s="347" t="s">
        <v>150</v>
      </c>
      <c r="D55" s="379" t="s">
        <v>172</v>
      </c>
      <c r="E55" s="380"/>
      <c r="F55" s="380"/>
      <c r="G55" s="380"/>
      <c r="H55" s="334">
        <v>40776</v>
      </c>
      <c r="I55" s="364">
        <v>0.73611111111111116</v>
      </c>
      <c r="J55" s="363"/>
      <c r="K55" s="364"/>
      <c r="L55" s="334">
        <v>40776</v>
      </c>
      <c r="M55" s="364">
        <v>0.8125</v>
      </c>
      <c r="N55" s="340" t="s">
        <v>62</v>
      </c>
      <c r="O55" s="354">
        <v>8</v>
      </c>
      <c r="P55" s="354"/>
      <c r="Q55" s="354"/>
      <c r="R55" s="354"/>
      <c r="S55" s="354"/>
      <c r="T55" s="355"/>
      <c r="U55" s="354"/>
      <c r="V55" s="354"/>
      <c r="W55" s="354"/>
      <c r="X55" s="354"/>
      <c r="Y55" s="354">
        <v>8</v>
      </c>
      <c r="Z55" s="354"/>
      <c r="AA55" s="354"/>
      <c r="AB55" s="354"/>
      <c r="AC55" s="354"/>
      <c r="AD55" s="329">
        <f t="shared" si="0"/>
        <v>8</v>
      </c>
      <c r="AE55" s="340" t="s">
        <v>117</v>
      </c>
      <c r="AF55" s="340" t="s">
        <v>56</v>
      </c>
      <c r="AG55" s="340" t="s">
        <v>72</v>
      </c>
      <c r="AH55" s="340"/>
      <c r="AI55" s="340" t="s">
        <v>73</v>
      </c>
      <c r="AJ55" s="344">
        <v>640000</v>
      </c>
      <c r="AK55" s="345" t="s">
        <v>60</v>
      </c>
    </row>
    <row r="56" spans="1:37" x14ac:dyDescent="0.35">
      <c r="A56" s="346">
        <v>45</v>
      </c>
      <c r="B56" s="347" t="s">
        <v>78</v>
      </c>
      <c r="C56" s="347" t="s">
        <v>173</v>
      </c>
      <c r="D56" s="379" t="s">
        <v>174</v>
      </c>
      <c r="E56" s="380"/>
      <c r="F56" s="380"/>
      <c r="G56" s="380"/>
      <c r="H56" s="334">
        <v>40777</v>
      </c>
      <c r="I56" s="364">
        <v>0.55555555555555558</v>
      </c>
      <c r="J56" s="363"/>
      <c r="K56" s="364"/>
      <c r="L56" s="334">
        <v>40777</v>
      </c>
      <c r="M56" s="364">
        <v>0.83333333333333337</v>
      </c>
      <c r="N56" s="340" t="s">
        <v>62</v>
      </c>
      <c r="O56" s="354">
        <v>1</v>
      </c>
      <c r="P56" s="354"/>
      <c r="Q56" s="354"/>
      <c r="R56" s="354"/>
      <c r="S56" s="354"/>
      <c r="T56" s="355"/>
      <c r="U56" s="354"/>
      <c r="V56" s="354"/>
      <c r="W56" s="354"/>
      <c r="X56" s="354"/>
      <c r="Y56" s="354">
        <v>1</v>
      </c>
      <c r="Z56" s="354"/>
      <c r="AA56" s="354"/>
      <c r="AB56" s="354"/>
      <c r="AC56" s="354"/>
      <c r="AD56" s="329">
        <f t="shared" si="0"/>
        <v>1</v>
      </c>
      <c r="AE56" s="340" t="s">
        <v>117</v>
      </c>
      <c r="AF56" s="340" t="s">
        <v>56</v>
      </c>
      <c r="AG56" s="340" t="s">
        <v>72</v>
      </c>
      <c r="AH56" s="340"/>
      <c r="AI56" s="340" t="s">
        <v>175</v>
      </c>
      <c r="AJ56" s="344">
        <v>320000</v>
      </c>
      <c r="AK56" s="345" t="s">
        <v>60</v>
      </c>
    </row>
    <row r="57" spans="1:37" x14ac:dyDescent="0.35">
      <c r="A57" s="346">
        <v>46</v>
      </c>
      <c r="B57" s="347" t="s">
        <v>49</v>
      </c>
      <c r="C57" s="347" t="s">
        <v>50</v>
      </c>
      <c r="D57" s="379" t="s">
        <v>176</v>
      </c>
      <c r="E57" s="380" t="s">
        <v>177</v>
      </c>
      <c r="F57" s="380" t="s">
        <v>178</v>
      </c>
      <c r="G57" s="380">
        <v>900</v>
      </c>
      <c r="H57" s="334">
        <v>40777</v>
      </c>
      <c r="I57" s="364">
        <v>0.57291666666666663</v>
      </c>
      <c r="J57" s="363">
        <v>40777</v>
      </c>
      <c r="K57" s="364">
        <v>0.57638888888888895</v>
      </c>
      <c r="L57" s="334">
        <v>40777</v>
      </c>
      <c r="M57" s="364">
        <v>0.75</v>
      </c>
      <c r="N57" s="340" t="s">
        <v>123</v>
      </c>
      <c r="O57" s="354"/>
      <c r="P57" s="354"/>
      <c r="Q57" s="354"/>
      <c r="R57" s="354"/>
      <c r="S57" s="354"/>
      <c r="T57" s="355"/>
      <c r="U57" s="354">
        <v>3</v>
      </c>
      <c r="V57" s="354"/>
      <c r="W57" s="354"/>
      <c r="X57" s="354"/>
      <c r="Y57" s="354"/>
      <c r="Z57" s="354">
        <v>3</v>
      </c>
      <c r="AA57" s="354"/>
      <c r="AB57" s="354"/>
      <c r="AC57" s="354"/>
      <c r="AD57" s="329">
        <f t="shared" si="0"/>
        <v>3</v>
      </c>
      <c r="AE57" s="340" t="s">
        <v>55</v>
      </c>
      <c r="AF57" s="340" t="s">
        <v>56</v>
      </c>
      <c r="AG57" s="340" t="s">
        <v>57</v>
      </c>
      <c r="AH57" s="340" t="s">
        <v>64</v>
      </c>
      <c r="AI57" s="340" t="s">
        <v>73</v>
      </c>
      <c r="AJ57" s="344">
        <v>234000</v>
      </c>
      <c r="AK57" s="345" t="s">
        <v>60</v>
      </c>
    </row>
    <row r="58" spans="1:37" x14ac:dyDescent="0.35">
      <c r="A58" s="346">
        <v>47</v>
      </c>
      <c r="B58" s="347" t="s">
        <v>83</v>
      </c>
      <c r="C58" s="347" t="s">
        <v>83</v>
      </c>
      <c r="D58" s="379" t="s">
        <v>179</v>
      </c>
      <c r="E58" s="380" t="s">
        <v>180</v>
      </c>
      <c r="F58" s="380" t="s">
        <v>181</v>
      </c>
      <c r="G58" s="380"/>
      <c r="H58" s="334">
        <v>40778</v>
      </c>
      <c r="I58" s="364">
        <v>0.5625</v>
      </c>
      <c r="J58" s="363">
        <v>40778</v>
      </c>
      <c r="K58" s="364">
        <v>0.56944444444444442</v>
      </c>
      <c r="L58" s="334">
        <v>40778</v>
      </c>
      <c r="M58" s="364">
        <v>0.75</v>
      </c>
      <c r="N58" s="340" t="s">
        <v>62</v>
      </c>
      <c r="O58" s="354">
        <v>0.5</v>
      </c>
      <c r="P58" s="354"/>
      <c r="Q58" s="354">
        <v>0.5</v>
      </c>
      <c r="R58" s="354"/>
      <c r="S58" s="354"/>
      <c r="T58" s="355"/>
      <c r="U58" s="354"/>
      <c r="V58" s="354"/>
      <c r="W58" s="354"/>
      <c r="X58" s="354"/>
      <c r="Y58" s="354">
        <v>0.5</v>
      </c>
      <c r="Z58" s="354"/>
      <c r="AA58" s="354">
        <v>0.5</v>
      </c>
      <c r="AB58" s="354"/>
      <c r="AC58" s="354"/>
      <c r="AD58" s="329">
        <f t="shared" si="0"/>
        <v>1</v>
      </c>
      <c r="AE58" s="340" t="s">
        <v>66</v>
      </c>
      <c r="AF58" s="340" t="s">
        <v>56</v>
      </c>
      <c r="AG58" s="340" t="s">
        <v>57</v>
      </c>
      <c r="AH58" s="340" t="s">
        <v>64</v>
      </c>
      <c r="AI58" s="340" t="s">
        <v>73</v>
      </c>
      <c r="AJ58" s="344">
        <v>47500</v>
      </c>
      <c r="AK58" s="345" t="s">
        <v>60</v>
      </c>
    </row>
    <row r="59" spans="1:37" x14ac:dyDescent="0.35">
      <c r="A59" s="346">
        <v>48</v>
      </c>
      <c r="B59" s="347" t="s">
        <v>49</v>
      </c>
      <c r="C59" s="347" t="s">
        <v>50</v>
      </c>
      <c r="D59" s="379" t="s">
        <v>118</v>
      </c>
      <c r="E59" s="380" t="s">
        <v>182</v>
      </c>
      <c r="F59" s="380" t="s">
        <v>183</v>
      </c>
      <c r="G59" s="380"/>
      <c r="H59" s="334">
        <v>40778</v>
      </c>
      <c r="I59" s="364">
        <v>0.61111111111111105</v>
      </c>
      <c r="J59" s="363">
        <v>40778</v>
      </c>
      <c r="K59" s="364">
        <v>0.61805555555555558</v>
      </c>
      <c r="L59" s="334">
        <v>40779</v>
      </c>
      <c r="M59" s="364">
        <v>0.29166666666666669</v>
      </c>
      <c r="N59" s="340" t="s">
        <v>62</v>
      </c>
      <c r="O59" s="354">
        <v>1</v>
      </c>
      <c r="P59" s="354"/>
      <c r="Q59" s="354"/>
      <c r="R59" s="354"/>
      <c r="S59" s="354"/>
      <c r="T59" s="355"/>
      <c r="U59" s="354"/>
      <c r="V59" s="354"/>
      <c r="W59" s="354"/>
      <c r="X59" s="354"/>
      <c r="Y59" s="354">
        <v>1</v>
      </c>
      <c r="Z59" s="354"/>
      <c r="AA59" s="354"/>
      <c r="AB59" s="354"/>
      <c r="AC59" s="354"/>
      <c r="AD59" s="329">
        <f t="shared" si="0"/>
        <v>1</v>
      </c>
      <c r="AE59" s="340" t="s">
        <v>55</v>
      </c>
      <c r="AF59" s="340" t="s">
        <v>56</v>
      </c>
      <c r="AG59" s="340" t="s">
        <v>57</v>
      </c>
      <c r="AH59" s="340" t="s">
        <v>64</v>
      </c>
      <c r="AI59" s="340" t="s">
        <v>65</v>
      </c>
      <c r="AJ59" s="344">
        <v>80000</v>
      </c>
      <c r="AK59" s="345" t="s">
        <v>60</v>
      </c>
    </row>
    <row r="60" spans="1:37" x14ac:dyDescent="0.35">
      <c r="A60" s="346">
        <v>49</v>
      </c>
      <c r="B60" s="347" t="s">
        <v>145</v>
      </c>
      <c r="C60" s="347" t="s">
        <v>145</v>
      </c>
      <c r="D60" s="379" t="s">
        <v>152</v>
      </c>
      <c r="E60" s="380" t="s">
        <v>184</v>
      </c>
      <c r="F60" s="380" t="s">
        <v>185</v>
      </c>
      <c r="G60" s="380"/>
      <c r="H60" s="334">
        <v>40778</v>
      </c>
      <c r="I60" s="364">
        <v>0.71875</v>
      </c>
      <c r="J60" s="363">
        <v>40778</v>
      </c>
      <c r="K60" s="364"/>
      <c r="L60" s="334">
        <v>40778</v>
      </c>
      <c r="M60" s="364">
        <v>0.77777777777777779</v>
      </c>
      <c r="N60" s="340" t="s">
        <v>41</v>
      </c>
      <c r="O60" s="354"/>
      <c r="P60" s="354"/>
      <c r="Q60" s="354"/>
      <c r="R60" s="354"/>
      <c r="S60" s="354"/>
      <c r="T60" s="355"/>
      <c r="U60" s="354"/>
      <c r="V60" s="354">
        <v>0.05</v>
      </c>
      <c r="W60" s="354"/>
      <c r="X60" s="354"/>
      <c r="Y60" s="354"/>
      <c r="Z60" s="354"/>
      <c r="AA60" s="354">
        <v>0.05</v>
      </c>
      <c r="AB60" s="354"/>
      <c r="AC60" s="354"/>
      <c r="AD60" s="329">
        <f t="shared" si="0"/>
        <v>0.05</v>
      </c>
      <c r="AE60" s="340" t="s">
        <v>117</v>
      </c>
      <c r="AF60" s="340" t="s">
        <v>56</v>
      </c>
      <c r="AG60" s="340" t="s">
        <v>72</v>
      </c>
      <c r="AH60" s="340" t="s">
        <v>92</v>
      </c>
      <c r="AI60" s="340" t="s">
        <v>73</v>
      </c>
      <c r="AJ60" s="344">
        <v>750</v>
      </c>
      <c r="AK60" s="345" t="s">
        <v>60</v>
      </c>
    </row>
    <row r="61" spans="1:37" x14ac:dyDescent="0.35">
      <c r="A61" s="346">
        <v>50</v>
      </c>
      <c r="B61" s="347" t="s">
        <v>101</v>
      </c>
      <c r="C61" s="347" t="s">
        <v>186</v>
      </c>
      <c r="D61" s="379" t="s">
        <v>152</v>
      </c>
      <c r="E61" s="380"/>
      <c r="F61" s="380"/>
      <c r="G61" s="380"/>
      <c r="H61" s="334">
        <v>40779</v>
      </c>
      <c r="I61" s="364">
        <v>0.47916666666666669</v>
      </c>
      <c r="J61" s="363">
        <v>40779</v>
      </c>
      <c r="K61" s="364"/>
      <c r="L61" s="334">
        <v>40779</v>
      </c>
      <c r="M61" s="364">
        <v>0.54166666666666663</v>
      </c>
      <c r="N61" s="340" t="s">
        <v>62</v>
      </c>
      <c r="O61" s="354"/>
      <c r="P61" s="354"/>
      <c r="Q61" s="354"/>
      <c r="R61" s="354"/>
      <c r="S61" s="354"/>
      <c r="T61" s="355">
        <v>0.5</v>
      </c>
      <c r="U61" s="354"/>
      <c r="V61" s="354"/>
      <c r="W61" s="354"/>
      <c r="X61" s="354"/>
      <c r="Y61" s="354">
        <v>0.5</v>
      </c>
      <c r="Z61" s="354"/>
      <c r="AA61" s="354"/>
      <c r="AB61" s="354"/>
      <c r="AC61" s="354"/>
      <c r="AD61" s="329">
        <f t="shared" si="0"/>
        <v>0.5</v>
      </c>
      <c r="AE61" s="340" t="s">
        <v>66</v>
      </c>
      <c r="AF61" s="340" t="s">
        <v>56</v>
      </c>
      <c r="AG61" s="340" t="s">
        <v>57</v>
      </c>
      <c r="AH61" s="340"/>
      <c r="AI61" s="340" t="s">
        <v>109</v>
      </c>
      <c r="AJ61" s="344">
        <v>40000</v>
      </c>
      <c r="AK61" s="345" t="s">
        <v>60</v>
      </c>
    </row>
    <row r="62" spans="1:37" x14ac:dyDescent="0.35">
      <c r="A62" s="346">
        <v>51</v>
      </c>
      <c r="B62" s="347" t="s">
        <v>160</v>
      </c>
      <c r="C62" s="347" t="s">
        <v>160</v>
      </c>
      <c r="D62" s="379" t="s">
        <v>187</v>
      </c>
      <c r="E62" s="380"/>
      <c r="F62" s="380"/>
      <c r="G62" s="380"/>
      <c r="H62" s="334">
        <v>40780</v>
      </c>
      <c r="I62" s="364">
        <v>0.45833333333333331</v>
      </c>
      <c r="J62" s="363">
        <v>40780</v>
      </c>
      <c r="K62" s="364"/>
      <c r="L62" s="334">
        <v>40780</v>
      </c>
      <c r="M62" s="364">
        <v>0.49305555555555558</v>
      </c>
      <c r="N62" s="340" t="s">
        <v>62</v>
      </c>
      <c r="O62" s="354"/>
      <c r="P62" s="354"/>
      <c r="Q62" s="354"/>
      <c r="R62" s="354"/>
      <c r="S62" s="354"/>
      <c r="T62" s="355">
        <v>0.15</v>
      </c>
      <c r="U62" s="354"/>
      <c r="V62" s="354"/>
      <c r="W62" s="354"/>
      <c r="X62" s="354"/>
      <c r="Y62" s="354">
        <v>0.15</v>
      </c>
      <c r="Z62" s="354"/>
      <c r="AA62" s="354"/>
      <c r="AB62" s="354"/>
      <c r="AC62" s="354"/>
      <c r="AD62" s="329">
        <f t="shared" si="0"/>
        <v>0.15</v>
      </c>
      <c r="AE62" s="340" t="s">
        <v>188</v>
      </c>
      <c r="AF62" s="340" t="s">
        <v>56</v>
      </c>
      <c r="AG62" s="340" t="s">
        <v>72</v>
      </c>
      <c r="AH62" s="340"/>
      <c r="AI62" s="340" t="s">
        <v>65</v>
      </c>
      <c r="AJ62" s="344">
        <v>12000</v>
      </c>
      <c r="AK62" s="345" t="s">
        <v>60</v>
      </c>
    </row>
    <row r="63" spans="1:37" x14ac:dyDescent="0.35">
      <c r="A63" s="346">
        <v>52</v>
      </c>
      <c r="B63" s="347" t="s">
        <v>49</v>
      </c>
      <c r="C63" s="347" t="s">
        <v>50</v>
      </c>
      <c r="D63" s="379" t="s">
        <v>189</v>
      </c>
      <c r="E63" s="380" t="s">
        <v>190</v>
      </c>
      <c r="F63" s="380" t="s">
        <v>191</v>
      </c>
      <c r="G63" s="380"/>
      <c r="H63" s="334">
        <v>40781</v>
      </c>
      <c r="I63" s="364">
        <v>0.68055555555555547</v>
      </c>
      <c r="J63" s="363">
        <v>40781</v>
      </c>
      <c r="K63" s="364">
        <v>0.6875</v>
      </c>
      <c r="L63" s="334">
        <v>40781</v>
      </c>
      <c r="M63" s="364">
        <v>0.78125</v>
      </c>
      <c r="N63" s="340" t="s">
        <v>62</v>
      </c>
      <c r="O63" s="354">
        <v>4</v>
      </c>
      <c r="P63" s="354"/>
      <c r="Q63" s="354"/>
      <c r="R63" s="354"/>
      <c r="S63" s="354"/>
      <c r="T63" s="355"/>
      <c r="U63" s="354"/>
      <c r="V63" s="354"/>
      <c r="W63" s="354"/>
      <c r="X63" s="354"/>
      <c r="Y63" s="354">
        <v>4</v>
      </c>
      <c r="Z63" s="354"/>
      <c r="AA63" s="354"/>
      <c r="AB63" s="354"/>
      <c r="AC63" s="354"/>
      <c r="AD63" s="329">
        <f t="shared" si="0"/>
        <v>4</v>
      </c>
      <c r="AE63" s="340" t="s">
        <v>66</v>
      </c>
      <c r="AF63" s="340" t="s">
        <v>56</v>
      </c>
      <c r="AG63" s="340" t="s">
        <v>57</v>
      </c>
      <c r="AH63" s="340" t="s">
        <v>64</v>
      </c>
      <c r="AI63" s="340" t="s">
        <v>65</v>
      </c>
      <c r="AJ63" s="344">
        <v>40000</v>
      </c>
      <c r="AK63" s="345" t="s">
        <v>60</v>
      </c>
    </row>
    <row r="64" spans="1:37" x14ac:dyDescent="0.35">
      <c r="A64" s="346">
        <v>53</v>
      </c>
      <c r="B64" s="347" t="s">
        <v>83</v>
      </c>
      <c r="C64" s="347" t="s">
        <v>83</v>
      </c>
      <c r="D64" s="379" t="s">
        <v>192</v>
      </c>
      <c r="E64" s="380"/>
      <c r="F64" s="380"/>
      <c r="G64" s="380"/>
      <c r="H64" s="334">
        <v>40782</v>
      </c>
      <c r="I64" s="364">
        <v>0.82638888888888884</v>
      </c>
      <c r="J64" s="363">
        <v>40782</v>
      </c>
      <c r="K64" s="364"/>
      <c r="L64" s="334">
        <v>40783</v>
      </c>
      <c r="M64" s="364">
        <v>0.41666666666666669</v>
      </c>
      <c r="N64" s="340" t="s">
        <v>123</v>
      </c>
      <c r="O64" s="354"/>
      <c r="P64" s="354">
        <v>1.5</v>
      </c>
      <c r="Q64" s="354"/>
      <c r="R64" s="354"/>
      <c r="S64" s="354"/>
      <c r="T64" s="355"/>
      <c r="U64" s="354"/>
      <c r="V64" s="354"/>
      <c r="W64" s="354"/>
      <c r="X64" s="354"/>
      <c r="Y64" s="354"/>
      <c r="Z64" s="354">
        <v>1.5</v>
      </c>
      <c r="AA64" s="354"/>
      <c r="AB64" s="354"/>
      <c r="AC64" s="383"/>
      <c r="AD64" s="329">
        <f t="shared" si="0"/>
        <v>1.5</v>
      </c>
      <c r="AE64" s="340" t="s">
        <v>55</v>
      </c>
      <c r="AF64" s="340" t="s">
        <v>56</v>
      </c>
      <c r="AG64" s="340" t="s">
        <v>72</v>
      </c>
      <c r="AH64" s="340"/>
      <c r="AI64" s="340" t="s">
        <v>128</v>
      </c>
      <c r="AJ64" s="344">
        <v>39000</v>
      </c>
      <c r="AK64" s="345" t="s">
        <v>60</v>
      </c>
    </row>
    <row r="65" spans="1:37" x14ac:dyDescent="0.35">
      <c r="A65" s="346">
        <v>54</v>
      </c>
      <c r="B65" s="347" t="s">
        <v>78</v>
      </c>
      <c r="C65" s="347" t="s">
        <v>107</v>
      </c>
      <c r="D65" s="379" t="s">
        <v>193</v>
      </c>
      <c r="E65" s="380"/>
      <c r="F65" s="380"/>
      <c r="G65" s="380"/>
      <c r="H65" s="334">
        <v>40783</v>
      </c>
      <c r="I65" s="364">
        <v>0.58333333333333337</v>
      </c>
      <c r="J65" s="363">
        <v>40783</v>
      </c>
      <c r="K65" s="364"/>
      <c r="L65" s="334">
        <v>40783</v>
      </c>
      <c r="M65" s="364">
        <v>0.72916666666666663</v>
      </c>
      <c r="N65" s="340" t="s">
        <v>123</v>
      </c>
      <c r="O65" s="354"/>
      <c r="P65" s="354">
        <v>3</v>
      </c>
      <c r="Q65" s="354">
        <v>1</v>
      </c>
      <c r="R65" s="354"/>
      <c r="S65" s="354"/>
      <c r="T65" s="355"/>
      <c r="U65" s="354"/>
      <c r="V65" s="354"/>
      <c r="W65" s="354"/>
      <c r="X65" s="354" t="s">
        <v>194</v>
      </c>
      <c r="Y65" s="354"/>
      <c r="Z65" s="354">
        <v>3</v>
      </c>
      <c r="AA65" s="354">
        <v>1</v>
      </c>
      <c r="AB65" s="354"/>
      <c r="AC65" s="354" t="s">
        <v>195</v>
      </c>
      <c r="AD65" s="329">
        <f t="shared" si="0"/>
        <v>4</v>
      </c>
      <c r="AE65" s="340" t="s">
        <v>55</v>
      </c>
      <c r="AF65" s="340" t="s">
        <v>56</v>
      </c>
      <c r="AG65" s="340" t="s">
        <v>72</v>
      </c>
      <c r="AH65" s="340"/>
      <c r="AI65" s="340" t="s">
        <v>128</v>
      </c>
      <c r="AJ65" s="344">
        <v>249000</v>
      </c>
      <c r="AK65" s="345" t="s">
        <v>60</v>
      </c>
    </row>
    <row r="66" spans="1:37" x14ac:dyDescent="0.35">
      <c r="A66" s="346">
        <v>55</v>
      </c>
      <c r="B66" s="347" t="s">
        <v>49</v>
      </c>
      <c r="C66" s="347" t="s">
        <v>50</v>
      </c>
      <c r="D66" s="379" t="s">
        <v>132</v>
      </c>
      <c r="E66" s="380" t="s">
        <v>196</v>
      </c>
      <c r="F66" s="380" t="s">
        <v>197</v>
      </c>
      <c r="G66" s="380"/>
      <c r="H66" s="334">
        <v>40783</v>
      </c>
      <c r="I66" s="364">
        <v>0.58333333333333337</v>
      </c>
      <c r="J66" s="363">
        <v>40783</v>
      </c>
      <c r="K66" s="364">
        <v>0.63541666666666663</v>
      </c>
      <c r="L66" s="334">
        <v>40783</v>
      </c>
      <c r="M66" s="364">
        <v>0.83333333333333337</v>
      </c>
      <c r="N66" s="340" t="s">
        <v>123</v>
      </c>
      <c r="O66" s="354"/>
      <c r="P66" s="354">
        <v>3</v>
      </c>
      <c r="Q66" s="354"/>
      <c r="R66" s="354"/>
      <c r="S66" s="354"/>
      <c r="T66" s="355"/>
      <c r="U66" s="354"/>
      <c r="V66" s="354"/>
      <c r="W66" s="354"/>
      <c r="X66" s="354"/>
      <c r="Y66" s="354"/>
      <c r="Z66" s="354">
        <v>3</v>
      </c>
      <c r="AA66" s="354"/>
      <c r="AB66" s="354"/>
      <c r="AC66" s="354"/>
      <c r="AD66" s="329">
        <f t="shared" si="0"/>
        <v>3</v>
      </c>
      <c r="AE66" s="340" t="s">
        <v>55</v>
      </c>
      <c r="AF66" s="340" t="s">
        <v>56</v>
      </c>
      <c r="AG66" s="340" t="s">
        <v>57</v>
      </c>
      <c r="AH66" s="340" t="s">
        <v>64</v>
      </c>
      <c r="AI66" s="340" t="s">
        <v>73</v>
      </c>
      <c r="AJ66" s="344">
        <v>240000</v>
      </c>
      <c r="AK66" s="345" t="s">
        <v>60</v>
      </c>
    </row>
    <row r="67" spans="1:37" x14ac:dyDescent="0.35">
      <c r="A67" s="346">
        <v>56</v>
      </c>
      <c r="B67" s="347" t="s">
        <v>198</v>
      </c>
      <c r="C67" s="347" t="s">
        <v>199</v>
      </c>
      <c r="D67" s="379" t="s">
        <v>200</v>
      </c>
      <c r="E67" s="380"/>
      <c r="F67" s="380"/>
      <c r="G67" s="380"/>
      <c r="H67" s="334">
        <v>40783</v>
      </c>
      <c r="I67" s="364">
        <v>0.57291666666666663</v>
      </c>
      <c r="J67" s="363">
        <v>40783</v>
      </c>
      <c r="K67" s="364"/>
      <c r="L67" s="334">
        <v>40783</v>
      </c>
      <c r="M67" s="364">
        <v>0.63194444444444442</v>
      </c>
      <c r="N67" s="340" t="s">
        <v>165</v>
      </c>
      <c r="O67" s="354">
        <v>0.04</v>
      </c>
      <c r="P67" s="354"/>
      <c r="Q67" s="354"/>
      <c r="R67" s="354"/>
      <c r="S67" s="354"/>
      <c r="T67" s="355"/>
      <c r="U67" s="354"/>
      <c r="V67" s="354"/>
      <c r="W67" s="354"/>
      <c r="X67" s="354"/>
      <c r="Y67" s="354">
        <v>0.04</v>
      </c>
      <c r="Z67" s="354"/>
      <c r="AA67" s="354"/>
      <c r="AB67" s="354"/>
      <c r="AC67" s="354"/>
      <c r="AD67" s="329">
        <f t="shared" si="0"/>
        <v>0.04</v>
      </c>
      <c r="AE67" s="340" t="s">
        <v>117</v>
      </c>
      <c r="AF67" s="340" t="s">
        <v>56</v>
      </c>
      <c r="AG67" s="340" t="s">
        <v>57</v>
      </c>
      <c r="AH67" s="340"/>
      <c r="AI67" s="340" t="s">
        <v>65</v>
      </c>
      <c r="AJ67" s="344">
        <v>3200</v>
      </c>
      <c r="AK67" s="345" t="s">
        <v>60</v>
      </c>
    </row>
    <row r="68" spans="1:37" x14ac:dyDescent="0.35">
      <c r="A68" s="346">
        <v>57</v>
      </c>
      <c r="B68" s="347" t="s">
        <v>145</v>
      </c>
      <c r="C68" s="347" t="s">
        <v>201</v>
      </c>
      <c r="D68" s="379" t="s">
        <v>202</v>
      </c>
      <c r="E68" s="380" t="s">
        <v>203</v>
      </c>
      <c r="F68" s="380" t="s">
        <v>204</v>
      </c>
      <c r="G68" s="380"/>
      <c r="H68" s="334">
        <v>40784</v>
      </c>
      <c r="I68" s="364">
        <v>0.69791666666666663</v>
      </c>
      <c r="J68" s="363">
        <v>40784</v>
      </c>
      <c r="K68" s="364">
        <v>0.70138888888888884</v>
      </c>
      <c r="L68" s="334">
        <v>40784</v>
      </c>
      <c r="M68" s="364">
        <v>0.74305555555555547</v>
      </c>
      <c r="N68" s="340" t="s">
        <v>41</v>
      </c>
      <c r="O68" s="354"/>
      <c r="P68" s="354"/>
      <c r="Q68" s="354">
        <v>0.5</v>
      </c>
      <c r="R68" s="354"/>
      <c r="S68" s="354"/>
      <c r="T68" s="355"/>
      <c r="U68" s="354"/>
      <c r="V68" s="354"/>
      <c r="W68" s="354"/>
      <c r="X68" s="354"/>
      <c r="Y68" s="354"/>
      <c r="Z68" s="354"/>
      <c r="AA68" s="354">
        <v>0.5</v>
      </c>
      <c r="AB68" s="354"/>
      <c r="AC68" s="354"/>
      <c r="AD68" s="329">
        <f t="shared" si="0"/>
        <v>0.5</v>
      </c>
      <c r="AE68" s="340" t="s">
        <v>55</v>
      </c>
      <c r="AF68" s="340" t="s">
        <v>56</v>
      </c>
      <c r="AG68" s="340" t="s">
        <v>57</v>
      </c>
      <c r="AH68" s="340" t="s">
        <v>92</v>
      </c>
      <c r="AI68" s="340" t="s">
        <v>65</v>
      </c>
      <c r="AJ68" s="344">
        <v>7500</v>
      </c>
      <c r="AK68" s="345" t="s">
        <v>60</v>
      </c>
    </row>
    <row r="69" spans="1:37" x14ac:dyDescent="0.35">
      <c r="A69" s="346">
        <v>58</v>
      </c>
      <c r="B69" s="347" t="s">
        <v>160</v>
      </c>
      <c r="C69" s="347" t="s">
        <v>205</v>
      </c>
      <c r="D69" s="379" t="s">
        <v>206</v>
      </c>
      <c r="E69" s="380"/>
      <c r="F69" s="380"/>
      <c r="G69" s="380"/>
      <c r="H69" s="334">
        <v>40785</v>
      </c>
      <c r="I69" s="364">
        <v>0.41666666666666669</v>
      </c>
      <c r="J69" s="363">
        <v>40785</v>
      </c>
      <c r="K69" s="364"/>
      <c r="L69" s="334">
        <v>40785</v>
      </c>
      <c r="M69" s="364">
        <v>0.77083333333333337</v>
      </c>
      <c r="N69" s="340" t="s">
        <v>62</v>
      </c>
      <c r="O69" s="354">
        <v>7</v>
      </c>
      <c r="P69" s="354"/>
      <c r="Q69" s="354"/>
      <c r="R69" s="354"/>
      <c r="S69" s="354"/>
      <c r="T69" s="355"/>
      <c r="U69" s="354"/>
      <c r="V69" s="354"/>
      <c r="W69" s="354"/>
      <c r="X69" s="354"/>
      <c r="Y69" s="354">
        <v>7</v>
      </c>
      <c r="Z69" s="354"/>
      <c r="AA69" s="354"/>
      <c r="AB69" s="354"/>
      <c r="AC69" s="354"/>
      <c r="AD69" s="329">
        <f t="shared" si="0"/>
        <v>7</v>
      </c>
      <c r="AE69" s="340" t="s">
        <v>66</v>
      </c>
      <c r="AF69" s="340" t="s">
        <v>56</v>
      </c>
      <c r="AG69" s="340" t="s">
        <v>57</v>
      </c>
      <c r="AH69" s="340"/>
      <c r="AI69" s="384" t="s">
        <v>73</v>
      </c>
      <c r="AJ69" s="385">
        <v>560000</v>
      </c>
      <c r="AK69" s="345" t="s">
        <v>60</v>
      </c>
    </row>
    <row r="70" spans="1:37" x14ac:dyDescent="0.35">
      <c r="A70" s="346">
        <v>59</v>
      </c>
      <c r="B70" s="347" t="s">
        <v>68</v>
      </c>
      <c r="C70" s="347" t="s">
        <v>157</v>
      </c>
      <c r="D70" s="379" t="s">
        <v>207</v>
      </c>
      <c r="E70" s="386"/>
      <c r="F70" s="386"/>
      <c r="G70" s="380"/>
      <c r="H70" s="334">
        <v>40787</v>
      </c>
      <c r="I70" s="374">
        <v>0.41666666666666669</v>
      </c>
      <c r="J70" s="336">
        <v>40787</v>
      </c>
      <c r="K70" s="374"/>
      <c r="L70" s="336">
        <v>40787</v>
      </c>
      <c r="M70" s="374">
        <v>0.5</v>
      </c>
      <c r="N70" s="375" t="s">
        <v>81</v>
      </c>
      <c r="O70" s="354"/>
      <c r="P70" s="354">
        <v>0.2</v>
      </c>
      <c r="Q70" s="354"/>
      <c r="R70" s="354"/>
      <c r="S70" s="354"/>
      <c r="T70" s="355"/>
      <c r="U70" s="354"/>
      <c r="V70" s="354"/>
      <c r="W70" s="354"/>
      <c r="X70" s="354"/>
      <c r="Y70" s="354"/>
      <c r="Z70" s="354">
        <v>0.2</v>
      </c>
      <c r="AA70" s="354"/>
      <c r="AB70" s="354"/>
      <c r="AC70" s="354"/>
      <c r="AD70" s="329">
        <f t="shared" si="0"/>
        <v>0.2</v>
      </c>
      <c r="AE70" s="342" t="s">
        <v>63</v>
      </c>
      <c r="AF70" s="342" t="s">
        <v>56</v>
      </c>
      <c r="AG70" s="342" t="s">
        <v>72</v>
      </c>
      <c r="AH70" s="342"/>
      <c r="AI70" s="342" t="s">
        <v>73</v>
      </c>
      <c r="AJ70" s="344">
        <v>15600</v>
      </c>
      <c r="AK70" s="345" t="s">
        <v>60</v>
      </c>
    </row>
    <row r="71" spans="1:37" x14ac:dyDescent="0.35">
      <c r="A71" s="346">
        <v>60</v>
      </c>
      <c r="B71" s="347" t="s">
        <v>208</v>
      </c>
      <c r="C71" s="347" t="s">
        <v>208</v>
      </c>
      <c r="D71" s="379" t="s">
        <v>209</v>
      </c>
      <c r="E71" s="386"/>
      <c r="F71" s="386"/>
      <c r="G71" s="380"/>
      <c r="H71" s="334">
        <v>40787</v>
      </c>
      <c r="I71" s="374">
        <v>0.70833333333333337</v>
      </c>
      <c r="J71" s="336">
        <v>40787</v>
      </c>
      <c r="K71" s="374"/>
      <c r="L71" s="336">
        <v>40787</v>
      </c>
      <c r="M71" s="374">
        <v>0.78472222222222221</v>
      </c>
      <c r="N71" s="375" t="s">
        <v>165</v>
      </c>
      <c r="O71" s="354">
        <v>0.05</v>
      </c>
      <c r="P71" s="354"/>
      <c r="Q71" s="354"/>
      <c r="R71" s="354"/>
      <c r="S71" s="354"/>
      <c r="T71" s="355"/>
      <c r="U71" s="354"/>
      <c r="V71" s="354"/>
      <c r="W71" s="354"/>
      <c r="X71" s="354"/>
      <c r="Y71" s="354">
        <v>0.05</v>
      </c>
      <c r="Z71" s="354"/>
      <c r="AA71" s="354"/>
      <c r="AB71" s="354"/>
      <c r="AC71" s="354"/>
      <c r="AD71" s="329">
        <f t="shared" si="0"/>
        <v>0.05</v>
      </c>
      <c r="AE71" s="342" t="s">
        <v>71</v>
      </c>
      <c r="AF71" s="342" t="s">
        <v>56</v>
      </c>
      <c r="AG71" s="342" t="s">
        <v>57</v>
      </c>
      <c r="AH71" s="342"/>
      <c r="AI71" s="342" t="s">
        <v>175</v>
      </c>
      <c r="AJ71" s="344">
        <v>4000</v>
      </c>
      <c r="AK71" s="345" t="s">
        <v>60</v>
      </c>
    </row>
    <row r="72" spans="1:37" x14ac:dyDescent="0.35">
      <c r="A72" s="346">
        <v>61</v>
      </c>
      <c r="B72" s="347" t="s">
        <v>68</v>
      </c>
      <c r="C72" s="347" t="s">
        <v>210</v>
      </c>
      <c r="D72" s="379" t="s">
        <v>211</v>
      </c>
      <c r="E72" s="386"/>
      <c r="F72" s="386"/>
      <c r="G72" s="380"/>
      <c r="H72" s="334">
        <v>40788</v>
      </c>
      <c r="I72" s="374">
        <v>0.29166666666666669</v>
      </c>
      <c r="J72" s="336">
        <v>40788</v>
      </c>
      <c r="K72" s="374"/>
      <c r="L72" s="336">
        <v>40788</v>
      </c>
      <c r="M72" s="374">
        <v>0.41666666666666669</v>
      </c>
      <c r="N72" s="375" t="s">
        <v>81</v>
      </c>
      <c r="O72" s="354"/>
      <c r="P72" s="354">
        <v>1</v>
      </c>
      <c r="Q72" s="354"/>
      <c r="R72" s="354"/>
      <c r="S72" s="354"/>
      <c r="T72" s="355"/>
      <c r="U72" s="354"/>
      <c r="V72" s="354"/>
      <c r="W72" s="354"/>
      <c r="X72" s="354"/>
      <c r="Y72" s="354"/>
      <c r="Z72" s="354">
        <v>1</v>
      </c>
      <c r="AA72" s="354"/>
      <c r="AB72" s="354"/>
      <c r="AC72" s="354"/>
      <c r="AD72" s="329">
        <f t="shared" si="0"/>
        <v>1</v>
      </c>
      <c r="AE72" s="342" t="s">
        <v>63</v>
      </c>
      <c r="AF72" s="342" t="s">
        <v>56</v>
      </c>
      <c r="AG72" s="342" t="s">
        <v>72</v>
      </c>
      <c r="AH72" s="342"/>
      <c r="AI72" s="342" t="s">
        <v>73</v>
      </c>
      <c r="AJ72" s="344">
        <v>78000</v>
      </c>
      <c r="AK72" s="345" t="s">
        <v>60</v>
      </c>
    </row>
    <row r="73" spans="1:37" x14ac:dyDescent="0.35">
      <c r="A73" s="346">
        <v>62</v>
      </c>
      <c r="B73" s="347" t="s">
        <v>83</v>
      </c>
      <c r="C73" s="347" t="s">
        <v>95</v>
      </c>
      <c r="D73" s="379" t="s">
        <v>212</v>
      </c>
      <c r="E73" s="386"/>
      <c r="F73" s="386"/>
      <c r="G73" s="380"/>
      <c r="H73" s="334">
        <v>40788</v>
      </c>
      <c r="I73" s="374">
        <v>0.5625</v>
      </c>
      <c r="J73" s="336">
        <v>40788</v>
      </c>
      <c r="K73" s="374"/>
      <c r="L73" s="336">
        <v>40788</v>
      </c>
      <c r="M73" s="374">
        <v>0.63888888888888895</v>
      </c>
      <c r="N73" s="375" t="s">
        <v>81</v>
      </c>
      <c r="O73" s="354"/>
      <c r="P73" s="354">
        <v>0.25</v>
      </c>
      <c r="Q73" s="354"/>
      <c r="R73" s="354"/>
      <c r="S73" s="354"/>
      <c r="T73" s="355"/>
      <c r="U73" s="354"/>
      <c r="V73" s="354"/>
      <c r="W73" s="354"/>
      <c r="X73" s="354"/>
      <c r="Y73" s="354"/>
      <c r="Z73" s="354">
        <v>0.25</v>
      </c>
      <c r="AA73" s="354"/>
      <c r="AB73" s="354"/>
      <c r="AC73" s="354"/>
      <c r="AD73" s="329">
        <f t="shared" si="0"/>
        <v>0.25</v>
      </c>
      <c r="AE73" s="342" t="s">
        <v>55</v>
      </c>
      <c r="AF73" s="342" t="s">
        <v>56</v>
      </c>
      <c r="AG73" s="342" t="s">
        <v>72</v>
      </c>
      <c r="AH73" s="340" t="s">
        <v>149</v>
      </c>
      <c r="AI73" s="342" t="s">
        <v>73</v>
      </c>
      <c r="AJ73" s="344">
        <v>19500</v>
      </c>
      <c r="AK73" s="345" t="s">
        <v>60</v>
      </c>
    </row>
    <row r="74" spans="1:37" x14ac:dyDescent="0.35">
      <c r="A74" s="346">
        <v>63</v>
      </c>
      <c r="B74" s="347" t="s">
        <v>49</v>
      </c>
      <c r="C74" s="347" t="s">
        <v>150</v>
      </c>
      <c r="D74" s="379" t="s">
        <v>213</v>
      </c>
      <c r="E74" s="386"/>
      <c r="F74" s="386"/>
      <c r="G74" s="380"/>
      <c r="H74" s="334">
        <v>40791</v>
      </c>
      <c r="I74" s="374">
        <v>0.69791666666666663</v>
      </c>
      <c r="J74" s="336">
        <v>40791</v>
      </c>
      <c r="K74" s="374"/>
      <c r="L74" s="336">
        <v>40791</v>
      </c>
      <c r="M74" s="374">
        <v>0.80902777777777779</v>
      </c>
      <c r="N74" s="387" t="s">
        <v>62</v>
      </c>
      <c r="O74" s="354">
        <v>1</v>
      </c>
      <c r="P74" s="354"/>
      <c r="Q74" s="354"/>
      <c r="R74" s="354"/>
      <c r="S74" s="354"/>
      <c r="T74" s="355"/>
      <c r="U74" s="354"/>
      <c r="V74" s="354"/>
      <c r="W74" s="354"/>
      <c r="X74" s="354"/>
      <c r="Y74" s="354">
        <v>1</v>
      </c>
      <c r="Z74" s="354"/>
      <c r="AA74" s="354"/>
      <c r="AB74" s="354"/>
      <c r="AC74" s="354"/>
      <c r="AD74" s="329">
        <f t="shared" si="0"/>
        <v>1</v>
      </c>
      <c r="AE74" s="342" t="s">
        <v>55</v>
      </c>
      <c r="AF74" s="342" t="s">
        <v>56</v>
      </c>
      <c r="AG74" s="342" t="s">
        <v>72</v>
      </c>
      <c r="AH74" s="342"/>
      <c r="AI74" s="342" t="s">
        <v>73</v>
      </c>
      <c r="AJ74" s="344">
        <v>80000</v>
      </c>
      <c r="AK74" s="345" t="s">
        <v>60</v>
      </c>
    </row>
    <row r="75" spans="1:37" x14ac:dyDescent="0.35">
      <c r="A75" s="346">
        <v>64</v>
      </c>
      <c r="B75" s="347" t="s">
        <v>208</v>
      </c>
      <c r="C75" s="347" t="s">
        <v>214</v>
      </c>
      <c r="D75" s="379" t="s">
        <v>215</v>
      </c>
      <c r="E75" s="386"/>
      <c r="F75" s="386"/>
      <c r="G75" s="380"/>
      <c r="H75" s="334">
        <v>40792</v>
      </c>
      <c r="I75" s="352">
        <v>0.61458333333333337</v>
      </c>
      <c r="J75" s="336">
        <v>40792</v>
      </c>
      <c r="K75" s="374"/>
      <c r="L75" s="336">
        <v>40792</v>
      </c>
      <c r="M75" s="352">
        <v>0.70833333333333337</v>
      </c>
      <c r="N75" s="339" t="s">
        <v>62</v>
      </c>
      <c r="O75" s="354"/>
      <c r="P75" s="354"/>
      <c r="Q75" s="354"/>
      <c r="R75" s="354"/>
      <c r="S75" s="354"/>
      <c r="T75" s="355">
        <v>1</v>
      </c>
      <c r="U75" s="354">
        <v>1</v>
      </c>
      <c r="V75" s="354"/>
      <c r="W75" s="354"/>
      <c r="X75" s="354"/>
      <c r="Y75" s="354">
        <v>1</v>
      </c>
      <c r="Z75" s="354">
        <v>1</v>
      </c>
      <c r="AA75" s="354"/>
      <c r="AB75" s="354"/>
      <c r="AC75" s="354"/>
      <c r="AD75" s="329">
        <f t="shared" si="0"/>
        <v>2</v>
      </c>
      <c r="AE75" s="340" t="s">
        <v>117</v>
      </c>
      <c r="AF75" s="340" t="s">
        <v>56</v>
      </c>
      <c r="AG75" s="342" t="s">
        <v>72</v>
      </c>
      <c r="AH75" s="342"/>
      <c r="AI75" s="343" t="s">
        <v>73</v>
      </c>
      <c r="AJ75" s="344">
        <v>158000</v>
      </c>
      <c r="AK75" s="345" t="s">
        <v>60</v>
      </c>
    </row>
    <row r="76" spans="1:37" x14ac:dyDescent="0.35">
      <c r="A76" s="346">
        <v>65</v>
      </c>
      <c r="B76" s="347" t="s">
        <v>78</v>
      </c>
      <c r="C76" s="347" t="s">
        <v>107</v>
      </c>
      <c r="D76" s="388" t="s">
        <v>216</v>
      </c>
      <c r="E76" s="389"/>
      <c r="F76" s="389"/>
      <c r="G76" s="381"/>
      <c r="H76" s="336">
        <v>40792</v>
      </c>
      <c r="I76" s="352">
        <v>0.67708333333333337</v>
      </c>
      <c r="J76" s="336">
        <v>40792</v>
      </c>
      <c r="K76" s="374"/>
      <c r="L76" s="336">
        <v>40792</v>
      </c>
      <c r="M76" s="352">
        <v>0.73958333333333337</v>
      </c>
      <c r="N76" s="340" t="s">
        <v>62</v>
      </c>
      <c r="O76" s="354">
        <v>0.05</v>
      </c>
      <c r="P76" s="354"/>
      <c r="Q76" s="354"/>
      <c r="R76" s="354"/>
      <c r="S76" s="354"/>
      <c r="T76" s="355"/>
      <c r="U76" s="354"/>
      <c r="V76" s="354"/>
      <c r="W76" s="354"/>
      <c r="X76" s="354"/>
      <c r="Y76" s="354">
        <v>0.05</v>
      </c>
      <c r="Z76" s="354"/>
      <c r="AA76" s="354"/>
      <c r="AB76" s="354"/>
      <c r="AC76" s="354"/>
      <c r="AD76" s="329">
        <f t="shared" si="0"/>
        <v>0.05</v>
      </c>
      <c r="AE76" s="340" t="s">
        <v>94</v>
      </c>
      <c r="AF76" s="340" t="s">
        <v>56</v>
      </c>
      <c r="AG76" s="342" t="s">
        <v>72</v>
      </c>
      <c r="AH76" s="342"/>
      <c r="AI76" s="343" t="s">
        <v>73</v>
      </c>
      <c r="AJ76" s="344">
        <v>4000</v>
      </c>
      <c r="AK76" s="345" t="s">
        <v>60</v>
      </c>
    </row>
    <row r="77" spans="1:37" x14ac:dyDescent="0.35">
      <c r="A77" s="346">
        <v>66</v>
      </c>
      <c r="B77" s="347" t="s">
        <v>68</v>
      </c>
      <c r="C77" s="347" t="s">
        <v>157</v>
      </c>
      <c r="D77" s="379" t="s">
        <v>217</v>
      </c>
      <c r="E77" s="386"/>
      <c r="F77" s="386"/>
      <c r="G77" s="380"/>
      <c r="H77" s="334">
        <v>40794</v>
      </c>
      <c r="I77" s="352">
        <v>0.52083333333333337</v>
      </c>
      <c r="J77" s="334">
        <v>40794</v>
      </c>
      <c r="K77" s="352"/>
      <c r="L77" s="334">
        <v>40794</v>
      </c>
      <c r="M77" s="352">
        <v>0.60416666666666663</v>
      </c>
      <c r="N77" s="340" t="s">
        <v>81</v>
      </c>
      <c r="O77" s="354"/>
      <c r="P77" s="354">
        <v>0.05</v>
      </c>
      <c r="Q77" s="354"/>
      <c r="R77" s="354"/>
      <c r="S77" s="354"/>
      <c r="T77" s="355"/>
      <c r="U77" s="354"/>
      <c r="V77" s="354"/>
      <c r="W77" s="354"/>
      <c r="X77" s="354"/>
      <c r="Y77" s="354"/>
      <c r="Z77" s="354">
        <v>0.05</v>
      </c>
      <c r="AA77" s="354"/>
      <c r="AB77" s="354"/>
      <c r="AC77" s="354"/>
      <c r="AD77" s="329">
        <f t="shared" ref="AD77:AD104" si="1">SUM(Y77:AC77)</f>
        <v>0.05</v>
      </c>
      <c r="AE77" s="340" t="s">
        <v>63</v>
      </c>
      <c r="AF77" s="340" t="s">
        <v>56</v>
      </c>
      <c r="AG77" s="382" t="s">
        <v>72</v>
      </c>
      <c r="AH77" s="382"/>
      <c r="AI77" s="340" t="s">
        <v>67</v>
      </c>
      <c r="AJ77" s="344">
        <v>3900</v>
      </c>
      <c r="AK77" s="345" t="s">
        <v>60</v>
      </c>
    </row>
    <row r="78" spans="1:37" x14ac:dyDescent="0.35">
      <c r="A78" s="346">
        <v>67</v>
      </c>
      <c r="B78" s="347" t="s">
        <v>83</v>
      </c>
      <c r="C78" s="347" t="s">
        <v>95</v>
      </c>
      <c r="D78" s="379" t="s">
        <v>218</v>
      </c>
      <c r="E78" s="386" t="s">
        <v>219</v>
      </c>
      <c r="F78" s="386" t="s">
        <v>220</v>
      </c>
      <c r="G78" s="380"/>
      <c r="H78" s="334">
        <v>40795</v>
      </c>
      <c r="I78" s="352">
        <v>0.5625</v>
      </c>
      <c r="J78" s="334">
        <v>40795</v>
      </c>
      <c r="K78" s="352">
        <v>0.56944444444444442</v>
      </c>
      <c r="L78" s="334">
        <v>40795</v>
      </c>
      <c r="M78" s="352">
        <v>0.77083333333333337</v>
      </c>
      <c r="N78" s="340" t="s">
        <v>62</v>
      </c>
      <c r="O78" s="354">
        <v>3</v>
      </c>
      <c r="P78" s="354"/>
      <c r="Q78" s="354"/>
      <c r="R78" s="354"/>
      <c r="S78" s="354"/>
      <c r="T78" s="355"/>
      <c r="U78" s="354"/>
      <c r="V78" s="354"/>
      <c r="W78" s="354"/>
      <c r="X78" s="354"/>
      <c r="Y78" s="354">
        <v>3</v>
      </c>
      <c r="Z78" s="354"/>
      <c r="AA78" s="354"/>
      <c r="AB78" s="354"/>
      <c r="AC78" s="354"/>
      <c r="AD78" s="329">
        <f t="shared" si="1"/>
        <v>3</v>
      </c>
      <c r="AE78" s="340" t="s">
        <v>55</v>
      </c>
      <c r="AF78" s="340" t="s">
        <v>56</v>
      </c>
      <c r="AG78" s="340" t="s">
        <v>57</v>
      </c>
      <c r="AH78" s="340" t="s">
        <v>149</v>
      </c>
      <c r="AI78" s="340" t="s">
        <v>73</v>
      </c>
      <c r="AJ78" s="344">
        <v>240000</v>
      </c>
      <c r="AK78" s="345" t="s">
        <v>60</v>
      </c>
    </row>
    <row r="79" spans="1:37" x14ac:dyDescent="0.35">
      <c r="A79" s="346">
        <v>68</v>
      </c>
      <c r="B79" s="347" t="s">
        <v>208</v>
      </c>
      <c r="C79" s="347" t="s">
        <v>221</v>
      </c>
      <c r="D79" s="379" t="s">
        <v>222</v>
      </c>
      <c r="E79" s="386"/>
      <c r="F79" s="386"/>
      <c r="G79" s="380"/>
      <c r="H79" s="334">
        <v>40796</v>
      </c>
      <c r="I79" s="352">
        <v>0.53125</v>
      </c>
      <c r="J79" s="334">
        <v>40796</v>
      </c>
      <c r="K79" s="352"/>
      <c r="L79" s="334">
        <v>40796</v>
      </c>
      <c r="M79" s="352">
        <v>0.64236111111111105</v>
      </c>
      <c r="N79" s="340" t="s">
        <v>165</v>
      </c>
      <c r="O79" s="354">
        <v>1</v>
      </c>
      <c r="P79" s="354"/>
      <c r="Q79" s="354"/>
      <c r="R79" s="354"/>
      <c r="S79" s="354"/>
      <c r="T79" s="355"/>
      <c r="U79" s="354"/>
      <c r="V79" s="354"/>
      <c r="W79" s="354"/>
      <c r="X79" s="354"/>
      <c r="Y79" s="354">
        <v>1</v>
      </c>
      <c r="Z79" s="354"/>
      <c r="AA79" s="354"/>
      <c r="AB79" s="354"/>
      <c r="AC79" s="354"/>
      <c r="AD79" s="329">
        <f t="shared" si="1"/>
        <v>1</v>
      </c>
      <c r="AE79" s="340" t="s">
        <v>117</v>
      </c>
      <c r="AF79" s="340" t="s">
        <v>56</v>
      </c>
      <c r="AG79" s="340" t="s">
        <v>72</v>
      </c>
      <c r="AH79" s="340"/>
      <c r="AI79" s="343" t="s">
        <v>65</v>
      </c>
      <c r="AJ79" s="344">
        <v>80000</v>
      </c>
      <c r="AK79" s="345" t="s">
        <v>60</v>
      </c>
    </row>
    <row r="80" spans="1:37" x14ac:dyDescent="0.35">
      <c r="A80" s="346">
        <v>69</v>
      </c>
      <c r="B80" s="347" t="s">
        <v>83</v>
      </c>
      <c r="C80" s="347" t="s">
        <v>83</v>
      </c>
      <c r="D80" s="379" t="s">
        <v>223</v>
      </c>
      <c r="E80" s="386" t="s">
        <v>224</v>
      </c>
      <c r="F80" s="386" t="s">
        <v>225</v>
      </c>
      <c r="G80" s="380"/>
      <c r="H80" s="334">
        <v>40796</v>
      </c>
      <c r="I80" s="352">
        <v>0.5625</v>
      </c>
      <c r="J80" s="334">
        <v>40796</v>
      </c>
      <c r="K80" s="352">
        <v>0.56944444444444442</v>
      </c>
      <c r="L80" s="334">
        <v>40796</v>
      </c>
      <c r="M80" s="352">
        <v>0.77083333333333337</v>
      </c>
      <c r="N80" s="340" t="s">
        <v>81</v>
      </c>
      <c r="O80" s="354"/>
      <c r="P80" s="354">
        <v>5</v>
      </c>
      <c r="Q80" s="354">
        <v>2.5</v>
      </c>
      <c r="R80" s="354"/>
      <c r="S80" s="354"/>
      <c r="T80" s="355"/>
      <c r="U80" s="354"/>
      <c r="V80" s="354">
        <v>7.5</v>
      </c>
      <c r="W80" s="354"/>
      <c r="X80" s="354"/>
      <c r="Y80" s="354"/>
      <c r="Z80" s="354">
        <v>5</v>
      </c>
      <c r="AA80" s="354">
        <v>10</v>
      </c>
      <c r="AB80" s="354"/>
      <c r="AC80" s="354"/>
      <c r="AD80" s="329">
        <f t="shared" si="1"/>
        <v>15</v>
      </c>
      <c r="AE80" s="340" t="s">
        <v>55</v>
      </c>
      <c r="AF80" s="340" t="s">
        <v>56</v>
      </c>
      <c r="AG80" s="340" t="s">
        <v>57</v>
      </c>
      <c r="AH80" s="340" t="s">
        <v>149</v>
      </c>
      <c r="AI80" s="340" t="s">
        <v>128</v>
      </c>
      <c r="AJ80" s="344">
        <v>540000</v>
      </c>
      <c r="AK80" s="345" t="s">
        <v>60</v>
      </c>
    </row>
    <row r="81" spans="1:37" x14ac:dyDescent="0.35">
      <c r="A81" s="346">
        <v>70</v>
      </c>
      <c r="B81" s="347" t="s">
        <v>145</v>
      </c>
      <c r="C81" s="347" t="s">
        <v>201</v>
      </c>
      <c r="D81" s="379" t="s">
        <v>202</v>
      </c>
      <c r="E81" s="386" t="s">
        <v>226</v>
      </c>
      <c r="F81" s="386" t="s">
        <v>227</v>
      </c>
      <c r="G81" s="380"/>
      <c r="H81" s="334">
        <v>40796</v>
      </c>
      <c r="I81" s="364">
        <v>0.6875</v>
      </c>
      <c r="J81" s="363">
        <v>40796</v>
      </c>
      <c r="K81" s="364">
        <v>0.69444444444444453</v>
      </c>
      <c r="L81" s="334">
        <v>40796</v>
      </c>
      <c r="M81" s="364">
        <v>0.75</v>
      </c>
      <c r="N81" s="340" t="s">
        <v>41</v>
      </c>
      <c r="O81" s="354"/>
      <c r="P81" s="354"/>
      <c r="Q81" s="354">
        <v>1</v>
      </c>
      <c r="R81" s="354"/>
      <c r="S81" s="354"/>
      <c r="T81" s="355"/>
      <c r="U81" s="354"/>
      <c r="V81" s="354"/>
      <c r="W81" s="354"/>
      <c r="X81" s="354"/>
      <c r="Y81" s="354"/>
      <c r="Z81" s="354"/>
      <c r="AA81" s="354">
        <v>1</v>
      </c>
      <c r="AB81" s="354"/>
      <c r="AC81" s="354"/>
      <c r="AD81" s="329">
        <f t="shared" si="1"/>
        <v>1</v>
      </c>
      <c r="AE81" s="340" t="s">
        <v>117</v>
      </c>
      <c r="AF81" s="340" t="s">
        <v>56</v>
      </c>
      <c r="AG81" s="340" t="s">
        <v>57</v>
      </c>
      <c r="AH81" s="340" t="s">
        <v>149</v>
      </c>
      <c r="AI81" s="343" t="s">
        <v>65</v>
      </c>
      <c r="AJ81" s="344">
        <v>15000</v>
      </c>
      <c r="AK81" s="345" t="s">
        <v>60</v>
      </c>
    </row>
    <row r="82" spans="1:37" x14ac:dyDescent="0.35">
      <c r="A82" s="346">
        <v>71</v>
      </c>
      <c r="B82" s="347" t="s">
        <v>83</v>
      </c>
      <c r="C82" s="347" t="s">
        <v>83</v>
      </c>
      <c r="D82" s="379" t="s">
        <v>118</v>
      </c>
      <c r="E82" s="386" t="s">
        <v>228</v>
      </c>
      <c r="F82" s="386" t="s">
        <v>229</v>
      </c>
      <c r="G82" s="380"/>
      <c r="H82" s="334">
        <v>40796</v>
      </c>
      <c r="I82" s="364">
        <v>0.77083333333333337</v>
      </c>
      <c r="J82" s="363">
        <v>40796</v>
      </c>
      <c r="K82" s="364">
        <v>0.77777777777777779</v>
      </c>
      <c r="L82" s="334">
        <v>40797</v>
      </c>
      <c r="M82" s="364">
        <v>0.3125</v>
      </c>
      <c r="N82" s="340" t="s">
        <v>62</v>
      </c>
      <c r="O82" s="354">
        <v>1.5</v>
      </c>
      <c r="P82" s="354"/>
      <c r="Q82" s="354"/>
      <c r="R82" s="354"/>
      <c r="S82" s="354"/>
      <c r="T82" s="355"/>
      <c r="U82" s="354"/>
      <c r="V82" s="354"/>
      <c r="W82" s="354"/>
      <c r="X82" s="354"/>
      <c r="Y82" s="354">
        <v>1.5</v>
      </c>
      <c r="Z82" s="354"/>
      <c r="AA82" s="354"/>
      <c r="AB82" s="354"/>
      <c r="AC82" s="354"/>
      <c r="AD82" s="329">
        <f t="shared" si="1"/>
        <v>1.5</v>
      </c>
      <c r="AE82" s="340" t="s">
        <v>55</v>
      </c>
      <c r="AF82" s="340" t="s">
        <v>56</v>
      </c>
      <c r="AG82" s="340" t="s">
        <v>57</v>
      </c>
      <c r="AH82" s="340" t="s">
        <v>230</v>
      </c>
      <c r="AI82" s="340" t="s">
        <v>65</v>
      </c>
      <c r="AJ82" s="344">
        <v>120000</v>
      </c>
      <c r="AK82" s="345" t="s">
        <v>60</v>
      </c>
    </row>
    <row r="83" spans="1:37" x14ac:dyDescent="0.35">
      <c r="A83" s="346">
        <v>72</v>
      </c>
      <c r="B83" s="347" t="s">
        <v>160</v>
      </c>
      <c r="C83" s="347" t="s">
        <v>160</v>
      </c>
      <c r="D83" s="379" t="s">
        <v>231</v>
      </c>
      <c r="E83" s="386"/>
      <c r="F83" s="386"/>
      <c r="G83" s="380"/>
      <c r="H83" s="334">
        <v>40797</v>
      </c>
      <c r="I83" s="364">
        <v>0.5625</v>
      </c>
      <c r="J83" s="363">
        <v>40797</v>
      </c>
      <c r="K83" s="364"/>
      <c r="L83" s="334">
        <v>40797</v>
      </c>
      <c r="M83" s="364">
        <v>0.60416666666666663</v>
      </c>
      <c r="N83" s="340" t="s">
        <v>41</v>
      </c>
      <c r="O83" s="354"/>
      <c r="P83" s="354"/>
      <c r="Q83" s="354">
        <v>1</v>
      </c>
      <c r="R83" s="354"/>
      <c r="S83" s="354"/>
      <c r="T83" s="355"/>
      <c r="U83" s="354"/>
      <c r="V83" s="354"/>
      <c r="W83" s="354"/>
      <c r="X83" s="354"/>
      <c r="Y83" s="354"/>
      <c r="Z83" s="354"/>
      <c r="AA83" s="354">
        <v>1</v>
      </c>
      <c r="AB83" s="354"/>
      <c r="AC83" s="354"/>
      <c r="AD83" s="329">
        <f t="shared" si="1"/>
        <v>1</v>
      </c>
      <c r="AE83" s="340" t="s">
        <v>66</v>
      </c>
      <c r="AF83" s="340" t="s">
        <v>56</v>
      </c>
      <c r="AG83" s="340" t="s">
        <v>72</v>
      </c>
      <c r="AH83" s="340"/>
      <c r="AI83" s="343" t="s">
        <v>73</v>
      </c>
      <c r="AJ83" s="344">
        <v>15000</v>
      </c>
      <c r="AK83" s="345" t="s">
        <v>60</v>
      </c>
    </row>
    <row r="84" spans="1:37" x14ac:dyDescent="0.35">
      <c r="A84" s="346">
        <v>73</v>
      </c>
      <c r="B84" s="347" t="s">
        <v>68</v>
      </c>
      <c r="C84" s="347" t="s">
        <v>105</v>
      </c>
      <c r="D84" s="379" t="s">
        <v>232</v>
      </c>
      <c r="E84" s="386"/>
      <c r="F84" s="386"/>
      <c r="G84" s="380"/>
      <c r="H84" s="334">
        <v>40797</v>
      </c>
      <c r="I84" s="364">
        <v>0.55555555555555558</v>
      </c>
      <c r="J84" s="363">
        <v>40797</v>
      </c>
      <c r="K84" s="364"/>
      <c r="L84" s="334">
        <v>40797</v>
      </c>
      <c r="M84" s="364">
        <v>0.60069444444444442</v>
      </c>
      <c r="N84" s="340" t="s">
        <v>41</v>
      </c>
      <c r="O84" s="354"/>
      <c r="P84" s="354"/>
      <c r="Q84" s="354"/>
      <c r="R84" s="354"/>
      <c r="S84" s="354"/>
      <c r="T84" s="355"/>
      <c r="U84" s="354"/>
      <c r="V84" s="354">
        <v>0.5</v>
      </c>
      <c r="W84" s="354"/>
      <c r="X84" s="354"/>
      <c r="Y84" s="354"/>
      <c r="Z84" s="354"/>
      <c r="AA84" s="354">
        <v>0.5</v>
      </c>
      <c r="AB84" s="354"/>
      <c r="AC84" s="354"/>
      <c r="AD84" s="329">
        <f t="shared" si="1"/>
        <v>0.5</v>
      </c>
      <c r="AE84" s="340" t="s">
        <v>63</v>
      </c>
      <c r="AF84" s="340" t="s">
        <v>56</v>
      </c>
      <c r="AG84" s="340" t="s">
        <v>72</v>
      </c>
      <c r="AH84" s="340"/>
      <c r="AI84" s="340" t="s">
        <v>73</v>
      </c>
      <c r="AJ84" s="344">
        <v>7500</v>
      </c>
      <c r="AK84" s="345" t="s">
        <v>60</v>
      </c>
    </row>
    <row r="85" spans="1:37" x14ac:dyDescent="0.35">
      <c r="A85" s="346">
        <v>74</v>
      </c>
      <c r="B85" s="347" t="s">
        <v>78</v>
      </c>
      <c r="C85" s="347" t="s">
        <v>233</v>
      </c>
      <c r="D85" s="379" t="s">
        <v>213</v>
      </c>
      <c r="E85" s="386"/>
      <c r="F85" s="386"/>
      <c r="G85" s="380"/>
      <c r="H85" s="334">
        <v>40800</v>
      </c>
      <c r="I85" s="364">
        <v>0.76041666666666663</v>
      </c>
      <c r="J85" s="363">
        <v>40800</v>
      </c>
      <c r="K85" s="364"/>
      <c r="L85" s="334">
        <v>40801</v>
      </c>
      <c r="M85" s="364">
        <v>0.38541666666666669</v>
      </c>
      <c r="N85" s="340" t="s">
        <v>62</v>
      </c>
      <c r="O85" s="354">
        <v>3</v>
      </c>
      <c r="P85" s="354"/>
      <c r="Q85" s="354"/>
      <c r="R85" s="354"/>
      <c r="S85" s="354"/>
      <c r="T85" s="355"/>
      <c r="U85" s="354"/>
      <c r="V85" s="354"/>
      <c r="W85" s="354"/>
      <c r="X85" s="354"/>
      <c r="Y85" s="354">
        <v>3</v>
      </c>
      <c r="Z85" s="354"/>
      <c r="AA85" s="354"/>
      <c r="AB85" s="354"/>
      <c r="AC85" s="354"/>
      <c r="AD85" s="329">
        <f t="shared" si="1"/>
        <v>3</v>
      </c>
      <c r="AE85" s="340" t="s">
        <v>234</v>
      </c>
      <c r="AF85" s="340" t="s">
        <v>56</v>
      </c>
      <c r="AG85" s="340" t="s">
        <v>72</v>
      </c>
      <c r="AH85" s="340"/>
      <c r="AI85" s="340" t="s">
        <v>175</v>
      </c>
      <c r="AJ85" s="344">
        <v>240000</v>
      </c>
      <c r="AK85" s="345" t="s">
        <v>60</v>
      </c>
    </row>
    <row r="86" spans="1:37" x14ac:dyDescent="0.35">
      <c r="A86" s="346">
        <v>75</v>
      </c>
      <c r="B86" s="347" t="s">
        <v>83</v>
      </c>
      <c r="C86" s="347" t="s">
        <v>83</v>
      </c>
      <c r="D86" s="379" t="s">
        <v>235</v>
      </c>
      <c r="E86" s="386" t="s">
        <v>236</v>
      </c>
      <c r="F86" s="386" t="s">
        <v>237</v>
      </c>
      <c r="G86" s="380"/>
      <c r="H86" s="334">
        <v>40801</v>
      </c>
      <c r="I86" s="364">
        <v>0.55208333333333337</v>
      </c>
      <c r="J86" s="363">
        <v>40801</v>
      </c>
      <c r="K86" s="364">
        <v>0.55902777777777779</v>
      </c>
      <c r="L86" s="334">
        <v>40801</v>
      </c>
      <c r="M86" s="364">
        <v>0.70833333333333337</v>
      </c>
      <c r="N86" s="340" t="s">
        <v>81</v>
      </c>
      <c r="O86" s="354"/>
      <c r="P86" s="354">
        <v>1</v>
      </c>
      <c r="Q86" s="354"/>
      <c r="R86" s="354"/>
      <c r="S86" s="354"/>
      <c r="T86" s="355"/>
      <c r="U86" s="354"/>
      <c r="V86" s="354"/>
      <c r="W86" s="354"/>
      <c r="X86" s="354"/>
      <c r="Y86" s="354"/>
      <c r="Z86" s="354">
        <v>1</v>
      </c>
      <c r="AA86" s="354"/>
      <c r="AB86" s="354"/>
      <c r="AC86" s="354"/>
      <c r="AD86" s="329">
        <f t="shared" si="1"/>
        <v>1</v>
      </c>
      <c r="AE86" s="340" t="s">
        <v>66</v>
      </c>
      <c r="AF86" s="340" t="s">
        <v>56</v>
      </c>
      <c r="AG86" s="340" t="s">
        <v>57</v>
      </c>
      <c r="AH86" s="340" t="s">
        <v>149</v>
      </c>
      <c r="AI86" s="340" t="s">
        <v>73</v>
      </c>
      <c r="AJ86" s="344">
        <v>78000</v>
      </c>
      <c r="AK86" s="345" t="s">
        <v>60</v>
      </c>
    </row>
    <row r="87" spans="1:37" x14ac:dyDescent="0.35">
      <c r="A87" s="346">
        <v>76</v>
      </c>
      <c r="B87" s="347" t="s">
        <v>83</v>
      </c>
      <c r="C87" s="347" t="s">
        <v>83</v>
      </c>
      <c r="D87" s="379" t="s">
        <v>238</v>
      </c>
      <c r="E87" s="386" t="s">
        <v>239</v>
      </c>
      <c r="F87" s="386" t="s">
        <v>237</v>
      </c>
      <c r="G87" s="380"/>
      <c r="H87" s="334">
        <v>40802</v>
      </c>
      <c r="I87" s="364">
        <v>0.67708333333333337</v>
      </c>
      <c r="J87" s="363">
        <v>40802</v>
      </c>
      <c r="K87" s="364">
        <v>0.69097222222222221</v>
      </c>
      <c r="L87" s="334">
        <v>40802</v>
      </c>
      <c r="M87" s="364">
        <v>0.72916666666666663</v>
      </c>
      <c r="N87" s="340" t="s">
        <v>62</v>
      </c>
      <c r="O87" s="354">
        <v>0.01</v>
      </c>
      <c r="P87" s="354"/>
      <c r="Q87" s="354"/>
      <c r="R87" s="354"/>
      <c r="S87" s="354"/>
      <c r="T87" s="355"/>
      <c r="U87" s="354"/>
      <c r="V87" s="354"/>
      <c r="W87" s="354"/>
      <c r="X87" s="354"/>
      <c r="Y87" s="354">
        <v>0.01</v>
      </c>
      <c r="Z87" s="354"/>
      <c r="AA87" s="354"/>
      <c r="AB87" s="354"/>
      <c r="AC87" s="354"/>
      <c r="AD87" s="329">
        <f t="shared" si="1"/>
        <v>0.01</v>
      </c>
      <c r="AE87" s="340" t="s">
        <v>55</v>
      </c>
      <c r="AF87" s="340" t="s">
        <v>56</v>
      </c>
      <c r="AG87" s="340" t="s">
        <v>57</v>
      </c>
      <c r="AH87" s="340" t="s">
        <v>149</v>
      </c>
      <c r="AI87" s="340" t="s">
        <v>73</v>
      </c>
      <c r="AJ87" s="344">
        <v>800</v>
      </c>
      <c r="AK87" s="345" t="s">
        <v>60</v>
      </c>
    </row>
    <row r="88" spans="1:37" x14ac:dyDescent="0.35">
      <c r="A88" s="346">
        <v>77</v>
      </c>
      <c r="B88" s="347" t="s">
        <v>83</v>
      </c>
      <c r="C88" s="347" t="s">
        <v>95</v>
      </c>
      <c r="D88" s="379" t="s">
        <v>240</v>
      </c>
      <c r="E88" s="386"/>
      <c r="F88" s="386"/>
      <c r="G88" s="380"/>
      <c r="H88" s="334">
        <v>40802</v>
      </c>
      <c r="I88" s="364">
        <v>0.68055555555555547</v>
      </c>
      <c r="J88" s="363" t="s">
        <v>241</v>
      </c>
      <c r="K88" s="364"/>
      <c r="L88" s="334">
        <v>40803</v>
      </c>
      <c r="M88" s="364">
        <v>0.3125</v>
      </c>
      <c r="N88" s="340" t="s">
        <v>81</v>
      </c>
      <c r="O88" s="354"/>
      <c r="P88" s="354">
        <v>10</v>
      </c>
      <c r="Q88" s="354"/>
      <c r="R88" s="354"/>
      <c r="S88" s="354"/>
      <c r="T88" s="355"/>
      <c r="U88" s="354"/>
      <c r="V88" s="354"/>
      <c r="W88" s="354"/>
      <c r="X88" s="354"/>
      <c r="Y88" s="354"/>
      <c r="Z88" s="354">
        <v>10</v>
      </c>
      <c r="AA88" s="354"/>
      <c r="AB88" s="354"/>
      <c r="AC88" s="354"/>
      <c r="AD88" s="329">
        <f t="shared" si="1"/>
        <v>10</v>
      </c>
      <c r="AE88" s="340" t="s">
        <v>66</v>
      </c>
      <c r="AF88" s="340" t="s">
        <v>56</v>
      </c>
      <c r="AG88" s="340" t="s">
        <v>72</v>
      </c>
      <c r="AH88" s="340" t="s">
        <v>92</v>
      </c>
      <c r="AI88" s="340" t="s">
        <v>73</v>
      </c>
      <c r="AJ88" s="344">
        <v>780000</v>
      </c>
      <c r="AK88" s="345" t="s">
        <v>60</v>
      </c>
    </row>
    <row r="89" spans="1:37" x14ac:dyDescent="0.35">
      <c r="A89" s="346">
        <v>78</v>
      </c>
      <c r="B89" s="347" t="s">
        <v>242</v>
      </c>
      <c r="C89" s="347" t="s">
        <v>243</v>
      </c>
      <c r="D89" s="379" t="s">
        <v>244</v>
      </c>
      <c r="E89" s="386"/>
      <c r="F89" s="386"/>
      <c r="G89" s="380"/>
      <c r="H89" s="334">
        <v>40803</v>
      </c>
      <c r="I89" s="364">
        <v>0.45833333333333331</v>
      </c>
      <c r="J89" s="363">
        <v>40803</v>
      </c>
      <c r="K89" s="364">
        <v>0.47222222222222227</v>
      </c>
      <c r="L89" s="334">
        <v>40803</v>
      </c>
      <c r="M89" s="364">
        <v>0.53125</v>
      </c>
      <c r="N89" s="340" t="s">
        <v>62</v>
      </c>
      <c r="O89" s="354">
        <v>0.5</v>
      </c>
      <c r="P89" s="354"/>
      <c r="Q89" s="354"/>
      <c r="R89" s="354"/>
      <c r="S89" s="354"/>
      <c r="T89" s="355"/>
      <c r="U89" s="354"/>
      <c r="V89" s="354"/>
      <c r="W89" s="354"/>
      <c r="X89" s="354"/>
      <c r="Y89" s="354">
        <v>0.5</v>
      </c>
      <c r="Z89" s="354"/>
      <c r="AA89" s="354"/>
      <c r="AB89" s="354"/>
      <c r="AC89" s="354"/>
      <c r="AD89" s="329">
        <f t="shared" si="1"/>
        <v>0.5</v>
      </c>
      <c r="AE89" s="340" t="s">
        <v>234</v>
      </c>
      <c r="AF89" s="340" t="s">
        <v>56</v>
      </c>
      <c r="AG89" s="340" t="s">
        <v>72</v>
      </c>
      <c r="AH89" s="340"/>
      <c r="AI89" s="340" t="s">
        <v>65</v>
      </c>
      <c r="AJ89" s="344">
        <v>40000</v>
      </c>
      <c r="AK89" s="345" t="s">
        <v>60</v>
      </c>
    </row>
    <row r="90" spans="1:37" x14ac:dyDescent="0.35">
      <c r="A90" s="346">
        <v>79</v>
      </c>
      <c r="B90" s="347" t="s">
        <v>83</v>
      </c>
      <c r="C90" s="347" t="s">
        <v>83</v>
      </c>
      <c r="D90" s="379" t="s">
        <v>118</v>
      </c>
      <c r="E90" s="386" t="s">
        <v>245</v>
      </c>
      <c r="F90" s="386" t="s">
        <v>246</v>
      </c>
      <c r="G90" s="380"/>
      <c r="H90" s="334">
        <v>40803</v>
      </c>
      <c r="I90" s="364">
        <v>0.60416666666666663</v>
      </c>
      <c r="J90" s="363">
        <v>40803</v>
      </c>
      <c r="K90" s="364">
        <v>0.61111111111111105</v>
      </c>
      <c r="L90" s="334">
        <v>40803</v>
      </c>
      <c r="M90" s="364">
        <v>0.75</v>
      </c>
      <c r="N90" s="340" t="s">
        <v>62</v>
      </c>
      <c r="O90" s="354">
        <v>1</v>
      </c>
      <c r="P90" s="354"/>
      <c r="Q90" s="354"/>
      <c r="R90" s="354"/>
      <c r="S90" s="354"/>
      <c r="T90" s="355"/>
      <c r="U90" s="354"/>
      <c r="V90" s="354"/>
      <c r="W90" s="354"/>
      <c r="X90" s="354"/>
      <c r="Y90" s="354">
        <v>1</v>
      </c>
      <c r="Z90" s="354"/>
      <c r="AA90" s="354"/>
      <c r="AB90" s="354"/>
      <c r="AC90" s="354"/>
      <c r="AD90" s="329">
        <f t="shared" si="1"/>
        <v>1</v>
      </c>
      <c r="AE90" s="340" t="s">
        <v>55</v>
      </c>
      <c r="AF90" s="340" t="s">
        <v>56</v>
      </c>
      <c r="AG90" s="340" t="s">
        <v>57</v>
      </c>
      <c r="AH90" s="340" t="s">
        <v>247</v>
      </c>
      <c r="AI90" s="340" t="s">
        <v>73</v>
      </c>
      <c r="AJ90" s="344">
        <v>80000</v>
      </c>
      <c r="AK90" s="345" t="s">
        <v>60</v>
      </c>
    </row>
    <row r="91" spans="1:37" x14ac:dyDescent="0.35">
      <c r="A91" s="346">
        <v>80</v>
      </c>
      <c r="B91" s="347" t="s">
        <v>49</v>
      </c>
      <c r="C91" s="347" t="s">
        <v>248</v>
      </c>
      <c r="D91" s="379" t="s">
        <v>249</v>
      </c>
      <c r="E91" s="386" t="s">
        <v>250</v>
      </c>
      <c r="F91" s="386" t="s">
        <v>251</v>
      </c>
      <c r="G91" s="380"/>
      <c r="H91" s="334">
        <v>40803</v>
      </c>
      <c r="I91" s="364">
        <v>0.77083333333333337</v>
      </c>
      <c r="J91" s="363">
        <v>40803</v>
      </c>
      <c r="K91" s="364">
        <v>0.77430555555555547</v>
      </c>
      <c r="L91" s="334">
        <v>40803</v>
      </c>
      <c r="M91" s="364">
        <v>0.8125</v>
      </c>
      <c r="N91" s="340" t="s">
        <v>62</v>
      </c>
      <c r="O91" s="354">
        <v>0.06</v>
      </c>
      <c r="P91" s="354"/>
      <c r="Q91" s="354"/>
      <c r="R91" s="354"/>
      <c r="S91" s="354"/>
      <c r="T91" s="355"/>
      <c r="U91" s="354"/>
      <c r="V91" s="354"/>
      <c r="W91" s="354"/>
      <c r="X91" s="354"/>
      <c r="Y91" s="354">
        <v>0.06</v>
      </c>
      <c r="Z91" s="354"/>
      <c r="AA91" s="354"/>
      <c r="AB91" s="354"/>
      <c r="AC91" s="354"/>
      <c r="AD91" s="329">
        <f t="shared" si="1"/>
        <v>0.06</v>
      </c>
      <c r="AE91" s="340" t="s">
        <v>66</v>
      </c>
      <c r="AF91" s="340" t="s">
        <v>56</v>
      </c>
      <c r="AG91" s="340" t="s">
        <v>57</v>
      </c>
      <c r="AH91" s="340" t="s">
        <v>247</v>
      </c>
      <c r="AI91" s="340" t="s">
        <v>73</v>
      </c>
      <c r="AJ91" s="344">
        <v>4800</v>
      </c>
      <c r="AK91" s="345" t="s">
        <v>60</v>
      </c>
    </row>
    <row r="92" spans="1:37" x14ac:dyDescent="0.35">
      <c r="A92" s="346">
        <v>81</v>
      </c>
      <c r="B92" s="347" t="s">
        <v>252</v>
      </c>
      <c r="C92" s="347" t="s">
        <v>145</v>
      </c>
      <c r="D92" s="379" t="s">
        <v>253</v>
      </c>
      <c r="E92" s="386" t="s">
        <v>254</v>
      </c>
      <c r="F92" s="386" t="s">
        <v>255</v>
      </c>
      <c r="G92" s="380"/>
      <c r="H92" s="334">
        <v>40804</v>
      </c>
      <c r="I92" s="364">
        <v>0.55555555555555558</v>
      </c>
      <c r="J92" s="363">
        <v>40804</v>
      </c>
      <c r="K92" s="364">
        <v>0.5625</v>
      </c>
      <c r="L92" s="334">
        <v>40804</v>
      </c>
      <c r="M92" s="364">
        <v>0.625</v>
      </c>
      <c r="N92" s="340" t="s">
        <v>41</v>
      </c>
      <c r="O92" s="354"/>
      <c r="P92" s="354"/>
      <c r="Q92" s="354">
        <v>0.02</v>
      </c>
      <c r="R92" s="354"/>
      <c r="S92" s="354"/>
      <c r="T92" s="355"/>
      <c r="U92" s="354"/>
      <c r="V92" s="354"/>
      <c r="W92" s="354"/>
      <c r="X92" s="354"/>
      <c r="Y92" s="354"/>
      <c r="Z92" s="354"/>
      <c r="AA92" s="354">
        <v>0.02</v>
      </c>
      <c r="AB92" s="354"/>
      <c r="AC92" s="354"/>
      <c r="AD92" s="329">
        <f t="shared" si="1"/>
        <v>0.02</v>
      </c>
      <c r="AE92" s="340" t="s">
        <v>66</v>
      </c>
      <c r="AF92" s="340" t="s">
        <v>56</v>
      </c>
      <c r="AG92" s="340" t="s">
        <v>57</v>
      </c>
      <c r="AH92" s="340" t="s">
        <v>247</v>
      </c>
      <c r="AI92" s="340" t="s">
        <v>73</v>
      </c>
      <c r="AJ92" s="344">
        <v>300</v>
      </c>
      <c r="AK92" s="345" t="s">
        <v>60</v>
      </c>
    </row>
    <row r="93" spans="1:37" x14ac:dyDescent="0.35">
      <c r="A93" s="346">
        <v>82</v>
      </c>
      <c r="B93" s="347" t="s">
        <v>83</v>
      </c>
      <c r="C93" s="347" t="s">
        <v>83</v>
      </c>
      <c r="D93" s="379" t="s">
        <v>256</v>
      </c>
      <c r="E93" s="386"/>
      <c r="F93" s="386"/>
      <c r="G93" s="380"/>
      <c r="H93" s="334">
        <v>40804</v>
      </c>
      <c r="I93" s="364">
        <v>0.64583333333333337</v>
      </c>
      <c r="J93" s="363">
        <v>40804</v>
      </c>
      <c r="K93" s="364">
        <v>0.65277777777777779</v>
      </c>
      <c r="L93" s="334">
        <v>40804</v>
      </c>
      <c r="M93" s="364">
        <v>0.72916666666666663</v>
      </c>
      <c r="N93" s="340" t="s">
        <v>62</v>
      </c>
      <c r="O93" s="354">
        <v>0.5</v>
      </c>
      <c r="P93" s="354"/>
      <c r="Q93" s="354"/>
      <c r="R93" s="354"/>
      <c r="S93" s="354"/>
      <c r="T93" s="355"/>
      <c r="U93" s="354"/>
      <c r="V93" s="354"/>
      <c r="W93" s="354"/>
      <c r="X93" s="354"/>
      <c r="Y93" s="354">
        <v>0.5</v>
      </c>
      <c r="Z93" s="354"/>
      <c r="AA93" s="354"/>
      <c r="AB93" s="354"/>
      <c r="AC93" s="354"/>
      <c r="AD93" s="329">
        <f t="shared" si="1"/>
        <v>0.5</v>
      </c>
      <c r="AE93" s="340" t="s">
        <v>66</v>
      </c>
      <c r="AF93" s="340" t="s">
        <v>56</v>
      </c>
      <c r="AG93" s="340" t="s">
        <v>72</v>
      </c>
      <c r="AH93" s="340" t="s">
        <v>92</v>
      </c>
      <c r="AI93" s="340" t="s">
        <v>73</v>
      </c>
      <c r="AJ93" s="344">
        <v>40000</v>
      </c>
      <c r="AK93" s="345" t="s">
        <v>60</v>
      </c>
    </row>
    <row r="94" spans="1:37" x14ac:dyDescent="0.35">
      <c r="A94" s="346">
        <v>83</v>
      </c>
      <c r="B94" s="347" t="s">
        <v>145</v>
      </c>
      <c r="C94" s="347" t="s">
        <v>201</v>
      </c>
      <c r="D94" s="379" t="s">
        <v>257</v>
      </c>
      <c r="E94" s="386" t="s">
        <v>258</v>
      </c>
      <c r="F94" s="386" t="s">
        <v>259</v>
      </c>
      <c r="G94" s="380"/>
      <c r="H94" s="334">
        <v>40806</v>
      </c>
      <c r="I94" s="364">
        <v>0.65625</v>
      </c>
      <c r="J94" s="334">
        <v>40806</v>
      </c>
      <c r="K94" s="364">
        <v>0.66319444444444442</v>
      </c>
      <c r="L94" s="334">
        <v>40806</v>
      </c>
      <c r="M94" s="364">
        <v>0.76041666666666663</v>
      </c>
      <c r="N94" s="340" t="s">
        <v>41</v>
      </c>
      <c r="O94" s="354"/>
      <c r="P94" s="390"/>
      <c r="Q94" s="354">
        <v>0.12</v>
      </c>
      <c r="R94" s="354"/>
      <c r="S94" s="354"/>
      <c r="T94" s="355"/>
      <c r="U94" s="354"/>
      <c r="V94" s="354"/>
      <c r="W94" s="354"/>
      <c r="X94" s="354"/>
      <c r="Y94" s="354"/>
      <c r="Z94" s="390"/>
      <c r="AA94" s="354">
        <v>0.12</v>
      </c>
      <c r="AB94" s="354"/>
      <c r="AC94" s="354"/>
      <c r="AD94" s="329">
        <f t="shared" si="1"/>
        <v>0.12</v>
      </c>
      <c r="AE94" s="340" t="s">
        <v>260</v>
      </c>
      <c r="AF94" s="340" t="s">
        <v>56</v>
      </c>
      <c r="AG94" s="340" t="s">
        <v>57</v>
      </c>
      <c r="AH94" s="340" t="s">
        <v>247</v>
      </c>
      <c r="AI94" s="340" t="s">
        <v>73</v>
      </c>
      <c r="AJ94" s="344">
        <v>1800</v>
      </c>
      <c r="AK94" s="345" t="s">
        <v>60</v>
      </c>
    </row>
    <row r="95" spans="1:37" x14ac:dyDescent="0.35">
      <c r="A95" s="346">
        <v>84</v>
      </c>
      <c r="B95" s="347" t="s">
        <v>83</v>
      </c>
      <c r="C95" s="347" t="s">
        <v>83</v>
      </c>
      <c r="D95" s="379" t="s">
        <v>261</v>
      </c>
      <c r="E95" s="386" t="s">
        <v>262</v>
      </c>
      <c r="F95" s="386" t="s">
        <v>263</v>
      </c>
      <c r="G95" s="380"/>
      <c r="H95" s="334">
        <v>40807</v>
      </c>
      <c r="I95" s="364" t="s">
        <v>264</v>
      </c>
      <c r="J95" s="334">
        <v>40807</v>
      </c>
      <c r="K95" s="364">
        <v>0.59375</v>
      </c>
      <c r="L95" s="334">
        <v>40807</v>
      </c>
      <c r="M95" s="364">
        <v>0.71875</v>
      </c>
      <c r="N95" s="340" t="s">
        <v>81</v>
      </c>
      <c r="O95" s="354"/>
      <c r="P95" s="354"/>
      <c r="Q95" s="354">
        <v>0.05</v>
      </c>
      <c r="R95" s="354"/>
      <c r="S95" s="354"/>
      <c r="T95" s="355"/>
      <c r="U95" s="354"/>
      <c r="V95" s="354"/>
      <c r="W95" s="354"/>
      <c r="X95" s="354"/>
      <c r="Y95" s="354"/>
      <c r="Z95" s="354"/>
      <c r="AA95" s="354">
        <v>0.05</v>
      </c>
      <c r="AB95" s="354"/>
      <c r="AC95" s="383"/>
      <c r="AD95" s="329">
        <f t="shared" si="1"/>
        <v>0.05</v>
      </c>
      <c r="AE95" s="340" t="s">
        <v>63</v>
      </c>
      <c r="AF95" s="340" t="s">
        <v>56</v>
      </c>
      <c r="AG95" s="340" t="s">
        <v>57</v>
      </c>
      <c r="AH95" s="340" t="s">
        <v>92</v>
      </c>
      <c r="AI95" s="340" t="s">
        <v>73</v>
      </c>
      <c r="AJ95" s="344">
        <v>39000</v>
      </c>
      <c r="AK95" s="345" t="s">
        <v>60</v>
      </c>
    </row>
    <row r="96" spans="1:37" x14ac:dyDescent="0.35">
      <c r="A96" s="346">
        <v>85</v>
      </c>
      <c r="B96" s="347" t="s">
        <v>83</v>
      </c>
      <c r="C96" s="347" t="s">
        <v>83</v>
      </c>
      <c r="D96" s="379" t="s">
        <v>265</v>
      </c>
      <c r="E96" s="386" t="s">
        <v>266</v>
      </c>
      <c r="F96" s="386" t="s">
        <v>267</v>
      </c>
      <c r="G96" s="380"/>
      <c r="H96" s="334">
        <v>40807</v>
      </c>
      <c r="I96" s="364">
        <v>0.63888888888888895</v>
      </c>
      <c r="J96" s="363">
        <v>40807</v>
      </c>
      <c r="K96" s="364">
        <v>0.64583333333333337</v>
      </c>
      <c r="L96" s="334">
        <v>40807</v>
      </c>
      <c r="M96" s="364">
        <v>0.77083333333333337</v>
      </c>
      <c r="N96" s="340" t="s">
        <v>62</v>
      </c>
      <c r="O96" s="354">
        <v>1</v>
      </c>
      <c r="P96" s="354"/>
      <c r="Q96" s="354"/>
      <c r="R96" s="354"/>
      <c r="S96" s="354"/>
      <c r="T96" s="355"/>
      <c r="U96" s="354"/>
      <c r="V96" s="354"/>
      <c r="W96" s="354"/>
      <c r="X96" s="354"/>
      <c r="Y96" s="354">
        <v>1</v>
      </c>
      <c r="Z96" s="354"/>
      <c r="AA96" s="354"/>
      <c r="AB96" s="354"/>
      <c r="AC96" s="354"/>
      <c r="AD96" s="329">
        <f t="shared" si="1"/>
        <v>1</v>
      </c>
      <c r="AE96" s="340" t="s">
        <v>55</v>
      </c>
      <c r="AF96" s="340" t="s">
        <v>56</v>
      </c>
      <c r="AG96" s="340" t="s">
        <v>57</v>
      </c>
      <c r="AH96" s="340" t="s">
        <v>92</v>
      </c>
      <c r="AI96" s="340" t="s">
        <v>73</v>
      </c>
      <c r="AJ96" s="344">
        <v>80000</v>
      </c>
      <c r="AK96" s="345" t="s">
        <v>60</v>
      </c>
    </row>
    <row r="97" spans="1:37" x14ac:dyDescent="0.35">
      <c r="A97" s="346">
        <v>86</v>
      </c>
      <c r="B97" s="347" t="s">
        <v>145</v>
      </c>
      <c r="C97" s="347" t="s">
        <v>95</v>
      </c>
      <c r="D97" s="379" t="s">
        <v>268</v>
      </c>
      <c r="E97" s="386" t="s">
        <v>269</v>
      </c>
      <c r="F97" s="386" t="s">
        <v>270</v>
      </c>
      <c r="G97" s="380"/>
      <c r="H97" s="334">
        <v>40807</v>
      </c>
      <c r="I97" s="364">
        <v>0.75</v>
      </c>
      <c r="J97" s="363">
        <v>40807</v>
      </c>
      <c r="K97" s="364">
        <v>0.76041666666666663</v>
      </c>
      <c r="L97" s="334">
        <v>40807</v>
      </c>
      <c r="M97" s="364">
        <v>0.80208333333333337</v>
      </c>
      <c r="N97" s="340" t="s">
        <v>81</v>
      </c>
      <c r="O97" s="354"/>
      <c r="P97" s="354">
        <v>0.02</v>
      </c>
      <c r="Q97" s="354"/>
      <c r="R97" s="354"/>
      <c r="S97" s="354"/>
      <c r="T97" s="355"/>
      <c r="U97" s="354"/>
      <c r="V97" s="354"/>
      <c r="W97" s="354"/>
      <c r="X97" s="354"/>
      <c r="Y97" s="354"/>
      <c r="Z97" s="354">
        <v>0.02</v>
      </c>
      <c r="AA97" s="354"/>
      <c r="AB97" s="354"/>
      <c r="AC97" s="354"/>
      <c r="AD97" s="329">
        <f t="shared" si="1"/>
        <v>0.02</v>
      </c>
      <c r="AE97" s="340" t="s">
        <v>55</v>
      </c>
      <c r="AF97" s="340" t="s">
        <v>56</v>
      </c>
      <c r="AG97" s="340" t="s">
        <v>57</v>
      </c>
      <c r="AH97" s="340" t="s">
        <v>92</v>
      </c>
      <c r="AI97" s="340" t="s">
        <v>73</v>
      </c>
      <c r="AJ97" s="344">
        <v>1560</v>
      </c>
      <c r="AK97" s="345" t="s">
        <v>60</v>
      </c>
    </row>
    <row r="98" spans="1:37" x14ac:dyDescent="0.35">
      <c r="A98" s="346">
        <v>87</v>
      </c>
      <c r="B98" s="347" t="s">
        <v>83</v>
      </c>
      <c r="C98" s="347" t="s">
        <v>271</v>
      </c>
      <c r="D98" s="379" t="s">
        <v>265</v>
      </c>
      <c r="E98" s="386" t="s">
        <v>272</v>
      </c>
      <c r="F98" s="386" t="s">
        <v>273</v>
      </c>
      <c r="G98" s="380"/>
      <c r="H98" s="334">
        <v>40808</v>
      </c>
      <c r="I98" s="364">
        <v>0.29166666666666669</v>
      </c>
      <c r="J98" s="363">
        <v>40808</v>
      </c>
      <c r="K98" s="364">
        <v>0.2986111111111111</v>
      </c>
      <c r="L98" s="334">
        <v>40809</v>
      </c>
      <c r="M98" s="364">
        <v>0.3125</v>
      </c>
      <c r="N98" s="340" t="s">
        <v>62</v>
      </c>
      <c r="O98" s="354">
        <v>3</v>
      </c>
      <c r="P98" s="354"/>
      <c r="Q98" s="354">
        <v>3</v>
      </c>
      <c r="R98" s="354"/>
      <c r="S98" s="354"/>
      <c r="T98" s="355"/>
      <c r="U98" s="354"/>
      <c r="V98" s="354"/>
      <c r="W98" s="354"/>
      <c r="X98" s="354"/>
      <c r="Y98" s="354">
        <v>3</v>
      </c>
      <c r="Z98" s="354"/>
      <c r="AA98" s="354">
        <v>3</v>
      </c>
      <c r="AB98" s="354"/>
      <c r="AC98" s="354"/>
      <c r="AD98" s="329">
        <f t="shared" si="1"/>
        <v>6</v>
      </c>
      <c r="AE98" s="340" t="s">
        <v>55</v>
      </c>
      <c r="AF98" s="340" t="s">
        <v>56</v>
      </c>
      <c r="AG98" s="340" t="s">
        <v>57</v>
      </c>
      <c r="AH98" s="340" t="s">
        <v>149</v>
      </c>
      <c r="AI98" s="340" t="s">
        <v>73</v>
      </c>
      <c r="AJ98" s="344">
        <v>285000</v>
      </c>
      <c r="AK98" s="345" t="s">
        <v>60</v>
      </c>
    </row>
    <row r="99" spans="1:37" x14ac:dyDescent="0.35">
      <c r="A99" s="346">
        <v>88</v>
      </c>
      <c r="B99" s="347" t="s">
        <v>198</v>
      </c>
      <c r="C99" s="347" t="s">
        <v>274</v>
      </c>
      <c r="D99" s="379" t="s">
        <v>275</v>
      </c>
      <c r="E99" s="386"/>
      <c r="F99" s="386"/>
      <c r="G99" s="380"/>
      <c r="H99" s="334">
        <v>40808</v>
      </c>
      <c r="I99" s="364">
        <v>0.46527777777777773</v>
      </c>
      <c r="J99" s="363">
        <v>40808</v>
      </c>
      <c r="K99" s="364">
        <v>0.47916666666666669</v>
      </c>
      <c r="L99" s="334">
        <v>40808</v>
      </c>
      <c r="M99" s="364">
        <v>0.66666666666666663</v>
      </c>
      <c r="N99" s="340" t="s">
        <v>62</v>
      </c>
      <c r="O99" s="354"/>
      <c r="P99" s="354"/>
      <c r="Q99" s="354"/>
      <c r="R99" s="354"/>
      <c r="S99" s="354"/>
      <c r="T99" s="355">
        <v>1</v>
      </c>
      <c r="U99" s="354"/>
      <c r="V99" s="354"/>
      <c r="W99" s="354"/>
      <c r="X99" s="354"/>
      <c r="Y99" s="354">
        <v>1</v>
      </c>
      <c r="Z99" s="354"/>
      <c r="AA99" s="354"/>
      <c r="AB99" s="354"/>
      <c r="AC99" s="354"/>
      <c r="AD99" s="329">
        <f t="shared" si="1"/>
        <v>1</v>
      </c>
      <c r="AE99" s="340" t="s">
        <v>234</v>
      </c>
      <c r="AF99" s="340" t="s">
        <v>56</v>
      </c>
      <c r="AG99" s="340" t="s">
        <v>72</v>
      </c>
      <c r="AH99" s="340"/>
      <c r="AI99" s="340" t="s">
        <v>73</v>
      </c>
      <c r="AJ99" s="344">
        <v>80000</v>
      </c>
      <c r="AK99" s="345" t="s">
        <v>60</v>
      </c>
    </row>
    <row r="100" spans="1:37" x14ac:dyDescent="0.35">
      <c r="A100" s="346">
        <v>89</v>
      </c>
      <c r="B100" s="347" t="s">
        <v>145</v>
      </c>
      <c r="C100" s="347" t="s">
        <v>145</v>
      </c>
      <c r="D100" s="379" t="s">
        <v>253</v>
      </c>
      <c r="E100" s="386" t="s">
        <v>254</v>
      </c>
      <c r="F100" s="386" t="s">
        <v>276</v>
      </c>
      <c r="G100" s="380"/>
      <c r="H100" s="334">
        <v>40808</v>
      </c>
      <c r="I100" s="364">
        <v>0.76388888888888884</v>
      </c>
      <c r="J100" s="363">
        <v>40808</v>
      </c>
      <c r="K100" s="364">
        <v>0.77083333333333337</v>
      </c>
      <c r="L100" s="334">
        <v>40808</v>
      </c>
      <c r="M100" s="364">
        <v>0.8125</v>
      </c>
      <c r="N100" s="340" t="s">
        <v>277</v>
      </c>
      <c r="O100" s="354">
        <v>0.01</v>
      </c>
      <c r="P100" s="354"/>
      <c r="Q100" s="354"/>
      <c r="R100" s="354"/>
      <c r="S100" s="354"/>
      <c r="T100" s="355"/>
      <c r="U100" s="354"/>
      <c r="V100" s="354"/>
      <c r="W100" s="354"/>
      <c r="X100" s="354"/>
      <c r="Y100" s="354">
        <v>0.01</v>
      </c>
      <c r="Z100" s="354"/>
      <c r="AA100" s="354"/>
      <c r="AB100" s="354"/>
      <c r="AC100" s="354"/>
      <c r="AD100" s="329">
        <f t="shared" si="1"/>
        <v>0.01</v>
      </c>
      <c r="AE100" s="340" t="s">
        <v>66</v>
      </c>
      <c r="AF100" s="340" t="s">
        <v>56</v>
      </c>
      <c r="AG100" s="340" t="s">
        <v>57</v>
      </c>
      <c r="AH100" s="340" t="s">
        <v>247</v>
      </c>
      <c r="AI100" s="340" t="s">
        <v>65</v>
      </c>
      <c r="AJ100" s="344">
        <v>800</v>
      </c>
      <c r="AK100" s="345" t="s">
        <v>60</v>
      </c>
    </row>
    <row r="101" spans="1:37" x14ac:dyDescent="0.35">
      <c r="A101" s="346">
        <v>90</v>
      </c>
      <c r="B101" s="347" t="s">
        <v>49</v>
      </c>
      <c r="C101" s="347" t="s">
        <v>278</v>
      </c>
      <c r="D101" s="379" t="s">
        <v>279</v>
      </c>
      <c r="E101" s="386"/>
      <c r="F101" s="386"/>
      <c r="G101" s="380"/>
      <c r="H101" s="334">
        <v>40808</v>
      </c>
      <c r="I101" s="364">
        <v>0.71527777777777779</v>
      </c>
      <c r="J101" s="363">
        <v>40808</v>
      </c>
      <c r="K101" s="364">
        <v>0.72222222222222221</v>
      </c>
      <c r="L101" s="334">
        <v>40809</v>
      </c>
      <c r="M101" s="364">
        <v>0.3125</v>
      </c>
      <c r="N101" s="340" t="s">
        <v>62</v>
      </c>
      <c r="O101" s="354">
        <v>2.5</v>
      </c>
      <c r="P101" s="354"/>
      <c r="Q101" s="354"/>
      <c r="R101" s="354"/>
      <c r="S101" s="354"/>
      <c r="T101" s="355"/>
      <c r="U101" s="354"/>
      <c r="V101" s="354"/>
      <c r="W101" s="354"/>
      <c r="X101" s="354"/>
      <c r="Y101" s="354">
        <v>2.5</v>
      </c>
      <c r="Z101" s="354"/>
      <c r="AA101" s="354"/>
      <c r="AB101" s="354"/>
      <c r="AC101" s="354"/>
      <c r="AD101" s="329">
        <f t="shared" si="1"/>
        <v>2.5</v>
      </c>
      <c r="AE101" s="340" t="s">
        <v>55</v>
      </c>
      <c r="AF101" s="340" t="s">
        <v>56</v>
      </c>
      <c r="AG101" s="340" t="s">
        <v>72</v>
      </c>
      <c r="AH101" s="340"/>
      <c r="AI101" s="340" t="s">
        <v>73</v>
      </c>
      <c r="AJ101" s="344">
        <v>200000</v>
      </c>
      <c r="AK101" s="345" t="s">
        <v>60</v>
      </c>
    </row>
    <row r="102" spans="1:37" x14ac:dyDescent="0.35">
      <c r="A102" s="346">
        <v>91</v>
      </c>
      <c r="B102" s="347" t="s">
        <v>160</v>
      </c>
      <c r="C102" s="347" t="s">
        <v>160</v>
      </c>
      <c r="D102" s="379" t="s">
        <v>280</v>
      </c>
      <c r="E102" s="386"/>
      <c r="F102" s="386"/>
      <c r="G102" s="380"/>
      <c r="H102" s="334">
        <v>40816</v>
      </c>
      <c r="I102" s="364">
        <v>0.57986111111111105</v>
      </c>
      <c r="J102" s="363">
        <v>40816</v>
      </c>
      <c r="K102" s="364">
        <v>0.58333333333333337</v>
      </c>
      <c r="L102" s="334">
        <v>40816</v>
      </c>
      <c r="M102" s="364">
        <v>0.63194444444444442</v>
      </c>
      <c r="N102" s="340" t="s">
        <v>62</v>
      </c>
      <c r="O102" s="354">
        <v>1</v>
      </c>
      <c r="P102" s="354"/>
      <c r="Q102" s="354"/>
      <c r="R102" s="354"/>
      <c r="S102" s="354"/>
      <c r="T102" s="355"/>
      <c r="U102" s="354"/>
      <c r="V102" s="354"/>
      <c r="W102" s="354"/>
      <c r="X102" s="354"/>
      <c r="Y102" s="354">
        <v>1</v>
      </c>
      <c r="Z102" s="354"/>
      <c r="AA102" s="354"/>
      <c r="AB102" s="354"/>
      <c r="AC102" s="354"/>
      <c r="AD102" s="329">
        <f t="shared" si="1"/>
        <v>1</v>
      </c>
      <c r="AE102" s="340" t="s">
        <v>66</v>
      </c>
      <c r="AF102" s="340" t="s">
        <v>56</v>
      </c>
      <c r="AG102" s="340" t="s">
        <v>57</v>
      </c>
      <c r="AH102" s="340"/>
      <c r="AI102" s="340" t="s">
        <v>73</v>
      </c>
      <c r="AJ102" s="344">
        <v>80000</v>
      </c>
      <c r="AK102" s="345" t="s">
        <v>60</v>
      </c>
    </row>
    <row r="103" spans="1:37" x14ac:dyDescent="0.35">
      <c r="A103" s="346">
        <v>92</v>
      </c>
      <c r="B103" s="340" t="s">
        <v>281</v>
      </c>
      <c r="C103" s="340" t="s">
        <v>282</v>
      </c>
      <c r="D103" s="379" t="s">
        <v>283</v>
      </c>
      <c r="E103" s="380"/>
      <c r="F103" s="380"/>
      <c r="G103" s="380"/>
      <c r="H103" s="334">
        <v>40822</v>
      </c>
      <c r="I103" s="391">
        <v>0.52430555555555558</v>
      </c>
      <c r="J103" s="336"/>
      <c r="K103" s="337"/>
      <c r="L103" s="336">
        <v>40822</v>
      </c>
      <c r="M103" s="337">
        <v>0.6875</v>
      </c>
      <c r="N103" s="339" t="s">
        <v>284</v>
      </c>
      <c r="O103" s="392"/>
      <c r="P103" s="392"/>
      <c r="Q103" s="392"/>
      <c r="R103" s="392"/>
      <c r="S103" s="392"/>
      <c r="T103" s="393"/>
      <c r="U103" s="392"/>
      <c r="V103" s="392">
        <v>2</v>
      </c>
      <c r="W103" s="392"/>
      <c r="X103" s="392"/>
      <c r="Y103" s="392"/>
      <c r="Z103" s="392"/>
      <c r="AA103" s="392">
        <v>2</v>
      </c>
      <c r="AB103" s="392"/>
      <c r="AC103" s="392"/>
      <c r="AD103" s="329">
        <f t="shared" si="1"/>
        <v>2</v>
      </c>
      <c r="AE103" s="356" t="s">
        <v>285</v>
      </c>
      <c r="AF103" s="356" t="s">
        <v>56</v>
      </c>
      <c r="AG103" s="357" t="s">
        <v>57</v>
      </c>
      <c r="AH103" s="357"/>
      <c r="AI103" s="358" t="s">
        <v>128</v>
      </c>
      <c r="AJ103" s="344">
        <v>30000</v>
      </c>
      <c r="AK103" s="345" t="s">
        <v>60</v>
      </c>
    </row>
    <row r="104" spans="1:37" ht="15" thickBot="1" x14ac:dyDescent="0.4">
      <c r="A104" s="394">
        <v>93</v>
      </c>
      <c r="B104" s="340" t="s">
        <v>286</v>
      </c>
      <c r="C104" s="340" t="s">
        <v>287</v>
      </c>
      <c r="D104" s="388" t="s">
        <v>288</v>
      </c>
      <c r="E104" s="381"/>
      <c r="F104" s="381"/>
      <c r="G104" s="381"/>
      <c r="H104" s="334">
        <v>40822</v>
      </c>
      <c r="I104" s="391">
        <v>0.75</v>
      </c>
      <c r="J104" s="387"/>
      <c r="K104" s="387"/>
      <c r="L104" s="336">
        <v>40823</v>
      </c>
      <c r="M104" s="391">
        <v>0.375</v>
      </c>
      <c r="N104" s="340" t="s">
        <v>54</v>
      </c>
      <c r="O104" s="392"/>
      <c r="P104" s="392"/>
      <c r="Q104" s="392"/>
      <c r="R104" s="392"/>
      <c r="S104" s="392"/>
      <c r="T104" s="393">
        <v>2</v>
      </c>
      <c r="U104" s="392"/>
      <c r="V104" s="392"/>
      <c r="W104" s="392"/>
      <c r="X104" s="392"/>
      <c r="Y104" s="392">
        <v>2</v>
      </c>
      <c r="Z104" s="392"/>
      <c r="AA104" s="392"/>
      <c r="AB104" s="392"/>
      <c r="AC104" s="392"/>
      <c r="AD104" s="329">
        <f t="shared" si="1"/>
        <v>2</v>
      </c>
      <c r="AE104" s="356" t="s">
        <v>285</v>
      </c>
      <c r="AF104" s="356" t="s">
        <v>56</v>
      </c>
      <c r="AG104" s="357" t="s">
        <v>57</v>
      </c>
      <c r="AH104" s="357"/>
      <c r="AI104" s="358" t="s">
        <v>65</v>
      </c>
      <c r="AJ104" s="344">
        <v>160000</v>
      </c>
      <c r="AK104" s="345" t="s">
        <v>60</v>
      </c>
    </row>
    <row r="105" spans="1:37" ht="15" thickBot="1" x14ac:dyDescent="0.4">
      <c r="A105" s="626" t="s">
        <v>289</v>
      </c>
      <c r="B105" s="627"/>
      <c r="C105" s="627"/>
      <c r="D105" s="627"/>
      <c r="E105" s="627"/>
      <c r="F105" s="627"/>
      <c r="G105" s="627"/>
      <c r="H105" s="627"/>
      <c r="I105" s="627"/>
      <c r="J105" s="627"/>
      <c r="K105" s="627"/>
      <c r="L105" s="627"/>
      <c r="M105" s="627"/>
      <c r="N105" s="628"/>
      <c r="O105" s="395">
        <f>SUM(O12:O104)</f>
        <v>128.32</v>
      </c>
      <c r="P105" s="395">
        <f t="shared" ref="P105:AC105" si="2">SUM(P12:P104)</f>
        <v>71.11999999999999</v>
      </c>
      <c r="Q105" s="395">
        <f t="shared" si="2"/>
        <v>33.32</v>
      </c>
      <c r="R105" s="395">
        <f t="shared" si="2"/>
        <v>0</v>
      </c>
      <c r="S105" s="395">
        <f t="shared" si="2"/>
        <v>0</v>
      </c>
      <c r="T105" s="396">
        <f t="shared" si="2"/>
        <v>5.37</v>
      </c>
      <c r="U105" s="395">
        <f t="shared" si="2"/>
        <v>8.75</v>
      </c>
      <c r="V105" s="395">
        <f t="shared" si="2"/>
        <v>19.05</v>
      </c>
      <c r="W105" s="395">
        <f t="shared" si="2"/>
        <v>0</v>
      </c>
      <c r="X105" s="395">
        <f t="shared" si="2"/>
        <v>0</v>
      </c>
      <c r="Y105" s="395">
        <f>SUM(Y12:Y104)</f>
        <v>133.69</v>
      </c>
      <c r="Z105" s="395">
        <f>SUM(Z12:Z104)</f>
        <v>79.86999999999999</v>
      </c>
      <c r="AA105" s="395">
        <f>SUM(AA12:AA104)</f>
        <v>52.36999999999999</v>
      </c>
      <c r="AB105" s="395">
        <f t="shared" si="2"/>
        <v>0</v>
      </c>
      <c r="AC105" s="395">
        <f t="shared" si="2"/>
        <v>0</v>
      </c>
      <c r="AD105" s="395">
        <f>SUM(Y105:AA105)</f>
        <v>265.93</v>
      </c>
      <c r="AE105" s="395"/>
      <c r="AF105" s="395"/>
      <c r="AG105" s="395"/>
      <c r="AH105" s="395"/>
      <c r="AI105" s="395"/>
      <c r="AJ105" s="397">
        <f>SUM(AJ12:AJ104)</f>
        <v>17620156</v>
      </c>
      <c r="AK105" s="398"/>
    </row>
    <row r="106" spans="1:37" x14ac:dyDescent="0.35">
      <c r="A106" s="399"/>
      <c r="B106" s="400"/>
      <c r="D106" s="60"/>
      <c r="E106" s="315"/>
      <c r="F106" s="315"/>
      <c r="G106" s="316"/>
      <c r="H106" s="59"/>
      <c r="I106" s="59"/>
      <c r="J106" s="59"/>
      <c r="K106" s="59"/>
      <c r="L106" s="59"/>
      <c r="M106" s="62"/>
      <c r="N106" s="59"/>
      <c r="O106" s="62"/>
      <c r="P106" s="62"/>
      <c r="Q106" s="62"/>
      <c r="R106" s="62"/>
      <c r="S106" s="62"/>
      <c r="T106" s="317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59"/>
      <c r="AF106" s="59"/>
      <c r="AG106" s="59"/>
      <c r="AH106" s="59"/>
      <c r="AI106" s="59"/>
      <c r="AJ106" s="59"/>
      <c r="AK106" s="59"/>
    </row>
    <row r="107" spans="1:37" x14ac:dyDescent="0.35">
      <c r="A107" s="401"/>
      <c r="B107" s="1"/>
      <c r="D107" s="402"/>
      <c r="E107" s="361"/>
      <c r="F107" s="361"/>
      <c r="G107" s="403"/>
      <c r="M107" s="390"/>
      <c r="O107" s="390"/>
      <c r="P107" s="390"/>
      <c r="Q107" s="390"/>
      <c r="R107" s="390"/>
      <c r="S107" s="390"/>
      <c r="T107" s="404"/>
      <c r="U107" s="390"/>
      <c r="V107" s="390"/>
      <c r="W107" s="390"/>
      <c r="X107" s="390"/>
      <c r="Y107" s="390"/>
      <c r="Z107" s="390"/>
      <c r="AA107" s="390"/>
      <c r="AB107" s="390"/>
      <c r="AC107" s="390"/>
      <c r="AD107" s="390"/>
    </row>
  </sheetData>
  <mergeCells count="22">
    <mergeCell ref="A105:N105"/>
    <mergeCell ref="L9:M9"/>
    <mergeCell ref="O9:AD9"/>
    <mergeCell ref="H10:H11"/>
    <mergeCell ref="I10:I11"/>
    <mergeCell ref="J10:J11"/>
    <mergeCell ref="K10:K11"/>
    <mergeCell ref="L10:L11"/>
    <mergeCell ref="M10:M11"/>
    <mergeCell ref="O10:S10"/>
    <mergeCell ref="T10:X10"/>
    <mergeCell ref="A1:AI1"/>
    <mergeCell ref="A3:AI3"/>
    <mergeCell ref="AF7:AI7"/>
    <mergeCell ref="A8:AI8"/>
    <mergeCell ref="A9:A11"/>
    <mergeCell ref="B9:B11"/>
    <mergeCell ref="C9:C11"/>
    <mergeCell ref="E9:G9"/>
    <mergeCell ref="H9:I9"/>
    <mergeCell ref="J9:K9"/>
    <mergeCell ref="Y10:AD10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7"/>
  <sheetViews>
    <sheetView topLeftCell="C3" workbookViewId="0">
      <selection activeCell="E13" sqref="E13:F225"/>
    </sheetView>
  </sheetViews>
  <sheetFormatPr baseColWidth="10" defaultColWidth="11.453125" defaultRowHeight="14.5" x14ac:dyDescent="0.35"/>
  <cols>
    <col min="2" max="2" width="18" customWidth="1"/>
    <col min="3" max="3" width="16.1796875" customWidth="1"/>
    <col min="4" max="4" width="47.1796875" style="52" customWidth="1"/>
    <col min="14" max="14" width="15.26953125" customWidth="1"/>
    <col min="24" max="24" width="28.1796875" customWidth="1"/>
    <col min="29" max="29" width="61.453125" customWidth="1"/>
    <col min="34" max="34" width="42.26953125" customWidth="1"/>
    <col min="35" max="35" width="16.1796875" customWidth="1"/>
    <col min="36" max="36" width="16.7265625" customWidth="1"/>
  </cols>
  <sheetData>
    <row r="1" spans="1:37" ht="17.5" x14ac:dyDescent="0.35">
      <c r="A1" s="641" t="s">
        <v>0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  <c r="AE1" s="641"/>
      <c r="AF1" s="641"/>
      <c r="AG1" s="641"/>
      <c r="AH1" s="641"/>
      <c r="AI1" s="641"/>
    </row>
    <row r="2" spans="1:37" ht="17.5" x14ac:dyDescent="0.35">
      <c r="A2" s="58" t="s">
        <v>1</v>
      </c>
      <c r="B2" s="58"/>
      <c r="C2" s="58"/>
      <c r="D2" s="58"/>
      <c r="E2" s="58"/>
      <c r="F2" s="58"/>
      <c r="G2" s="58"/>
      <c r="H2" s="58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/>
      <c r="AE2" s="587"/>
      <c r="AF2" s="587"/>
      <c r="AG2" s="587"/>
      <c r="AH2" s="587"/>
      <c r="AI2" s="587"/>
      <c r="AJ2" s="59"/>
      <c r="AK2" s="59"/>
    </row>
    <row r="3" spans="1:37" ht="17.5" x14ac:dyDescent="0.35">
      <c r="A3" s="58" t="s">
        <v>290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9"/>
      <c r="AK3" s="59"/>
    </row>
    <row r="4" spans="1:37" ht="17.5" x14ac:dyDescent="0.35">
      <c r="A4" s="641" t="s">
        <v>291</v>
      </c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1"/>
      <c r="AF4" s="641"/>
      <c r="AG4" s="641"/>
      <c r="AH4" s="641"/>
      <c r="AI4" s="641"/>
      <c r="AJ4" s="59"/>
      <c r="AK4" s="59"/>
    </row>
    <row r="5" spans="1:37" ht="15.5" x14ac:dyDescent="0.35">
      <c r="A5" s="579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  <c r="T5" s="579"/>
      <c r="U5" s="579"/>
      <c r="V5" s="579"/>
      <c r="W5" s="579"/>
      <c r="X5" s="579"/>
      <c r="Y5" s="579"/>
      <c r="Z5" s="579"/>
      <c r="AA5" s="579"/>
      <c r="AB5" s="579"/>
      <c r="AC5" s="579"/>
      <c r="AD5" s="579"/>
      <c r="AE5" s="579"/>
      <c r="AF5" s="579"/>
      <c r="AG5" s="579"/>
      <c r="AH5" s="579"/>
      <c r="AI5" s="579"/>
      <c r="AJ5" s="59"/>
      <c r="AK5" s="59"/>
    </row>
    <row r="6" spans="1:37" ht="15" thickBot="1" x14ac:dyDescent="0.4">
      <c r="A6" s="60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61"/>
      <c r="Z6" s="61"/>
      <c r="AA6" s="61"/>
      <c r="AB6" s="61"/>
      <c r="AC6" s="61"/>
      <c r="AD6" s="61"/>
      <c r="AE6" s="61"/>
      <c r="AF6" s="59"/>
      <c r="AG6" s="59"/>
      <c r="AH6" s="59"/>
      <c r="AI6" s="59"/>
      <c r="AJ6" s="59"/>
      <c r="AK6" s="59"/>
    </row>
    <row r="7" spans="1:37" ht="18" thickBot="1" x14ac:dyDescent="0.4">
      <c r="A7" s="60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42" t="s">
        <v>292</v>
      </c>
      <c r="AG7" s="643"/>
      <c r="AH7" s="643"/>
      <c r="AI7" s="644"/>
      <c r="AJ7" s="59"/>
      <c r="AK7" s="59"/>
    </row>
    <row r="8" spans="1:37" ht="18" thickBot="1" x14ac:dyDescent="0.4">
      <c r="A8" s="60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45" t="s">
        <v>293</v>
      </c>
      <c r="AG8" s="646"/>
      <c r="AH8" s="647"/>
      <c r="AI8" s="648"/>
      <c r="AJ8" s="59"/>
      <c r="AK8" s="59"/>
    </row>
    <row r="9" spans="1:37" ht="15" thickBot="1" x14ac:dyDescent="0.4">
      <c r="AK9" s="1"/>
    </row>
    <row r="10" spans="1:37" ht="15.5" thickTop="1" thickBot="1" x14ac:dyDescent="0.4">
      <c r="A10" s="637" t="s">
        <v>4</v>
      </c>
      <c r="B10" s="637" t="s">
        <v>5</v>
      </c>
      <c r="C10" s="637" t="s">
        <v>6</v>
      </c>
      <c r="D10" s="33" t="s">
        <v>7</v>
      </c>
      <c r="E10" s="640" t="s">
        <v>8</v>
      </c>
      <c r="F10" s="640"/>
      <c r="G10" s="640"/>
      <c r="H10" s="633" t="s">
        <v>9</v>
      </c>
      <c r="I10" s="633"/>
      <c r="J10" s="633" t="s">
        <v>10</v>
      </c>
      <c r="K10" s="633"/>
      <c r="L10" s="633" t="s">
        <v>11</v>
      </c>
      <c r="M10" s="633"/>
      <c r="N10" s="585" t="s">
        <v>12</v>
      </c>
      <c r="O10" s="633" t="s">
        <v>13</v>
      </c>
      <c r="P10" s="633"/>
      <c r="Q10" s="633"/>
      <c r="R10" s="633"/>
      <c r="S10" s="633"/>
      <c r="T10" s="633"/>
      <c r="U10" s="633"/>
      <c r="V10" s="633"/>
      <c r="W10" s="633"/>
      <c r="X10" s="633"/>
      <c r="Y10" s="633"/>
      <c r="Z10" s="633"/>
      <c r="AA10" s="633"/>
      <c r="AB10" s="633"/>
      <c r="AC10" s="633"/>
      <c r="AD10" s="633"/>
      <c r="AE10" s="585"/>
      <c r="AF10" s="585"/>
      <c r="AG10" s="585"/>
      <c r="AH10" s="34" t="s">
        <v>14</v>
      </c>
      <c r="AI10" s="34" t="s">
        <v>15</v>
      </c>
      <c r="AJ10" s="34" t="s">
        <v>16</v>
      </c>
      <c r="AK10" s="35" t="s">
        <v>17</v>
      </c>
    </row>
    <row r="11" spans="1:37" ht="15" thickBot="1" x14ac:dyDescent="0.4">
      <c r="A11" s="638"/>
      <c r="B11" s="638"/>
      <c r="C11" s="638"/>
      <c r="D11" s="36" t="s">
        <v>18</v>
      </c>
      <c r="E11" s="37" t="s">
        <v>19</v>
      </c>
      <c r="F11" s="37" t="s">
        <v>20</v>
      </c>
      <c r="G11" s="38" t="s">
        <v>21</v>
      </c>
      <c r="H11" s="634" t="s">
        <v>22</v>
      </c>
      <c r="I11" s="634" t="s">
        <v>23</v>
      </c>
      <c r="J11" s="634" t="s">
        <v>22</v>
      </c>
      <c r="K11" s="634" t="s">
        <v>23</v>
      </c>
      <c r="L11" s="634" t="s">
        <v>22</v>
      </c>
      <c r="M11" s="634" t="s">
        <v>23</v>
      </c>
      <c r="N11" s="39"/>
      <c r="O11" s="636" t="s">
        <v>24</v>
      </c>
      <c r="P11" s="636"/>
      <c r="Q11" s="636"/>
      <c r="R11" s="636"/>
      <c r="S11" s="636"/>
      <c r="T11" s="636" t="s">
        <v>25</v>
      </c>
      <c r="U11" s="636"/>
      <c r="V11" s="636"/>
      <c r="W11" s="636"/>
      <c r="X11" s="636"/>
      <c r="Y11" s="636" t="s">
        <v>26</v>
      </c>
      <c r="Z11" s="636"/>
      <c r="AA11" s="636"/>
      <c r="AB11" s="636"/>
      <c r="AC11" s="636"/>
      <c r="AD11" s="636"/>
      <c r="AE11" s="40" t="s">
        <v>294</v>
      </c>
      <c r="AF11" s="40" t="s">
        <v>295</v>
      </c>
      <c r="AG11" s="40" t="s">
        <v>29</v>
      </c>
      <c r="AH11" s="40" t="s">
        <v>30</v>
      </c>
      <c r="AI11" s="40" t="s">
        <v>31</v>
      </c>
      <c r="AJ11" s="41" t="s">
        <v>32</v>
      </c>
      <c r="AK11" s="41" t="s">
        <v>296</v>
      </c>
    </row>
    <row r="12" spans="1:37" ht="15" thickBot="1" x14ac:dyDescent="0.4">
      <c r="A12" s="639"/>
      <c r="B12" s="639"/>
      <c r="C12" s="639"/>
      <c r="D12" s="42" t="s">
        <v>34</v>
      </c>
      <c r="E12" s="43"/>
      <c r="F12" s="44"/>
      <c r="G12" s="44"/>
      <c r="H12" s="635"/>
      <c r="I12" s="635"/>
      <c r="J12" s="635"/>
      <c r="K12" s="635"/>
      <c r="L12" s="635"/>
      <c r="M12" s="635"/>
      <c r="N12" s="45" t="s">
        <v>297</v>
      </c>
      <c r="O12" s="46" t="s">
        <v>39</v>
      </c>
      <c r="P12" s="46" t="s">
        <v>40</v>
      </c>
      <c r="Q12" s="46" t="s">
        <v>41</v>
      </c>
      <c r="R12" s="46" t="s">
        <v>42</v>
      </c>
      <c r="S12" s="46" t="s">
        <v>43</v>
      </c>
      <c r="T12" s="46" t="s">
        <v>39</v>
      </c>
      <c r="U12" s="46" t="s">
        <v>40</v>
      </c>
      <c r="V12" s="46" t="s">
        <v>41</v>
      </c>
      <c r="W12" s="46" t="s">
        <v>42</v>
      </c>
      <c r="X12" s="46" t="s">
        <v>43</v>
      </c>
      <c r="Y12" s="46" t="s">
        <v>39</v>
      </c>
      <c r="Z12" s="46" t="s">
        <v>40</v>
      </c>
      <c r="AA12" s="46" t="s">
        <v>41</v>
      </c>
      <c r="AB12" s="46" t="s">
        <v>42</v>
      </c>
      <c r="AC12" s="46" t="s">
        <v>43</v>
      </c>
      <c r="AD12" s="46" t="s">
        <v>44</v>
      </c>
      <c r="AE12" s="586"/>
      <c r="AF12" s="586"/>
      <c r="AG12" s="586" t="s">
        <v>298</v>
      </c>
      <c r="AH12" s="586" t="s">
        <v>46</v>
      </c>
      <c r="AI12" s="586" t="s">
        <v>299</v>
      </c>
      <c r="AJ12" s="47" t="s">
        <v>48</v>
      </c>
      <c r="AK12" s="48"/>
    </row>
    <row r="13" spans="1:37" ht="15" thickTop="1" x14ac:dyDescent="0.35">
      <c r="A13" s="2" t="s">
        <v>300</v>
      </c>
      <c r="B13" s="3" t="s">
        <v>301</v>
      </c>
      <c r="C13" s="3" t="s">
        <v>301</v>
      </c>
      <c r="D13" s="53" t="s">
        <v>302</v>
      </c>
      <c r="E13" s="3">
        <v>607</v>
      </c>
      <c r="F13" s="3">
        <v>345</v>
      </c>
      <c r="G13" s="3">
        <v>530</v>
      </c>
      <c r="H13" s="4">
        <v>41067</v>
      </c>
      <c r="I13" s="5">
        <v>0.70138888888888884</v>
      </c>
      <c r="J13" s="4">
        <v>41067</v>
      </c>
      <c r="K13" s="5">
        <v>0.75</v>
      </c>
      <c r="L13" s="4">
        <v>41067</v>
      </c>
      <c r="M13" s="5">
        <v>0.79861111111111116</v>
      </c>
      <c r="N13" s="3" t="s">
        <v>165</v>
      </c>
      <c r="O13" s="3">
        <v>0.01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0.01</v>
      </c>
      <c r="Z13" s="3">
        <v>0</v>
      </c>
      <c r="AA13" s="3">
        <v>0</v>
      </c>
      <c r="AB13" s="3">
        <v>0</v>
      </c>
      <c r="AC13" s="3">
        <v>0</v>
      </c>
      <c r="AD13" s="3">
        <f>(Y13+Z13+AA13)</f>
        <v>0.01</v>
      </c>
      <c r="AE13" s="3" t="s">
        <v>117</v>
      </c>
      <c r="AF13" s="3" t="s">
        <v>117</v>
      </c>
      <c r="AG13" s="3" t="s">
        <v>57</v>
      </c>
      <c r="AH13" s="3" t="s">
        <v>303</v>
      </c>
      <c r="AI13" s="3" t="s">
        <v>304</v>
      </c>
      <c r="AJ13" s="6">
        <f>(Y13*80000)+(Z13*260*300)+(AA13*500*30)</f>
        <v>800</v>
      </c>
      <c r="AK13" s="3" t="s">
        <v>305</v>
      </c>
    </row>
    <row r="14" spans="1:37" x14ac:dyDescent="0.35">
      <c r="A14" s="7" t="s">
        <v>306</v>
      </c>
      <c r="B14" s="8" t="s">
        <v>281</v>
      </c>
      <c r="C14" s="8" t="s">
        <v>307</v>
      </c>
      <c r="D14" s="54" t="s">
        <v>308</v>
      </c>
      <c r="E14" s="8">
        <v>4015.8</v>
      </c>
      <c r="F14" s="8">
        <v>609.4</v>
      </c>
      <c r="G14" s="8">
        <v>585</v>
      </c>
      <c r="H14" s="9">
        <v>41068</v>
      </c>
      <c r="I14" s="10">
        <v>0.72916666666666663</v>
      </c>
      <c r="J14" s="9">
        <v>41068</v>
      </c>
      <c r="K14" s="10">
        <v>0.73541666666666661</v>
      </c>
      <c r="L14" s="9">
        <v>41068</v>
      </c>
      <c r="M14" s="10">
        <v>0.80555555555555547</v>
      </c>
      <c r="N14" s="11" t="s">
        <v>41</v>
      </c>
      <c r="O14" s="8">
        <v>0</v>
      </c>
      <c r="P14" s="8">
        <v>1</v>
      </c>
      <c r="Q14" s="8">
        <v>2</v>
      </c>
      <c r="R14" s="8">
        <v>0</v>
      </c>
      <c r="S14" s="3">
        <v>0</v>
      </c>
      <c r="T14" s="8">
        <v>0</v>
      </c>
      <c r="U14" s="8">
        <v>0</v>
      </c>
      <c r="V14" s="8">
        <v>0</v>
      </c>
      <c r="W14" s="8">
        <v>0</v>
      </c>
      <c r="X14" s="8" t="s">
        <v>309</v>
      </c>
      <c r="Y14" s="8">
        <v>0</v>
      </c>
      <c r="Z14" s="8">
        <v>1</v>
      </c>
      <c r="AA14" s="8">
        <v>2</v>
      </c>
      <c r="AB14" s="8">
        <v>0</v>
      </c>
      <c r="AC14" s="8" t="s">
        <v>309</v>
      </c>
      <c r="AD14" s="3">
        <f t="shared" ref="AD14:AD77" si="0">(Y14+Z14+AA14)</f>
        <v>3</v>
      </c>
      <c r="AE14" s="8" t="s">
        <v>310</v>
      </c>
      <c r="AF14" s="3" t="s">
        <v>117</v>
      </c>
      <c r="AG14" s="8" t="s">
        <v>57</v>
      </c>
      <c r="AH14" s="3" t="s">
        <v>303</v>
      </c>
      <c r="AI14" s="11" t="s">
        <v>304</v>
      </c>
      <c r="AJ14" s="6">
        <f t="shared" ref="AJ14:AJ77" si="1">(Y14*80000)+(Z14*260*300)+(AA14*500*30)</f>
        <v>108000</v>
      </c>
      <c r="AK14" s="8" t="s">
        <v>305</v>
      </c>
    </row>
    <row r="15" spans="1:37" x14ac:dyDescent="0.35">
      <c r="A15" s="7" t="s">
        <v>311</v>
      </c>
      <c r="B15" s="8" t="s">
        <v>312</v>
      </c>
      <c r="C15" s="8" t="s">
        <v>313</v>
      </c>
      <c r="D15" s="54" t="s">
        <v>96</v>
      </c>
      <c r="E15" s="8">
        <v>611.9</v>
      </c>
      <c r="F15" s="8">
        <v>346.6</v>
      </c>
      <c r="G15" s="8">
        <v>600</v>
      </c>
      <c r="H15" s="9">
        <v>41081</v>
      </c>
      <c r="I15" s="10">
        <v>0.65625</v>
      </c>
      <c r="J15" s="9">
        <v>41081</v>
      </c>
      <c r="K15" s="10">
        <v>0.65972222222222221</v>
      </c>
      <c r="L15" s="9">
        <v>41081</v>
      </c>
      <c r="M15" s="10">
        <v>0.67361111111111116</v>
      </c>
      <c r="N15" s="8" t="s">
        <v>81</v>
      </c>
      <c r="O15" s="8">
        <v>0</v>
      </c>
      <c r="P15" s="8">
        <v>0.02</v>
      </c>
      <c r="Q15" s="8">
        <v>0</v>
      </c>
      <c r="R15" s="8">
        <v>0</v>
      </c>
      <c r="S15" s="3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0.02</v>
      </c>
      <c r="AA15" s="8">
        <v>0</v>
      </c>
      <c r="AB15" s="8">
        <v>0</v>
      </c>
      <c r="AC15" s="8">
        <v>0</v>
      </c>
      <c r="AD15" s="3">
        <f t="shared" si="0"/>
        <v>0.02</v>
      </c>
      <c r="AE15" s="8" t="s">
        <v>117</v>
      </c>
      <c r="AF15" s="3" t="s">
        <v>117</v>
      </c>
      <c r="AG15" s="8" t="s">
        <v>57</v>
      </c>
      <c r="AH15" s="8" t="s">
        <v>314</v>
      </c>
      <c r="AI15" s="11" t="s">
        <v>304</v>
      </c>
      <c r="AJ15" s="6">
        <f t="shared" si="1"/>
        <v>1560</v>
      </c>
      <c r="AK15" s="8" t="s">
        <v>305</v>
      </c>
    </row>
    <row r="16" spans="1:37" x14ac:dyDescent="0.35">
      <c r="A16" s="7" t="s">
        <v>315</v>
      </c>
      <c r="B16" s="8" t="s">
        <v>316</v>
      </c>
      <c r="C16" s="8" t="s">
        <v>316</v>
      </c>
      <c r="D16" s="54" t="s">
        <v>317</v>
      </c>
      <c r="E16" s="8">
        <v>4045.2</v>
      </c>
      <c r="F16" s="8">
        <v>562</v>
      </c>
      <c r="G16" s="8">
        <v>518</v>
      </c>
      <c r="H16" s="9">
        <v>41081</v>
      </c>
      <c r="I16" s="10">
        <v>0.68055555555555547</v>
      </c>
      <c r="J16" s="9" t="s">
        <v>318</v>
      </c>
      <c r="K16" s="10" t="s">
        <v>318</v>
      </c>
      <c r="L16" s="9">
        <v>41081</v>
      </c>
      <c r="M16" s="10">
        <v>0.82638888888888884</v>
      </c>
      <c r="N16" s="8" t="s">
        <v>70</v>
      </c>
      <c r="O16" s="8">
        <v>0</v>
      </c>
      <c r="P16" s="8">
        <v>3</v>
      </c>
      <c r="Q16" s="8">
        <v>0</v>
      </c>
      <c r="R16" s="8">
        <v>0</v>
      </c>
      <c r="S16" s="3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3</v>
      </c>
      <c r="AA16" s="8">
        <v>0</v>
      </c>
      <c r="AB16" s="8">
        <v>0</v>
      </c>
      <c r="AC16" s="8">
        <v>0</v>
      </c>
      <c r="AD16" s="3">
        <f t="shared" si="0"/>
        <v>3</v>
      </c>
      <c r="AE16" s="8" t="s">
        <v>117</v>
      </c>
      <c r="AF16" s="3" t="s">
        <v>117</v>
      </c>
      <c r="AG16" s="8" t="s">
        <v>72</v>
      </c>
      <c r="AH16" s="8" t="s">
        <v>314</v>
      </c>
      <c r="AI16" s="8" t="s">
        <v>175</v>
      </c>
      <c r="AJ16" s="6">
        <f t="shared" si="1"/>
        <v>234000</v>
      </c>
      <c r="AK16" s="8" t="s">
        <v>305</v>
      </c>
    </row>
    <row r="17" spans="1:37" x14ac:dyDescent="0.35">
      <c r="A17" s="7" t="s">
        <v>319</v>
      </c>
      <c r="B17" s="8" t="s">
        <v>320</v>
      </c>
      <c r="C17" s="8" t="s">
        <v>321</v>
      </c>
      <c r="D17" s="54" t="s">
        <v>322</v>
      </c>
      <c r="E17" s="8">
        <v>4004</v>
      </c>
      <c r="F17" s="8">
        <v>574</v>
      </c>
      <c r="G17" s="8">
        <v>900</v>
      </c>
      <c r="H17" s="9">
        <v>41082</v>
      </c>
      <c r="I17" s="10">
        <v>0.625</v>
      </c>
      <c r="J17" s="9">
        <v>41082</v>
      </c>
      <c r="K17" s="10">
        <v>0.62847222222222221</v>
      </c>
      <c r="L17" s="9">
        <v>41082</v>
      </c>
      <c r="M17" s="10">
        <v>0.64583333333333337</v>
      </c>
      <c r="N17" s="8" t="s">
        <v>40</v>
      </c>
      <c r="O17" s="8">
        <v>0</v>
      </c>
      <c r="P17" s="8">
        <v>0</v>
      </c>
      <c r="Q17" s="8">
        <v>0</v>
      </c>
      <c r="R17" s="8">
        <v>0</v>
      </c>
      <c r="S17" s="3">
        <v>0</v>
      </c>
      <c r="T17" s="8">
        <v>0</v>
      </c>
      <c r="U17" s="8">
        <v>2E-3</v>
      </c>
      <c r="V17" s="8">
        <v>0</v>
      </c>
      <c r="W17" s="8">
        <v>0</v>
      </c>
      <c r="X17" s="8">
        <v>0</v>
      </c>
      <c r="Y17" s="8">
        <v>0</v>
      </c>
      <c r="Z17" s="8">
        <v>2E-3</v>
      </c>
      <c r="AA17" s="8">
        <v>0</v>
      </c>
      <c r="AB17" s="8">
        <v>0</v>
      </c>
      <c r="AC17" s="8">
        <v>0</v>
      </c>
      <c r="AD17" s="3">
        <f t="shared" si="0"/>
        <v>2E-3</v>
      </c>
      <c r="AE17" s="8" t="s">
        <v>66</v>
      </c>
      <c r="AF17" s="3" t="s">
        <v>117</v>
      </c>
      <c r="AG17" s="8" t="s">
        <v>72</v>
      </c>
      <c r="AH17" s="8" t="s">
        <v>323</v>
      </c>
      <c r="AI17" s="8" t="s">
        <v>304</v>
      </c>
      <c r="AJ17" s="6">
        <f t="shared" si="1"/>
        <v>156</v>
      </c>
      <c r="AK17" s="8" t="s">
        <v>305</v>
      </c>
    </row>
    <row r="18" spans="1:37" x14ac:dyDescent="0.35">
      <c r="A18" s="7" t="s">
        <v>324</v>
      </c>
      <c r="B18" s="8" t="s">
        <v>286</v>
      </c>
      <c r="C18" s="8" t="s">
        <v>325</v>
      </c>
      <c r="D18" s="54" t="s">
        <v>326</v>
      </c>
      <c r="E18" s="8">
        <v>4013</v>
      </c>
      <c r="F18" s="8">
        <v>595</v>
      </c>
      <c r="G18" s="8">
        <v>510</v>
      </c>
      <c r="H18" s="9">
        <v>41082</v>
      </c>
      <c r="I18" s="10">
        <v>0.875</v>
      </c>
      <c r="J18" s="9">
        <v>41082</v>
      </c>
      <c r="K18" s="10">
        <v>0.88888888888888884</v>
      </c>
      <c r="L18" s="9">
        <v>41083</v>
      </c>
      <c r="M18" s="10">
        <v>0</v>
      </c>
      <c r="N18" s="8" t="s">
        <v>62</v>
      </c>
      <c r="O18" s="8">
        <v>0.5</v>
      </c>
      <c r="P18" s="8">
        <v>0</v>
      </c>
      <c r="Q18" s="8">
        <v>0</v>
      </c>
      <c r="R18" s="8">
        <v>0</v>
      </c>
      <c r="S18" s="3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0.5</v>
      </c>
      <c r="Z18" s="8">
        <v>0</v>
      </c>
      <c r="AA18" s="8">
        <v>0</v>
      </c>
      <c r="AB18" s="8">
        <v>0</v>
      </c>
      <c r="AC18" s="8">
        <v>0</v>
      </c>
      <c r="AD18" s="3">
        <f t="shared" si="0"/>
        <v>0.5</v>
      </c>
      <c r="AE18" s="8" t="s">
        <v>117</v>
      </c>
      <c r="AF18" s="3" t="s">
        <v>117</v>
      </c>
      <c r="AG18" s="8" t="s">
        <v>72</v>
      </c>
      <c r="AH18" s="8" t="s">
        <v>327</v>
      </c>
      <c r="AI18" s="11" t="s">
        <v>304</v>
      </c>
      <c r="AJ18" s="6">
        <f t="shared" si="1"/>
        <v>40000</v>
      </c>
      <c r="AK18" s="8" t="s">
        <v>305</v>
      </c>
    </row>
    <row r="19" spans="1:37" x14ac:dyDescent="0.35">
      <c r="A19" s="7" t="s">
        <v>328</v>
      </c>
      <c r="B19" s="8" t="s">
        <v>320</v>
      </c>
      <c r="C19" s="8" t="s">
        <v>320</v>
      </c>
      <c r="D19" s="54" t="s">
        <v>329</v>
      </c>
      <c r="E19" s="8">
        <v>3999</v>
      </c>
      <c r="F19" s="8">
        <v>557</v>
      </c>
      <c r="G19" s="8">
        <v>813</v>
      </c>
      <c r="H19" s="9">
        <v>41083</v>
      </c>
      <c r="I19" s="10">
        <v>0.57291666666666663</v>
      </c>
      <c r="J19" s="9">
        <v>41083</v>
      </c>
      <c r="K19" s="10">
        <v>0.57986111111111105</v>
      </c>
      <c r="L19" s="9">
        <v>41083</v>
      </c>
      <c r="M19" s="10">
        <v>0.625</v>
      </c>
      <c r="N19" s="8" t="s">
        <v>41</v>
      </c>
      <c r="O19" s="8">
        <v>0</v>
      </c>
      <c r="P19" s="8">
        <v>0</v>
      </c>
      <c r="Q19" s="8">
        <v>0.1</v>
      </c>
      <c r="R19" s="8">
        <v>0</v>
      </c>
      <c r="S19" s="3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0.1</v>
      </c>
      <c r="AB19" s="8">
        <v>0</v>
      </c>
      <c r="AC19" s="8">
        <v>0</v>
      </c>
      <c r="AD19" s="3">
        <f t="shared" si="0"/>
        <v>0.1</v>
      </c>
      <c r="AE19" s="8" t="s">
        <v>117</v>
      </c>
      <c r="AF19" s="3" t="s">
        <v>117</v>
      </c>
      <c r="AG19" s="8" t="s">
        <v>72</v>
      </c>
      <c r="AH19" s="8" t="s">
        <v>323</v>
      </c>
      <c r="AI19" s="8" t="s">
        <v>304</v>
      </c>
      <c r="AJ19" s="6">
        <f t="shared" si="1"/>
        <v>1500</v>
      </c>
      <c r="AK19" s="8" t="s">
        <v>305</v>
      </c>
    </row>
    <row r="20" spans="1:37" x14ac:dyDescent="0.35">
      <c r="A20" s="7" t="s">
        <v>330</v>
      </c>
      <c r="B20" s="8" t="s">
        <v>312</v>
      </c>
      <c r="C20" s="8" t="s">
        <v>313</v>
      </c>
      <c r="D20" s="54" t="s">
        <v>96</v>
      </c>
      <c r="E20" s="8">
        <v>611.9</v>
      </c>
      <c r="F20" s="8">
        <v>346.6</v>
      </c>
      <c r="G20" s="8">
        <v>600</v>
      </c>
      <c r="H20" s="9">
        <v>41083</v>
      </c>
      <c r="I20" s="10">
        <v>0.64583333333333337</v>
      </c>
      <c r="J20" s="9">
        <v>41083</v>
      </c>
      <c r="K20" s="10">
        <v>0.64930555555555558</v>
      </c>
      <c r="L20" s="9">
        <v>41083</v>
      </c>
      <c r="M20" s="10">
        <v>0.6875</v>
      </c>
      <c r="N20" s="8" t="s">
        <v>331</v>
      </c>
      <c r="O20" s="8">
        <v>0</v>
      </c>
      <c r="P20" s="8">
        <v>0.5</v>
      </c>
      <c r="Q20" s="8">
        <v>0</v>
      </c>
      <c r="R20" s="8">
        <v>0</v>
      </c>
      <c r="S20" s="3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0.5</v>
      </c>
      <c r="AA20" s="8">
        <v>0</v>
      </c>
      <c r="AB20" s="8">
        <v>0</v>
      </c>
      <c r="AC20" s="8">
        <v>0</v>
      </c>
      <c r="AD20" s="3">
        <f t="shared" si="0"/>
        <v>0.5</v>
      </c>
      <c r="AE20" s="8" t="s">
        <v>117</v>
      </c>
      <c r="AF20" s="3" t="s">
        <v>117</v>
      </c>
      <c r="AG20" s="8" t="s">
        <v>57</v>
      </c>
      <c r="AH20" s="8" t="s">
        <v>314</v>
      </c>
      <c r="AI20" s="11" t="s">
        <v>304</v>
      </c>
      <c r="AJ20" s="6">
        <f t="shared" si="1"/>
        <v>39000</v>
      </c>
      <c r="AK20" s="8" t="s">
        <v>305</v>
      </c>
    </row>
    <row r="21" spans="1:37" x14ac:dyDescent="0.35">
      <c r="A21" s="7" t="s">
        <v>332</v>
      </c>
      <c r="B21" s="8" t="s">
        <v>312</v>
      </c>
      <c r="C21" s="8" t="s">
        <v>312</v>
      </c>
      <c r="D21" s="54" t="s">
        <v>333</v>
      </c>
      <c r="E21" s="8">
        <v>621.79999999999995</v>
      </c>
      <c r="F21" s="8">
        <v>347</v>
      </c>
      <c r="G21" s="8">
        <v>750</v>
      </c>
      <c r="H21" s="9">
        <v>41083</v>
      </c>
      <c r="I21" s="10">
        <v>1.6770833333333335</v>
      </c>
      <c r="J21" s="9">
        <v>41083</v>
      </c>
      <c r="K21" s="10">
        <v>1.6805555555555554</v>
      </c>
      <c r="L21" s="9">
        <v>41083</v>
      </c>
      <c r="M21" s="10">
        <v>1.8125</v>
      </c>
      <c r="N21" s="8" t="s">
        <v>62</v>
      </c>
      <c r="O21" s="8">
        <v>1</v>
      </c>
      <c r="P21" s="8">
        <v>0</v>
      </c>
      <c r="Q21" s="8">
        <v>0</v>
      </c>
      <c r="R21" s="8">
        <v>0</v>
      </c>
      <c r="S21" s="3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</v>
      </c>
      <c r="Z21" s="8">
        <v>0</v>
      </c>
      <c r="AA21" s="8">
        <v>0</v>
      </c>
      <c r="AB21" s="8">
        <v>0</v>
      </c>
      <c r="AC21" s="8">
        <v>0</v>
      </c>
      <c r="AD21" s="3">
        <f t="shared" si="0"/>
        <v>1</v>
      </c>
      <c r="AE21" s="8" t="s">
        <v>117</v>
      </c>
      <c r="AF21" s="3" t="s">
        <v>117</v>
      </c>
      <c r="AG21" s="8" t="s">
        <v>57</v>
      </c>
      <c r="AH21" s="8" t="s">
        <v>323</v>
      </c>
      <c r="AI21" s="8" t="s">
        <v>304</v>
      </c>
      <c r="AJ21" s="6">
        <f t="shared" si="1"/>
        <v>80000</v>
      </c>
      <c r="AK21" s="8" t="s">
        <v>305</v>
      </c>
    </row>
    <row r="22" spans="1:37" x14ac:dyDescent="0.35">
      <c r="A22" s="7" t="s">
        <v>334</v>
      </c>
      <c r="B22" s="8" t="s">
        <v>316</v>
      </c>
      <c r="C22" s="8" t="s">
        <v>316</v>
      </c>
      <c r="D22" s="54" t="s">
        <v>335</v>
      </c>
      <c r="E22" s="8">
        <v>4041.3</v>
      </c>
      <c r="F22" s="8">
        <v>560</v>
      </c>
      <c r="G22" s="8">
        <v>572</v>
      </c>
      <c r="H22" s="9">
        <v>41084</v>
      </c>
      <c r="I22" s="10">
        <v>1.5159722222222221</v>
      </c>
      <c r="J22" s="9">
        <v>41084</v>
      </c>
      <c r="K22" s="10">
        <v>1.53125</v>
      </c>
      <c r="L22" s="9">
        <v>41084</v>
      </c>
      <c r="M22" s="10">
        <v>1.5833333333333335</v>
      </c>
      <c r="N22" s="8" t="s">
        <v>336</v>
      </c>
      <c r="O22" s="8">
        <v>0.5</v>
      </c>
      <c r="P22" s="8">
        <v>0</v>
      </c>
      <c r="Q22" s="8">
        <v>0</v>
      </c>
      <c r="R22" s="8">
        <v>0</v>
      </c>
      <c r="S22" s="3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0.5</v>
      </c>
      <c r="Z22" s="8">
        <v>0</v>
      </c>
      <c r="AA22" s="8">
        <v>0</v>
      </c>
      <c r="AB22" s="8">
        <v>0</v>
      </c>
      <c r="AC22" s="8">
        <v>0</v>
      </c>
      <c r="AD22" s="3">
        <f t="shared" si="0"/>
        <v>0.5</v>
      </c>
      <c r="AE22" s="8" t="s">
        <v>117</v>
      </c>
      <c r="AF22" s="3" t="s">
        <v>117</v>
      </c>
      <c r="AG22" s="8" t="s">
        <v>72</v>
      </c>
      <c r="AH22" s="8" t="s">
        <v>323</v>
      </c>
      <c r="AI22" s="11" t="s">
        <v>304</v>
      </c>
      <c r="AJ22" s="6">
        <f t="shared" si="1"/>
        <v>40000</v>
      </c>
      <c r="AK22" s="8" t="s">
        <v>305</v>
      </c>
    </row>
    <row r="23" spans="1:37" x14ac:dyDescent="0.35">
      <c r="A23" s="7" t="s">
        <v>337</v>
      </c>
      <c r="B23" s="8" t="s">
        <v>312</v>
      </c>
      <c r="C23" s="8" t="s">
        <v>312</v>
      </c>
      <c r="D23" s="54" t="s">
        <v>338</v>
      </c>
      <c r="E23" s="8">
        <v>617</v>
      </c>
      <c r="F23" s="8">
        <v>344</v>
      </c>
      <c r="G23" s="8">
        <v>590</v>
      </c>
      <c r="H23" s="9">
        <v>41084</v>
      </c>
      <c r="I23" s="10">
        <v>1.7291666666666665</v>
      </c>
      <c r="J23" s="9">
        <v>41084</v>
      </c>
      <c r="K23" s="10">
        <v>1.7361111111111112</v>
      </c>
      <c r="L23" s="9">
        <v>41084</v>
      </c>
      <c r="M23" s="10">
        <v>1.7638888888888888</v>
      </c>
      <c r="N23" s="8" t="s">
        <v>40</v>
      </c>
      <c r="O23" s="8">
        <v>0</v>
      </c>
      <c r="P23" s="8">
        <v>0</v>
      </c>
      <c r="Q23" s="8">
        <v>0</v>
      </c>
      <c r="R23" s="8">
        <v>0</v>
      </c>
      <c r="S23" s="3">
        <v>0</v>
      </c>
      <c r="T23" s="8">
        <v>0</v>
      </c>
      <c r="U23" s="8">
        <v>0.2</v>
      </c>
      <c r="V23" s="8">
        <v>0</v>
      </c>
      <c r="W23" s="8">
        <v>0</v>
      </c>
      <c r="X23" s="8" t="s">
        <v>339</v>
      </c>
      <c r="Y23" s="8">
        <v>0</v>
      </c>
      <c r="Z23" s="8">
        <v>0.2</v>
      </c>
      <c r="AA23" s="8">
        <v>0</v>
      </c>
      <c r="AB23" s="8">
        <v>0</v>
      </c>
      <c r="AC23" s="8" t="s">
        <v>339</v>
      </c>
      <c r="AD23" s="3">
        <f t="shared" si="0"/>
        <v>0.2</v>
      </c>
      <c r="AE23" s="8" t="s">
        <v>310</v>
      </c>
      <c r="AF23" s="3" t="s">
        <v>117</v>
      </c>
      <c r="AG23" s="8" t="s">
        <v>57</v>
      </c>
      <c r="AH23" s="8" t="s">
        <v>323</v>
      </c>
      <c r="AI23" s="8" t="s">
        <v>304</v>
      </c>
      <c r="AJ23" s="6">
        <f>(Y23*80000)+(Z23*260*300)+(AA23*500*30)</f>
        <v>15600</v>
      </c>
      <c r="AK23" s="8" t="s">
        <v>305</v>
      </c>
    </row>
    <row r="24" spans="1:37" x14ac:dyDescent="0.35">
      <c r="A24" s="7" t="s">
        <v>340</v>
      </c>
      <c r="B24" s="8" t="s">
        <v>281</v>
      </c>
      <c r="C24" s="8" t="s">
        <v>307</v>
      </c>
      <c r="D24" s="54" t="s">
        <v>341</v>
      </c>
      <c r="E24" s="8">
        <v>4015.4</v>
      </c>
      <c r="F24" s="8">
        <v>607.5</v>
      </c>
      <c r="G24" s="8">
        <v>520</v>
      </c>
      <c r="H24" s="9">
        <v>41084</v>
      </c>
      <c r="I24" s="10">
        <v>1.7222222222222223</v>
      </c>
      <c r="J24" s="9">
        <v>41084</v>
      </c>
      <c r="K24" s="10">
        <v>1.7256944444444446</v>
      </c>
      <c r="L24" s="9">
        <v>41084</v>
      </c>
      <c r="M24" s="10">
        <v>1.7638888888888888</v>
      </c>
      <c r="N24" s="8" t="s">
        <v>62</v>
      </c>
      <c r="O24" s="8">
        <v>2</v>
      </c>
      <c r="P24" s="8">
        <v>0</v>
      </c>
      <c r="Q24" s="8">
        <v>0</v>
      </c>
      <c r="R24" s="8">
        <v>0</v>
      </c>
      <c r="S24" s="3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2</v>
      </c>
      <c r="Z24" s="8">
        <v>0</v>
      </c>
      <c r="AA24" s="8">
        <v>0</v>
      </c>
      <c r="AB24" s="8">
        <v>0</v>
      </c>
      <c r="AC24" s="8">
        <v>0</v>
      </c>
      <c r="AD24" s="3">
        <f t="shared" si="0"/>
        <v>2</v>
      </c>
      <c r="AE24" s="8" t="s">
        <v>117</v>
      </c>
      <c r="AF24" s="3" t="s">
        <v>117</v>
      </c>
      <c r="AG24" s="8" t="s">
        <v>57</v>
      </c>
      <c r="AH24" s="8" t="s">
        <v>342</v>
      </c>
      <c r="AI24" s="8" t="s">
        <v>304</v>
      </c>
      <c r="AJ24" s="6">
        <f t="shared" si="1"/>
        <v>160000</v>
      </c>
      <c r="AK24" s="8" t="s">
        <v>305</v>
      </c>
    </row>
    <row r="25" spans="1:37" x14ac:dyDescent="0.35">
      <c r="A25" s="7" t="s">
        <v>343</v>
      </c>
      <c r="B25" s="8" t="s">
        <v>344</v>
      </c>
      <c r="C25" s="8" t="s">
        <v>345</v>
      </c>
      <c r="D25" s="54" t="s">
        <v>346</v>
      </c>
      <c r="E25" s="8">
        <v>4000.5</v>
      </c>
      <c r="F25" s="8">
        <v>556.70000000000005</v>
      </c>
      <c r="G25" s="8">
        <v>1261</v>
      </c>
      <c r="H25" s="9">
        <v>41084</v>
      </c>
      <c r="I25" s="10">
        <v>1.7083333333333335</v>
      </c>
      <c r="J25" s="9">
        <v>41084</v>
      </c>
      <c r="K25" s="10">
        <v>1.7152777777777777</v>
      </c>
      <c r="L25" s="9">
        <v>41084</v>
      </c>
      <c r="M25" s="10">
        <v>1.8020833333333335</v>
      </c>
      <c r="N25" s="8" t="s">
        <v>81</v>
      </c>
      <c r="O25" s="8">
        <v>0</v>
      </c>
      <c r="P25" s="8">
        <v>1.5</v>
      </c>
      <c r="Q25" s="8">
        <v>0</v>
      </c>
      <c r="R25" s="8">
        <v>0</v>
      </c>
      <c r="S25" s="3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1.5</v>
      </c>
      <c r="AA25" s="8">
        <v>0</v>
      </c>
      <c r="AB25" s="8">
        <v>0</v>
      </c>
      <c r="AC25" s="8">
        <v>0</v>
      </c>
      <c r="AD25" s="3">
        <f t="shared" si="0"/>
        <v>1.5</v>
      </c>
      <c r="AE25" s="8" t="s">
        <v>94</v>
      </c>
      <c r="AF25" s="3" t="s">
        <v>117</v>
      </c>
      <c r="AG25" s="8" t="s">
        <v>72</v>
      </c>
      <c r="AH25" s="8" t="s">
        <v>347</v>
      </c>
      <c r="AI25" s="8" t="s">
        <v>348</v>
      </c>
      <c r="AJ25" s="6">
        <f t="shared" si="1"/>
        <v>117000</v>
      </c>
      <c r="AK25" s="8" t="s">
        <v>305</v>
      </c>
    </row>
    <row r="26" spans="1:37" x14ac:dyDescent="0.35">
      <c r="A26" s="7" t="s">
        <v>349</v>
      </c>
      <c r="B26" s="8" t="s">
        <v>312</v>
      </c>
      <c r="C26" s="8" t="s">
        <v>313</v>
      </c>
      <c r="D26" s="54" t="s">
        <v>268</v>
      </c>
      <c r="E26" s="8">
        <v>612.5</v>
      </c>
      <c r="F26" s="8">
        <v>345</v>
      </c>
      <c r="G26" s="8">
        <v>575</v>
      </c>
      <c r="H26" s="9">
        <v>41085</v>
      </c>
      <c r="I26" s="10">
        <v>0.4375</v>
      </c>
      <c r="J26" s="9">
        <v>41085</v>
      </c>
      <c r="K26" s="10">
        <v>0.44444444444444442</v>
      </c>
      <c r="L26" s="9">
        <v>41085</v>
      </c>
      <c r="M26" s="10">
        <v>0.5</v>
      </c>
      <c r="N26" s="8" t="s">
        <v>81</v>
      </c>
      <c r="O26" s="8">
        <v>0.5</v>
      </c>
      <c r="P26" s="8">
        <v>0</v>
      </c>
      <c r="Q26" s="8">
        <v>0</v>
      </c>
      <c r="R26" s="8">
        <v>0</v>
      </c>
      <c r="S26" s="3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0.5</v>
      </c>
      <c r="AA26" s="8">
        <v>0</v>
      </c>
      <c r="AB26" s="8">
        <v>0</v>
      </c>
      <c r="AC26" s="8">
        <v>0</v>
      </c>
      <c r="AD26" s="3">
        <f t="shared" si="0"/>
        <v>0.5</v>
      </c>
      <c r="AE26" s="8" t="s">
        <v>117</v>
      </c>
      <c r="AF26" s="3" t="s">
        <v>117</v>
      </c>
      <c r="AG26" s="8" t="s">
        <v>57</v>
      </c>
      <c r="AH26" s="8" t="s">
        <v>323</v>
      </c>
      <c r="AI26" s="8" t="s">
        <v>304</v>
      </c>
      <c r="AJ26" s="6">
        <f t="shared" si="1"/>
        <v>39000</v>
      </c>
      <c r="AK26" s="8" t="s">
        <v>305</v>
      </c>
    </row>
    <row r="27" spans="1:37" x14ac:dyDescent="0.35">
      <c r="A27" s="7" t="s">
        <v>350</v>
      </c>
      <c r="B27" s="8" t="s">
        <v>312</v>
      </c>
      <c r="C27" s="8" t="s">
        <v>313</v>
      </c>
      <c r="D27" s="54" t="s">
        <v>351</v>
      </c>
      <c r="E27" s="8">
        <v>612.79999999999995</v>
      </c>
      <c r="F27" s="8">
        <v>351.2</v>
      </c>
      <c r="G27" s="8">
        <v>1316</v>
      </c>
      <c r="H27" s="9">
        <v>41089</v>
      </c>
      <c r="I27" s="10">
        <v>0.3888888888888889</v>
      </c>
      <c r="J27" s="9">
        <v>41089</v>
      </c>
      <c r="K27" s="10">
        <v>0.3923611111111111</v>
      </c>
      <c r="L27" s="9">
        <v>41089</v>
      </c>
      <c r="M27" s="10">
        <v>0.43402777777777773</v>
      </c>
      <c r="N27" s="8" t="s">
        <v>40</v>
      </c>
      <c r="O27" s="8">
        <v>0</v>
      </c>
      <c r="P27" s="8">
        <v>0.5</v>
      </c>
      <c r="Q27" s="8">
        <v>0.5</v>
      </c>
      <c r="R27" s="8">
        <v>0</v>
      </c>
      <c r="S27" s="3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0.5</v>
      </c>
      <c r="AA27" s="8">
        <v>0.5</v>
      </c>
      <c r="AB27" s="8">
        <v>0</v>
      </c>
      <c r="AC27" s="8">
        <v>0</v>
      </c>
      <c r="AD27" s="3">
        <f t="shared" si="0"/>
        <v>1</v>
      </c>
      <c r="AE27" s="8" t="s">
        <v>117</v>
      </c>
      <c r="AF27" s="3" t="s">
        <v>117</v>
      </c>
      <c r="AG27" s="8" t="s">
        <v>57</v>
      </c>
      <c r="AH27" s="8" t="s">
        <v>323</v>
      </c>
      <c r="AI27" s="8" t="s">
        <v>304</v>
      </c>
      <c r="AJ27" s="6">
        <f t="shared" si="1"/>
        <v>46500</v>
      </c>
      <c r="AK27" s="8" t="s">
        <v>305</v>
      </c>
    </row>
    <row r="28" spans="1:37" x14ac:dyDescent="0.35">
      <c r="A28" s="7" t="s">
        <v>352</v>
      </c>
      <c r="B28" s="8" t="s">
        <v>281</v>
      </c>
      <c r="C28" s="8" t="s">
        <v>353</v>
      </c>
      <c r="D28" s="54" t="s">
        <v>354</v>
      </c>
      <c r="E28" s="8">
        <v>4017.5</v>
      </c>
      <c r="F28" s="8">
        <v>620</v>
      </c>
      <c r="G28" s="8">
        <v>450</v>
      </c>
      <c r="H28" s="9">
        <v>41089</v>
      </c>
      <c r="I28" s="10">
        <v>1.75</v>
      </c>
      <c r="J28" s="9">
        <v>41089</v>
      </c>
      <c r="K28" s="10">
        <v>1.7604166666666665</v>
      </c>
      <c r="L28" s="9">
        <v>41089</v>
      </c>
      <c r="M28" s="10">
        <v>1.8541666666666665</v>
      </c>
      <c r="N28" s="8" t="s">
        <v>62</v>
      </c>
      <c r="O28" s="8">
        <v>1</v>
      </c>
      <c r="P28" s="8">
        <v>0</v>
      </c>
      <c r="Q28" s="8">
        <v>0</v>
      </c>
      <c r="R28" s="8">
        <v>0</v>
      </c>
      <c r="S28" s="3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</v>
      </c>
      <c r="Z28" s="8">
        <v>0</v>
      </c>
      <c r="AA28" s="8">
        <v>0</v>
      </c>
      <c r="AB28" s="8">
        <v>0</v>
      </c>
      <c r="AC28" s="8">
        <v>0</v>
      </c>
      <c r="AD28" s="3">
        <f t="shared" si="0"/>
        <v>1</v>
      </c>
      <c r="AE28" s="8" t="s">
        <v>310</v>
      </c>
      <c r="AF28" s="3" t="s">
        <v>117</v>
      </c>
      <c r="AG28" s="8" t="s">
        <v>72</v>
      </c>
      <c r="AH28" s="8" t="s">
        <v>355</v>
      </c>
      <c r="AI28" s="8" t="s">
        <v>65</v>
      </c>
      <c r="AJ28" s="6">
        <f t="shared" si="1"/>
        <v>80000</v>
      </c>
      <c r="AK28" s="8" t="s">
        <v>305</v>
      </c>
    </row>
    <row r="29" spans="1:37" x14ac:dyDescent="0.35">
      <c r="A29" s="7" t="s">
        <v>356</v>
      </c>
      <c r="B29" s="8" t="s">
        <v>357</v>
      </c>
      <c r="C29" s="8" t="s">
        <v>357</v>
      </c>
      <c r="D29" s="54" t="s">
        <v>358</v>
      </c>
      <c r="E29" s="8">
        <v>4049</v>
      </c>
      <c r="F29" s="8">
        <v>553.5</v>
      </c>
      <c r="G29" s="8">
        <v>628</v>
      </c>
      <c r="H29" s="9">
        <v>41090</v>
      </c>
      <c r="I29" s="10">
        <v>1.6840277777777777</v>
      </c>
      <c r="J29" s="9">
        <v>41090</v>
      </c>
      <c r="K29" s="10">
        <v>1.6909722222222223</v>
      </c>
      <c r="L29" s="9">
        <v>41090</v>
      </c>
      <c r="M29" s="10">
        <v>1.8229166666666665</v>
      </c>
      <c r="N29" s="8" t="s">
        <v>62</v>
      </c>
      <c r="O29" s="8">
        <v>0</v>
      </c>
      <c r="P29" s="8">
        <v>0</v>
      </c>
      <c r="Q29" s="8">
        <v>0</v>
      </c>
      <c r="R29" s="8">
        <v>0</v>
      </c>
      <c r="S29" s="3">
        <v>0</v>
      </c>
      <c r="T29" s="8">
        <v>0.5</v>
      </c>
      <c r="U29" s="8">
        <v>0</v>
      </c>
      <c r="V29" s="8">
        <v>0</v>
      </c>
      <c r="W29" s="8">
        <v>0</v>
      </c>
      <c r="X29" s="8">
        <v>0</v>
      </c>
      <c r="Y29" s="8">
        <v>0.5</v>
      </c>
      <c r="Z29" s="8">
        <v>0</v>
      </c>
      <c r="AA29" s="8">
        <v>0</v>
      </c>
      <c r="AB29" s="8">
        <v>0</v>
      </c>
      <c r="AC29" s="8">
        <v>0</v>
      </c>
      <c r="AD29" s="3">
        <f t="shared" si="0"/>
        <v>0.5</v>
      </c>
      <c r="AE29" s="8" t="s">
        <v>117</v>
      </c>
      <c r="AF29" s="3" t="s">
        <v>117</v>
      </c>
      <c r="AG29" s="8" t="s">
        <v>72</v>
      </c>
      <c r="AH29" s="8" t="s">
        <v>359</v>
      </c>
      <c r="AI29" s="8" t="s">
        <v>360</v>
      </c>
      <c r="AJ29" s="6">
        <f t="shared" si="1"/>
        <v>40000</v>
      </c>
      <c r="AK29" s="8" t="s">
        <v>305</v>
      </c>
    </row>
    <row r="30" spans="1:37" x14ac:dyDescent="0.35">
      <c r="A30" s="7" t="s">
        <v>361</v>
      </c>
      <c r="B30" s="8" t="s">
        <v>357</v>
      </c>
      <c r="C30" s="8" t="s">
        <v>362</v>
      </c>
      <c r="D30" s="54" t="s">
        <v>363</v>
      </c>
      <c r="E30" s="8">
        <v>4041.3</v>
      </c>
      <c r="F30" s="8">
        <v>560</v>
      </c>
      <c r="G30" s="8">
        <v>572</v>
      </c>
      <c r="H30" s="9">
        <v>41090</v>
      </c>
      <c r="I30" s="10">
        <v>1.7048611111111112</v>
      </c>
      <c r="J30" s="9">
        <v>41090</v>
      </c>
      <c r="K30" s="10">
        <v>1.7152777777777777</v>
      </c>
      <c r="L30" s="9">
        <v>41090</v>
      </c>
      <c r="M30" s="10">
        <v>1.7916666666666665</v>
      </c>
      <c r="N30" s="8" t="s">
        <v>62</v>
      </c>
      <c r="O30" s="8">
        <v>0</v>
      </c>
      <c r="P30" s="8">
        <v>0</v>
      </c>
      <c r="Q30" s="8">
        <v>0</v>
      </c>
      <c r="R30" s="8">
        <v>0</v>
      </c>
      <c r="S30" s="3">
        <v>0</v>
      </c>
      <c r="T30" s="8">
        <v>2.5</v>
      </c>
      <c r="U30" s="8">
        <v>0</v>
      </c>
      <c r="V30" s="8">
        <v>0</v>
      </c>
      <c r="W30" s="8">
        <v>0</v>
      </c>
      <c r="X30" s="8">
        <v>0</v>
      </c>
      <c r="Y30" s="8">
        <v>2.5</v>
      </c>
      <c r="Z30" s="8">
        <v>0</v>
      </c>
      <c r="AA30" s="8">
        <v>0</v>
      </c>
      <c r="AB30" s="8">
        <v>0</v>
      </c>
      <c r="AC30" s="8">
        <v>0</v>
      </c>
      <c r="AD30" s="3">
        <f t="shared" si="0"/>
        <v>2.5</v>
      </c>
      <c r="AE30" s="8" t="s">
        <v>117</v>
      </c>
      <c r="AF30" s="3" t="s">
        <v>117</v>
      </c>
      <c r="AG30" s="8" t="s">
        <v>72</v>
      </c>
      <c r="AH30" s="8" t="s">
        <v>364</v>
      </c>
      <c r="AI30" s="8" t="s">
        <v>304</v>
      </c>
      <c r="AJ30" s="6">
        <f t="shared" si="1"/>
        <v>200000</v>
      </c>
      <c r="AK30" s="8" t="s">
        <v>305</v>
      </c>
    </row>
    <row r="31" spans="1:37" x14ac:dyDescent="0.35">
      <c r="A31" s="7" t="s">
        <v>365</v>
      </c>
      <c r="B31" s="8" t="s">
        <v>286</v>
      </c>
      <c r="C31" s="8" t="s">
        <v>287</v>
      </c>
      <c r="D31" s="54" t="s">
        <v>366</v>
      </c>
      <c r="E31" s="12">
        <v>605.79999999999995</v>
      </c>
      <c r="F31" s="8">
        <v>4016.2</v>
      </c>
      <c r="G31" s="8">
        <v>550</v>
      </c>
      <c r="H31" s="9">
        <v>41091</v>
      </c>
      <c r="I31" s="13">
        <v>0.54722222222222217</v>
      </c>
      <c r="J31" s="9">
        <v>41091</v>
      </c>
      <c r="K31" s="13">
        <v>0.55763888888888891</v>
      </c>
      <c r="L31" s="9">
        <v>41091</v>
      </c>
      <c r="M31" s="13">
        <v>0.77083333333333337</v>
      </c>
      <c r="N31" s="8" t="s">
        <v>62</v>
      </c>
      <c r="O31" s="8">
        <v>15</v>
      </c>
      <c r="P31" s="8">
        <v>0</v>
      </c>
      <c r="Q31" s="8">
        <v>0</v>
      </c>
      <c r="R31" s="8">
        <v>0</v>
      </c>
      <c r="S31" s="3">
        <v>0</v>
      </c>
      <c r="T31" s="8">
        <v>0</v>
      </c>
      <c r="U31" s="8">
        <v>0</v>
      </c>
      <c r="V31" s="8">
        <v>0</v>
      </c>
      <c r="W31" s="8">
        <v>0</v>
      </c>
      <c r="X31" s="8" t="s">
        <v>367</v>
      </c>
      <c r="Y31" s="8">
        <v>15</v>
      </c>
      <c r="Z31" s="8">
        <v>0</v>
      </c>
      <c r="AA31" s="8">
        <v>0</v>
      </c>
      <c r="AB31" s="8">
        <v>0</v>
      </c>
      <c r="AC31" s="8" t="s">
        <v>367</v>
      </c>
      <c r="AD31" s="3">
        <f t="shared" si="0"/>
        <v>15</v>
      </c>
      <c r="AE31" s="8" t="s">
        <v>368</v>
      </c>
      <c r="AF31" s="3" t="s">
        <v>117</v>
      </c>
      <c r="AG31" s="8" t="s">
        <v>57</v>
      </c>
      <c r="AH31" s="8" t="s">
        <v>369</v>
      </c>
      <c r="AI31" s="8" t="s">
        <v>304</v>
      </c>
      <c r="AJ31" s="6">
        <f t="shared" si="1"/>
        <v>1200000</v>
      </c>
      <c r="AK31" s="8" t="s">
        <v>305</v>
      </c>
    </row>
    <row r="32" spans="1:37" x14ac:dyDescent="0.35">
      <c r="A32" s="7" t="s">
        <v>370</v>
      </c>
      <c r="B32" s="8" t="s">
        <v>281</v>
      </c>
      <c r="C32" s="8" t="s">
        <v>282</v>
      </c>
      <c r="D32" s="54" t="s">
        <v>371</v>
      </c>
      <c r="E32" s="12">
        <v>608.9</v>
      </c>
      <c r="F32" s="8">
        <v>4030.2</v>
      </c>
      <c r="G32" s="8">
        <v>1014</v>
      </c>
      <c r="H32" s="9">
        <v>41092</v>
      </c>
      <c r="I32" s="13">
        <v>0.64583333333333337</v>
      </c>
      <c r="J32" s="9">
        <v>41092</v>
      </c>
      <c r="K32" s="13">
        <v>0.65277777777777779</v>
      </c>
      <c r="L32" s="9">
        <v>41092</v>
      </c>
      <c r="M32" s="13">
        <v>0.72222222222222221</v>
      </c>
      <c r="N32" s="8" t="s">
        <v>81</v>
      </c>
      <c r="O32" s="8">
        <v>0</v>
      </c>
      <c r="P32" s="8">
        <v>1</v>
      </c>
      <c r="Q32" s="8">
        <v>0</v>
      </c>
      <c r="R32" s="8">
        <v>0</v>
      </c>
      <c r="S32" s="3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1</v>
      </c>
      <c r="AA32" s="8">
        <v>0</v>
      </c>
      <c r="AB32" s="8">
        <v>0</v>
      </c>
      <c r="AC32" s="8">
        <v>0</v>
      </c>
      <c r="AD32" s="3">
        <f t="shared" si="0"/>
        <v>1</v>
      </c>
      <c r="AE32" s="8" t="s">
        <v>368</v>
      </c>
      <c r="AF32" s="3" t="s">
        <v>117</v>
      </c>
      <c r="AG32" s="8" t="s">
        <v>57</v>
      </c>
      <c r="AH32" s="8" t="s">
        <v>372</v>
      </c>
      <c r="AI32" s="8" t="s">
        <v>373</v>
      </c>
      <c r="AJ32" s="6">
        <f t="shared" si="1"/>
        <v>78000</v>
      </c>
      <c r="AK32" s="8" t="s">
        <v>305</v>
      </c>
    </row>
    <row r="33" spans="1:37" x14ac:dyDescent="0.35">
      <c r="A33" s="7" t="s">
        <v>374</v>
      </c>
      <c r="B33" s="8" t="s">
        <v>286</v>
      </c>
      <c r="C33" s="8" t="s">
        <v>287</v>
      </c>
      <c r="D33" s="54" t="s">
        <v>375</v>
      </c>
      <c r="E33" s="12">
        <v>606.1</v>
      </c>
      <c r="F33" s="8">
        <v>4024.55</v>
      </c>
      <c r="G33" s="8">
        <v>404</v>
      </c>
      <c r="H33" s="9">
        <v>41095</v>
      </c>
      <c r="I33" s="13">
        <v>0.70138888888888884</v>
      </c>
      <c r="J33" s="9">
        <v>41095</v>
      </c>
      <c r="K33" s="13">
        <v>0.71180555555555547</v>
      </c>
      <c r="L33" s="9">
        <v>41095</v>
      </c>
      <c r="M33" s="13">
        <v>0.86458333333333337</v>
      </c>
      <c r="N33" s="8" t="s">
        <v>62</v>
      </c>
      <c r="O33" s="8">
        <v>3</v>
      </c>
      <c r="P33" s="8">
        <v>0</v>
      </c>
      <c r="Q33" s="8">
        <v>0</v>
      </c>
      <c r="R33" s="8">
        <v>0</v>
      </c>
      <c r="S33" s="3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3</v>
      </c>
      <c r="Z33" s="8">
        <v>0</v>
      </c>
      <c r="AA33" s="8">
        <v>0</v>
      </c>
      <c r="AB33" s="8">
        <v>0</v>
      </c>
      <c r="AC33" s="8">
        <v>0</v>
      </c>
      <c r="AD33" s="3">
        <f t="shared" si="0"/>
        <v>3</v>
      </c>
      <c r="AE33" s="8" t="s">
        <v>117</v>
      </c>
      <c r="AF33" s="3" t="s">
        <v>117</v>
      </c>
      <c r="AG33" s="8" t="s">
        <v>57</v>
      </c>
      <c r="AH33" s="8" t="s">
        <v>376</v>
      </c>
      <c r="AI33" s="8" t="s">
        <v>304</v>
      </c>
      <c r="AJ33" s="6">
        <f t="shared" si="1"/>
        <v>240000</v>
      </c>
      <c r="AK33" s="8" t="s">
        <v>305</v>
      </c>
    </row>
    <row r="34" spans="1:37" x14ac:dyDescent="0.35">
      <c r="A34" s="7" t="s">
        <v>377</v>
      </c>
      <c r="B34" s="8" t="s">
        <v>344</v>
      </c>
      <c r="C34" s="8" t="s">
        <v>345</v>
      </c>
      <c r="D34" s="54" t="s">
        <v>378</v>
      </c>
      <c r="E34" s="8">
        <v>4000.5</v>
      </c>
      <c r="F34" s="8">
        <v>556.70000000000005</v>
      </c>
      <c r="G34" s="8">
        <v>1261</v>
      </c>
      <c r="H34" s="9">
        <v>41096</v>
      </c>
      <c r="I34" s="10">
        <v>1.5833333333333335</v>
      </c>
      <c r="J34" s="9">
        <v>41096</v>
      </c>
      <c r="K34" s="13">
        <v>0.59027777777777779</v>
      </c>
      <c r="L34" s="9">
        <v>41096</v>
      </c>
      <c r="M34" s="10">
        <v>1.6666666666666665</v>
      </c>
      <c r="N34" s="8" t="s">
        <v>70</v>
      </c>
      <c r="O34" s="8">
        <v>0</v>
      </c>
      <c r="P34" s="8">
        <v>0.5</v>
      </c>
      <c r="Q34" s="8">
        <v>0</v>
      </c>
      <c r="R34" s="8">
        <v>0</v>
      </c>
      <c r="S34" s="3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0.5</v>
      </c>
      <c r="AA34" s="8">
        <v>0</v>
      </c>
      <c r="AB34" s="8">
        <v>0</v>
      </c>
      <c r="AC34" s="8">
        <v>0</v>
      </c>
      <c r="AD34" s="3">
        <f t="shared" si="0"/>
        <v>0.5</v>
      </c>
      <c r="AE34" s="8" t="s">
        <v>117</v>
      </c>
      <c r="AF34" s="3" t="s">
        <v>117</v>
      </c>
      <c r="AG34" s="8" t="s">
        <v>72</v>
      </c>
      <c r="AH34" s="8" t="s">
        <v>379</v>
      </c>
      <c r="AI34" s="8" t="s">
        <v>380</v>
      </c>
      <c r="AJ34" s="6">
        <f t="shared" si="1"/>
        <v>39000</v>
      </c>
      <c r="AK34" s="8" t="s">
        <v>305</v>
      </c>
    </row>
    <row r="35" spans="1:37" x14ac:dyDescent="0.35">
      <c r="A35" s="7" t="s">
        <v>381</v>
      </c>
      <c r="B35" s="8" t="s">
        <v>320</v>
      </c>
      <c r="C35" s="8" t="s">
        <v>382</v>
      </c>
      <c r="D35" s="54" t="s">
        <v>383</v>
      </c>
      <c r="E35" s="8">
        <v>4004</v>
      </c>
      <c r="F35" s="8">
        <v>574</v>
      </c>
      <c r="G35" s="8">
        <v>900</v>
      </c>
      <c r="H35" s="9">
        <v>41097</v>
      </c>
      <c r="I35" s="10">
        <v>0.67708333333333337</v>
      </c>
      <c r="J35" s="9">
        <v>41097</v>
      </c>
      <c r="K35" s="13">
        <v>0.68402777777777779</v>
      </c>
      <c r="L35" s="9">
        <v>41097</v>
      </c>
      <c r="M35" s="10">
        <v>0.70833333333333337</v>
      </c>
      <c r="N35" s="8" t="s">
        <v>62</v>
      </c>
      <c r="O35" s="8">
        <v>0.05</v>
      </c>
      <c r="P35" s="8">
        <v>0</v>
      </c>
      <c r="Q35" s="8">
        <v>0</v>
      </c>
      <c r="R35" s="8">
        <v>0</v>
      </c>
      <c r="S35" s="3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0.05</v>
      </c>
      <c r="Z35" s="8">
        <v>0</v>
      </c>
      <c r="AA35" s="8">
        <v>0</v>
      </c>
      <c r="AB35" s="8">
        <v>0</v>
      </c>
      <c r="AC35" s="8">
        <v>0</v>
      </c>
      <c r="AD35" s="3">
        <f t="shared" si="0"/>
        <v>0.05</v>
      </c>
      <c r="AE35" s="8" t="s">
        <v>117</v>
      </c>
      <c r="AF35" s="3" t="s">
        <v>117</v>
      </c>
      <c r="AG35" s="8" t="s">
        <v>72</v>
      </c>
      <c r="AH35" s="8" t="s">
        <v>384</v>
      </c>
      <c r="AI35" s="8" t="s">
        <v>65</v>
      </c>
      <c r="AJ35" s="6">
        <f t="shared" si="1"/>
        <v>4000</v>
      </c>
      <c r="AK35" s="8" t="s">
        <v>305</v>
      </c>
    </row>
    <row r="36" spans="1:37" x14ac:dyDescent="0.35">
      <c r="A36" s="7" t="s">
        <v>385</v>
      </c>
      <c r="B36" s="8" t="s">
        <v>286</v>
      </c>
      <c r="C36" s="8" t="s">
        <v>386</v>
      </c>
      <c r="D36" s="54" t="s">
        <v>387</v>
      </c>
      <c r="E36" s="8">
        <v>626.20000000000005</v>
      </c>
      <c r="F36" s="8">
        <v>346.7</v>
      </c>
      <c r="G36" s="8">
        <v>909</v>
      </c>
      <c r="H36" s="9">
        <v>41097</v>
      </c>
      <c r="I36" s="10">
        <v>0.67708333333333337</v>
      </c>
      <c r="J36" s="9">
        <v>41097</v>
      </c>
      <c r="K36" s="10">
        <v>0.68402777777777779</v>
      </c>
      <c r="L36" s="9" t="s">
        <v>388</v>
      </c>
      <c r="M36" s="10">
        <v>0.77083333333333337</v>
      </c>
      <c r="N36" s="8" t="s">
        <v>81</v>
      </c>
      <c r="O36" s="8">
        <v>0</v>
      </c>
      <c r="P36" s="8">
        <v>0.03</v>
      </c>
      <c r="Q36" s="8">
        <v>0</v>
      </c>
      <c r="R36" s="8">
        <v>0</v>
      </c>
      <c r="S36" s="3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0.03</v>
      </c>
      <c r="AA36" s="8">
        <v>0</v>
      </c>
      <c r="AB36" s="8">
        <v>0</v>
      </c>
      <c r="AC36" s="8">
        <v>0</v>
      </c>
      <c r="AD36" s="3">
        <f t="shared" si="0"/>
        <v>0.03</v>
      </c>
      <c r="AE36" s="8" t="s">
        <v>117</v>
      </c>
      <c r="AF36" s="3" t="s">
        <v>117</v>
      </c>
      <c r="AG36" s="8" t="s">
        <v>57</v>
      </c>
      <c r="AH36" s="8" t="s">
        <v>389</v>
      </c>
      <c r="AI36" s="8" t="s">
        <v>304</v>
      </c>
      <c r="AJ36" s="6">
        <f t="shared" si="1"/>
        <v>2340</v>
      </c>
      <c r="AK36" s="8" t="s">
        <v>305</v>
      </c>
    </row>
    <row r="37" spans="1:37" x14ac:dyDescent="0.35">
      <c r="A37" s="7" t="s">
        <v>390</v>
      </c>
      <c r="B37" s="8" t="s">
        <v>312</v>
      </c>
      <c r="C37" s="8" t="s">
        <v>312</v>
      </c>
      <c r="D37" s="54" t="s">
        <v>391</v>
      </c>
      <c r="E37" s="8">
        <v>614</v>
      </c>
      <c r="F37" s="8">
        <v>342.5</v>
      </c>
      <c r="G37" s="8">
        <v>560</v>
      </c>
      <c r="H37" s="9">
        <v>41099</v>
      </c>
      <c r="I37" s="10">
        <v>0.52777777777777779</v>
      </c>
      <c r="J37" s="9">
        <v>41099</v>
      </c>
      <c r="K37" s="10">
        <v>0.53125</v>
      </c>
      <c r="L37" s="9">
        <v>41099</v>
      </c>
      <c r="M37" s="10">
        <v>0.5625</v>
      </c>
      <c r="N37" s="8" t="s">
        <v>62</v>
      </c>
      <c r="O37" s="8">
        <v>0.5</v>
      </c>
      <c r="P37" s="8">
        <v>0</v>
      </c>
      <c r="Q37" s="8">
        <v>0</v>
      </c>
      <c r="R37" s="8">
        <v>0</v>
      </c>
      <c r="S37" s="3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0.5</v>
      </c>
      <c r="Z37" s="8">
        <v>0</v>
      </c>
      <c r="AA37" s="8">
        <v>0</v>
      </c>
      <c r="AB37" s="8">
        <v>0</v>
      </c>
      <c r="AC37" s="8">
        <v>0</v>
      </c>
      <c r="AD37" s="3">
        <f t="shared" si="0"/>
        <v>0.5</v>
      </c>
      <c r="AE37" s="8" t="s">
        <v>117</v>
      </c>
      <c r="AF37" s="3" t="s">
        <v>117</v>
      </c>
      <c r="AG37" s="8" t="s">
        <v>57</v>
      </c>
      <c r="AH37" s="8" t="s">
        <v>314</v>
      </c>
      <c r="AI37" s="8" t="s">
        <v>304</v>
      </c>
      <c r="AJ37" s="6">
        <f t="shared" si="1"/>
        <v>40000</v>
      </c>
      <c r="AK37" s="8" t="s">
        <v>305</v>
      </c>
    </row>
    <row r="38" spans="1:37" x14ac:dyDescent="0.35">
      <c r="A38" s="7" t="s">
        <v>392</v>
      </c>
      <c r="B38" s="8" t="s">
        <v>312</v>
      </c>
      <c r="C38" s="8" t="s">
        <v>312</v>
      </c>
      <c r="D38" s="54" t="s">
        <v>391</v>
      </c>
      <c r="E38" s="8">
        <v>613</v>
      </c>
      <c r="F38" s="8">
        <v>342</v>
      </c>
      <c r="G38" s="8">
        <v>560</v>
      </c>
      <c r="H38" s="9">
        <v>41099</v>
      </c>
      <c r="I38" s="10">
        <v>0.68055555555555547</v>
      </c>
      <c r="J38" s="9">
        <v>41099</v>
      </c>
      <c r="K38" s="10">
        <v>0.68402777777777779</v>
      </c>
      <c r="L38" s="9">
        <v>41099</v>
      </c>
      <c r="M38" s="10">
        <v>0.72916666666666663</v>
      </c>
      <c r="N38" s="8" t="s">
        <v>62</v>
      </c>
      <c r="O38" s="8">
        <v>0.05</v>
      </c>
      <c r="P38" s="8">
        <v>0</v>
      </c>
      <c r="Q38" s="8">
        <v>0</v>
      </c>
      <c r="R38" s="8">
        <v>0</v>
      </c>
      <c r="S38" s="3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0.05</v>
      </c>
      <c r="Z38" s="8">
        <v>0</v>
      </c>
      <c r="AA38" s="8">
        <v>0</v>
      </c>
      <c r="AB38" s="8">
        <v>0</v>
      </c>
      <c r="AC38" s="8">
        <v>0</v>
      </c>
      <c r="AD38" s="3">
        <f t="shared" si="0"/>
        <v>0.05</v>
      </c>
      <c r="AE38" s="8" t="s">
        <v>117</v>
      </c>
      <c r="AF38" s="3" t="s">
        <v>117</v>
      </c>
      <c r="AG38" s="8" t="s">
        <v>57</v>
      </c>
      <c r="AH38" s="8" t="s">
        <v>314</v>
      </c>
      <c r="AI38" s="8" t="s">
        <v>304</v>
      </c>
      <c r="AJ38" s="6">
        <f t="shared" si="1"/>
        <v>4000</v>
      </c>
      <c r="AK38" s="8" t="s">
        <v>305</v>
      </c>
    </row>
    <row r="39" spans="1:37" x14ac:dyDescent="0.35">
      <c r="A39" s="7" t="s">
        <v>393</v>
      </c>
      <c r="B39" s="12" t="s">
        <v>68</v>
      </c>
      <c r="C39" s="12" t="s">
        <v>394</v>
      </c>
      <c r="D39" s="55" t="s">
        <v>395</v>
      </c>
      <c r="E39" s="8">
        <v>4001</v>
      </c>
      <c r="F39" s="8">
        <v>558.1</v>
      </c>
      <c r="G39" s="8">
        <v>1000</v>
      </c>
      <c r="H39" s="9">
        <v>41100</v>
      </c>
      <c r="I39" s="10">
        <v>0.44791666666666669</v>
      </c>
      <c r="J39" s="9">
        <v>41100</v>
      </c>
      <c r="K39" s="10">
        <v>0.4548611111111111</v>
      </c>
      <c r="L39" s="9">
        <v>41100</v>
      </c>
      <c r="M39" s="10">
        <v>0.70833333333333337</v>
      </c>
      <c r="N39" s="8" t="s">
        <v>41</v>
      </c>
      <c r="O39" s="8">
        <v>0</v>
      </c>
      <c r="P39" s="8">
        <v>0</v>
      </c>
      <c r="Q39" s="8">
        <v>0</v>
      </c>
      <c r="R39" s="8">
        <v>0</v>
      </c>
      <c r="S39" s="3">
        <v>0</v>
      </c>
      <c r="T39" s="8">
        <v>0</v>
      </c>
      <c r="U39" s="8">
        <v>0</v>
      </c>
      <c r="V39" s="8">
        <v>15</v>
      </c>
      <c r="W39" s="8">
        <v>0</v>
      </c>
      <c r="X39" s="8">
        <v>0</v>
      </c>
      <c r="Y39" s="8">
        <v>0</v>
      </c>
      <c r="Z39" s="8">
        <v>0</v>
      </c>
      <c r="AA39" s="8">
        <v>15</v>
      </c>
      <c r="AB39" s="8">
        <v>0</v>
      </c>
      <c r="AC39" s="8">
        <v>0</v>
      </c>
      <c r="AD39" s="3">
        <f t="shared" si="0"/>
        <v>15</v>
      </c>
      <c r="AE39" s="8" t="s">
        <v>117</v>
      </c>
      <c r="AF39" s="3" t="s">
        <v>117</v>
      </c>
      <c r="AG39" s="8" t="s">
        <v>72</v>
      </c>
      <c r="AH39" s="8" t="s">
        <v>396</v>
      </c>
      <c r="AI39" s="8" t="s">
        <v>304</v>
      </c>
      <c r="AJ39" s="6">
        <f t="shared" si="1"/>
        <v>225000</v>
      </c>
      <c r="AK39" s="8" t="s">
        <v>305</v>
      </c>
    </row>
    <row r="40" spans="1:37" x14ac:dyDescent="0.35">
      <c r="A40" s="7" t="s">
        <v>397</v>
      </c>
      <c r="B40" s="8" t="s">
        <v>68</v>
      </c>
      <c r="C40" s="8" t="s">
        <v>68</v>
      </c>
      <c r="D40" s="54" t="s">
        <v>398</v>
      </c>
      <c r="E40" s="8">
        <v>4000</v>
      </c>
      <c r="F40" s="8">
        <v>556</v>
      </c>
      <c r="G40" s="8">
        <v>1261</v>
      </c>
      <c r="H40" s="9">
        <v>41101</v>
      </c>
      <c r="I40" s="10">
        <v>0.5625</v>
      </c>
      <c r="J40" s="9">
        <v>41101</v>
      </c>
      <c r="K40" s="10">
        <v>0.57291666666666663</v>
      </c>
      <c r="L40" s="9">
        <v>41101</v>
      </c>
      <c r="M40" s="10">
        <v>0.60555555555555551</v>
      </c>
      <c r="N40" s="8" t="s">
        <v>41</v>
      </c>
      <c r="O40" s="8">
        <v>0</v>
      </c>
      <c r="P40" s="8">
        <v>0</v>
      </c>
      <c r="Q40" s="8">
        <v>0</v>
      </c>
      <c r="R40" s="8">
        <v>0</v>
      </c>
      <c r="S40" s="3">
        <v>0</v>
      </c>
      <c r="T40" s="8">
        <v>0.1</v>
      </c>
      <c r="U40" s="8">
        <v>0</v>
      </c>
      <c r="V40" s="8">
        <v>1.9</v>
      </c>
      <c r="W40" s="8">
        <v>0</v>
      </c>
      <c r="X40" s="8">
        <v>0</v>
      </c>
      <c r="Y40" s="8">
        <v>0.1</v>
      </c>
      <c r="Z40" s="8">
        <v>0</v>
      </c>
      <c r="AA40" s="8">
        <v>1.9</v>
      </c>
      <c r="AB40" s="8">
        <v>0</v>
      </c>
      <c r="AC40" s="8">
        <v>0</v>
      </c>
      <c r="AD40" s="3">
        <f t="shared" si="0"/>
        <v>2</v>
      </c>
      <c r="AE40" s="8" t="s">
        <v>117</v>
      </c>
      <c r="AF40" s="3" t="s">
        <v>117</v>
      </c>
      <c r="AG40" s="8" t="s">
        <v>72</v>
      </c>
      <c r="AH40" s="8" t="s">
        <v>396</v>
      </c>
      <c r="AI40" s="8" t="s">
        <v>304</v>
      </c>
      <c r="AJ40" s="6">
        <f t="shared" si="1"/>
        <v>36500</v>
      </c>
      <c r="AK40" s="8" t="s">
        <v>305</v>
      </c>
    </row>
    <row r="41" spans="1:37" x14ac:dyDescent="0.35">
      <c r="A41" s="7" t="s">
        <v>399</v>
      </c>
      <c r="B41" s="8" t="s">
        <v>68</v>
      </c>
      <c r="C41" s="8" t="s">
        <v>68</v>
      </c>
      <c r="D41" s="54" t="s">
        <v>400</v>
      </c>
      <c r="E41" s="8">
        <v>3991</v>
      </c>
      <c r="F41" s="8">
        <v>540</v>
      </c>
      <c r="G41" s="8">
        <v>900</v>
      </c>
      <c r="H41" s="9">
        <v>41101</v>
      </c>
      <c r="I41" s="10">
        <v>0.62847222222222221</v>
      </c>
      <c r="J41" s="9">
        <v>41101</v>
      </c>
      <c r="K41" s="10">
        <v>0.63541666666666663</v>
      </c>
      <c r="L41" s="9">
        <v>41101</v>
      </c>
      <c r="M41" s="10">
        <v>0.67013888888888884</v>
      </c>
      <c r="N41" s="8" t="s">
        <v>62</v>
      </c>
      <c r="O41" s="8">
        <v>0</v>
      </c>
      <c r="P41" s="8">
        <v>0</v>
      </c>
      <c r="Q41" s="8">
        <v>0</v>
      </c>
      <c r="R41" s="8">
        <v>0</v>
      </c>
      <c r="S41" s="3">
        <v>0</v>
      </c>
      <c r="T41" s="8">
        <v>0.5</v>
      </c>
      <c r="U41" s="8">
        <v>0</v>
      </c>
      <c r="V41" s="8">
        <v>0</v>
      </c>
      <c r="W41" s="8">
        <v>0</v>
      </c>
      <c r="X41" s="8">
        <v>0</v>
      </c>
      <c r="Y41" s="8">
        <v>0.5</v>
      </c>
      <c r="Z41" s="8">
        <v>0</v>
      </c>
      <c r="AA41" s="8">
        <v>0</v>
      </c>
      <c r="AB41" s="8">
        <v>0</v>
      </c>
      <c r="AC41" s="8">
        <v>0</v>
      </c>
      <c r="AD41" s="3">
        <f t="shared" si="0"/>
        <v>0.5</v>
      </c>
      <c r="AE41" s="8" t="s">
        <v>117</v>
      </c>
      <c r="AF41" s="3" t="s">
        <v>117</v>
      </c>
      <c r="AG41" s="8" t="s">
        <v>72</v>
      </c>
      <c r="AH41" s="8" t="s">
        <v>389</v>
      </c>
      <c r="AI41" s="8" t="s">
        <v>304</v>
      </c>
      <c r="AJ41" s="6">
        <f t="shared" si="1"/>
        <v>40000</v>
      </c>
      <c r="AK41" s="8" t="s">
        <v>305</v>
      </c>
    </row>
    <row r="42" spans="1:37" x14ac:dyDescent="0.35">
      <c r="A42" s="7" t="s">
        <v>401</v>
      </c>
      <c r="B42" s="8" t="s">
        <v>281</v>
      </c>
      <c r="C42" s="8" t="s">
        <v>307</v>
      </c>
      <c r="D42" s="54" t="s">
        <v>402</v>
      </c>
      <c r="E42" s="8">
        <v>603.1</v>
      </c>
      <c r="F42" s="8">
        <v>4008.9</v>
      </c>
      <c r="G42" s="8">
        <v>715</v>
      </c>
      <c r="H42" s="9">
        <v>41101</v>
      </c>
      <c r="I42" s="10">
        <v>0.63194444444444442</v>
      </c>
      <c r="J42" s="9">
        <v>41101</v>
      </c>
      <c r="K42" s="10">
        <v>0.63888888888888895</v>
      </c>
      <c r="L42" s="9">
        <v>41101</v>
      </c>
      <c r="M42" s="10">
        <v>0.76041666666666663</v>
      </c>
      <c r="N42" s="8" t="s">
        <v>62</v>
      </c>
      <c r="O42" s="8">
        <v>7</v>
      </c>
      <c r="P42" s="8">
        <v>0</v>
      </c>
      <c r="Q42" s="8">
        <v>0</v>
      </c>
      <c r="R42" s="8">
        <v>0</v>
      </c>
      <c r="S42" s="3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7</v>
      </c>
      <c r="Z42" s="8">
        <v>0</v>
      </c>
      <c r="AA42" s="8">
        <v>0</v>
      </c>
      <c r="AB42" s="8">
        <v>0</v>
      </c>
      <c r="AC42" s="8">
        <v>0</v>
      </c>
      <c r="AD42" s="3">
        <f t="shared" si="0"/>
        <v>7</v>
      </c>
      <c r="AE42" s="8" t="s">
        <v>117</v>
      </c>
      <c r="AF42" s="3" t="s">
        <v>117</v>
      </c>
      <c r="AG42" s="8" t="s">
        <v>57</v>
      </c>
      <c r="AH42" s="8" t="s">
        <v>403</v>
      </c>
      <c r="AI42" s="8" t="s">
        <v>304</v>
      </c>
      <c r="AJ42" s="6">
        <f t="shared" si="1"/>
        <v>560000</v>
      </c>
      <c r="AK42" s="8" t="s">
        <v>305</v>
      </c>
    </row>
    <row r="43" spans="1:37" x14ac:dyDescent="0.35">
      <c r="A43" s="7" t="s">
        <v>404</v>
      </c>
      <c r="B43" s="8" t="s">
        <v>405</v>
      </c>
      <c r="C43" s="8" t="s">
        <v>405</v>
      </c>
      <c r="D43" s="54" t="s">
        <v>406</v>
      </c>
      <c r="E43" s="8" t="s">
        <v>407</v>
      </c>
      <c r="F43" s="8"/>
      <c r="G43" s="8"/>
      <c r="H43" s="9">
        <v>41102</v>
      </c>
      <c r="I43" s="10">
        <v>0.5</v>
      </c>
      <c r="J43" s="9" t="s">
        <v>318</v>
      </c>
      <c r="K43" s="10" t="s">
        <v>318</v>
      </c>
      <c r="L43" s="9">
        <v>41102</v>
      </c>
      <c r="M43" s="10">
        <v>0.69444444444444453</v>
      </c>
      <c r="N43" s="8" t="s">
        <v>81</v>
      </c>
      <c r="O43" s="8">
        <v>0</v>
      </c>
      <c r="P43" s="8">
        <v>7.5</v>
      </c>
      <c r="Q43" s="8">
        <v>0</v>
      </c>
      <c r="R43" s="8">
        <v>0</v>
      </c>
      <c r="S43" s="3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7.5</v>
      </c>
      <c r="AA43" s="8">
        <v>0</v>
      </c>
      <c r="AB43" s="8">
        <v>0</v>
      </c>
      <c r="AC43" s="8">
        <v>0</v>
      </c>
      <c r="AD43" s="3">
        <f t="shared" si="0"/>
        <v>7.5</v>
      </c>
      <c r="AE43" s="8" t="s">
        <v>117</v>
      </c>
      <c r="AF43" s="3" t="s">
        <v>117</v>
      </c>
      <c r="AG43" s="8" t="s">
        <v>175</v>
      </c>
      <c r="AH43" s="8" t="s">
        <v>396</v>
      </c>
      <c r="AI43" s="8" t="s">
        <v>175</v>
      </c>
      <c r="AJ43" s="6">
        <f t="shared" si="1"/>
        <v>585000</v>
      </c>
      <c r="AK43" s="8" t="s">
        <v>305</v>
      </c>
    </row>
    <row r="44" spans="1:37" x14ac:dyDescent="0.35">
      <c r="A44" s="7" t="s">
        <v>408</v>
      </c>
      <c r="B44" s="8" t="s">
        <v>409</v>
      </c>
      <c r="C44" s="8" t="s">
        <v>409</v>
      </c>
      <c r="D44" s="54" t="s">
        <v>410</v>
      </c>
      <c r="E44" s="8">
        <v>3999</v>
      </c>
      <c r="F44" s="8">
        <v>557</v>
      </c>
      <c r="G44" s="8">
        <v>813</v>
      </c>
      <c r="H44" s="9">
        <v>41102</v>
      </c>
      <c r="I44" s="10">
        <v>0.77777777777777779</v>
      </c>
      <c r="J44" s="9">
        <v>41102</v>
      </c>
      <c r="K44" s="10">
        <v>0.79166666666666663</v>
      </c>
      <c r="L44" s="9">
        <v>41102</v>
      </c>
      <c r="M44" s="10">
        <v>0.83333333333333337</v>
      </c>
      <c r="N44" s="8" t="s">
        <v>40</v>
      </c>
      <c r="O44" s="8">
        <v>0</v>
      </c>
      <c r="P44" s="8">
        <v>0.2</v>
      </c>
      <c r="Q44" s="8">
        <v>0</v>
      </c>
      <c r="R44" s="8">
        <v>0</v>
      </c>
      <c r="S44" s="3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0.2</v>
      </c>
      <c r="AA44" s="8">
        <v>0</v>
      </c>
      <c r="AB44" s="8">
        <v>0</v>
      </c>
      <c r="AC44" s="8">
        <v>0</v>
      </c>
      <c r="AD44" s="3">
        <f t="shared" si="0"/>
        <v>0.2</v>
      </c>
      <c r="AE44" s="8" t="s">
        <v>117</v>
      </c>
      <c r="AF44" s="3" t="s">
        <v>117</v>
      </c>
      <c r="AG44" s="8" t="s">
        <v>57</v>
      </c>
      <c r="AH44" s="8" t="s">
        <v>396</v>
      </c>
      <c r="AI44" s="8" t="s">
        <v>304</v>
      </c>
      <c r="AJ44" s="6">
        <f t="shared" si="1"/>
        <v>15600</v>
      </c>
      <c r="AK44" s="8" t="s">
        <v>305</v>
      </c>
    </row>
    <row r="45" spans="1:37" x14ac:dyDescent="0.35">
      <c r="A45" s="7" t="s">
        <v>411</v>
      </c>
      <c r="B45" s="8" t="s">
        <v>68</v>
      </c>
      <c r="C45" s="8" t="s">
        <v>68</v>
      </c>
      <c r="D45" s="54" t="s">
        <v>412</v>
      </c>
      <c r="E45" s="8">
        <v>3987</v>
      </c>
      <c r="F45" s="8">
        <v>556</v>
      </c>
      <c r="G45" s="8">
        <v>812</v>
      </c>
      <c r="H45" s="9">
        <v>41104</v>
      </c>
      <c r="I45" s="10">
        <v>0.41666666666666669</v>
      </c>
      <c r="J45" s="9">
        <v>41104</v>
      </c>
      <c r="K45" s="10">
        <v>0.42638888888888887</v>
      </c>
      <c r="L45" s="9">
        <v>41104</v>
      </c>
      <c r="M45" s="10">
        <v>0.44444444444444442</v>
      </c>
      <c r="N45" s="8" t="s">
        <v>62</v>
      </c>
      <c r="O45" s="8">
        <v>0.5</v>
      </c>
      <c r="P45" s="8">
        <v>0</v>
      </c>
      <c r="Q45" s="8">
        <v>0</v>
      </c>
      <c r="R45" s="8">
        <v>0</v>
      </c>
      <c r="S45" s="3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0.5</v>
      </c>
      <c r="Z45" s="8">
        <v>0</v>
      </c>
      <c r="AA45" s="8">
        <v>0</v>
      </c>
      <c r="AB45" s="8">
        <v>0</v>
      </c>
      <c r="AC45" s="8">
        <v>0</v>
      </c>
      <c r="AD45" s="3">
        <f t="shared" si="0"/>
        <v>0.5</v>
      </c>
      <c r="AE45" s="8" t="s">
        <v>117</v>
      </c>
      <c r="AF45" s="3" t="s">
        <v>117</v>
      </c>
      <c r="AG45" s="8" t="s">
        <v>72</v>
      </c>
      <c r="AH45" s="8" t="s">
        <v>379</v>
      </c>
      <c r="AI45" s="8" t="s">
        <v>304</v>
      </c>
      <c r="AJ45" s="6">
        <f t="shared" si="1"/>
        <v>40000</v>
      </c>
      <c r="AK45" s="8" t="s">
        <v>305</v>
      </c>
    </row>
    <row r="46" spans="1:37" x14ac:dyDescent="0.35">
      <c r="A46" s="7" t="s">
        <v>413</v>
      </c>
      <c r="B46" s="8" t="s">
        <v>286</v>
      </c>
      <c r="C46" s="8" t="s">
        <v>414</v>
      </c>
      <c r="D46" s="54" t="s">
        <v>415</v>
      </c>
      <c r="E46" s="8">
        <v>626</v>
      </c>
      <c r="F46" s="8">
        <v>346.7</v>
      </c>
      <c r="G46" s="8">
        <v>909</v>
      </c>
      <c r="H46" s="9">
        <v>41104</v>
      </c>
      <c r="I46" s="10">
        <v>0.53472222222222221</v>
      </c>
      <c r="J46" s="9">
        <v>41104</v>
      </c>
      <c r="K46" s="10">
        <v>0.54861111111111105</v>
      </c>
      <c r="L46" s="9">
        <v>41105</v>
      </c>
      <c r="M46" s="10">
        <v>0.75</v>
      </c>
      <c r="N46" s="8" t="s">
        <v>41</v>
      </c>
      <c r="O46" s="8">
        <v>15</v>
      </c>
      <c r="P46" s="8">
        <v>100</v>
      </c>
      <c r="Q46" s="8">
        <v>130</v>
      </c>
      <c r="R46" s="8">
        <v>0</v>
      </c>
      <c r="S46" s="3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15</v>
      </c>
      <c r="Z46" s="8">
        <v>100</v>
      </c>
      <c r="AA46" s="8">
        <v>130</v>
      </c>
      <c r="AB46" s="8">
        <v>0</v>
      </c>
      <c r="AC46" s="8">
        <v>0</v>
      </c>
      <c r="AD46" s="3">
        <f t="shared" si="0"/>
        <v>245</v>
      </c>
      <c r="AE46" s="8" t="s">
        <v>117</v>
      </c>
      <c r="AF46" s="3" t="s">
        <v>117</v>
      </c>
      <c r="AG46" s="8" t="s">
        <v>57</v>
      </c>
      <c r="AH46" s="8" t="s">
        <v>416</v>
      </c>
      <c r="AI46" s="8" t="s">
        <v>417</v>
      </c>
      <c r="AJ46" s="6">
        <f t="shared" si="1"/>
        <v>10950000</v>
      </c>
      <c r="AK46" s="8" t="s">
        <v>305</v>
      </c>
    </row>
    <row r="47" spans="1:37" x14ac:dyDescent="0.35">
      <c r="A47" s="7" t="s">
        <v>418</v>
      </c>
      <c r="B47" s="8" t="s">
        <v>312</v>
      </c>
      <c r="C47" s="8" t="s">
        <v>312</v>
      </c>
      <c r="D47" s="54" t="s">
        <v>419</v>
      </c>
      <c r="E47" s="8">
        <v>617</v>
      </c>
      <c r="F47" s="8">
        <v>347</v>
      </c>
      <c r="G47" s="8">
        <v>843</v>
      </c>
      <c r="H47" s="9">
        <v>41104</v>
      </c>
      <c r="I47" s="10">
        <v>0.5625</v>
      </c>
      <c r="J47" s="9">
        <v>41104</v>
      </c>
      <c r="K47" s="10">
        <v>0.56597222222222221</v>
      </c>
      <c r="L47" s="9">
        <v>41104</v>
      </c>
      <c r="M47" s="10">
        <v>0.75</v>
      </c>
      <c r="N47" s="8" t="s">
        <v>40</v>
      </c>
      <c r="O47" s="8">
        <v>0</v>
      </c>
      <c r="P47" s="8">
        <v>2</v>
      </c>
      <c r="Q47" s="8">
        <v>0</v>
      </c>
      <c r="R47" s="8">
        <v>0</v>
      </c>
      <c r="S47" s="3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2</v>
      </c>
      <c r="AA47" s="8">
        <v>0</v>
      </c>
      <c r="AB47" s="8">
        <v>0</v>
      </c>
      <c r="AC47" s="8">
        <v>0</v>
      </c>
      <c r="AD47" s="3">
        <f t="shared" si="0"/>
        <v>2</v>
      </c>
      <c r="AE47" s="8" t="s">
        <v>117</v>
      </c>
      <c r="AF47" s="3" t="s">
        <v>117</v>
      </c>
      <c r="AG47" s="8" t="s">
        <v>57</v>
      </c>
      <c r="AH47" s="8" t="s">
        <v>314</v>
      </c>
      <c r="AI47" s="8" t="s">
        <v>304</v>
      </c>
      <c r="AJ47" s="6">
        <f t="shared" si="1"/>
        <v>156000</v>
      </c>
      <c r="AK47" s="8" t="s">
        <v>305</v>
      </c>
    </row>
    <row r="48" spans="1:37" x14ac:dyDescent="0.35">
      <c r="A48" s="7" t="s">
        <v>420</v>
      </c>
      <c r="B48" s="8" t="s">
        <v>409</v>
      </c>
      <c r="C48" s="8" t="s">
        <v>409</v>
      </c>
      <c r="D48" s="54" t="s">
        <v>421</v>
      </c>
      <c r="E48" s="8">
        <v>3999</v>
      </c>
      <c r="F48" s="8">
        <v>557</v>
      </c>
      <c r="G48" s="8">
        <v>813</v>
      </c>
      <c r="H48" s="9">
        <v>41105</v>
      </c>
      <c r="I48" s="10">
        <v>0.44791666666666669</v>
      </c>
      <c r="J48" s="9">
        <v>41105</v>
      </c>
      <c r="K48" s="10">
        <v>0.45833333333333331</v>
      </c>
      <c r="L48" s="9">
        <v>41106</v>
      </c>
      <c r="M48" s="10">
        <v>0.35416666666666669</v>
      </c>
      <c r="N48" s="8" t="s">
        <v>62</v>
      </c>
      <c r="O48" s="8">
        <v>8</v>
      </c>
      <c r="P48" s="8">
        <v>0</v>
      </c>
      <c r="Q48" s="8">
        <v>0</v>
      </c>
      <c r="R48" s="8">
        <v>0</v>
      </c>
      <c r="S48" s="3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8</v>
      </c>
      <c r="Z48" s="8">
        <v>0</v>
      </c>
      <c r="AA48" s="8">
        <v>0</v>
      </c>
      <c r="AB48" s="8">
        <v>0</v>
      </c>
      <c r="AC48" s="8">
        <v>0</v>
      </c>
      <c r="AD48" s="3">
        <f t="shared" si="0"/>
        <v>8</v>
      </c>
      <c r="AE48" s="8" t="s">
        <v>117</v>
      </c>
      <c r="AF48" s="3" t="s">
        <v>117</v>
      </c>
      <c r="AG48" s="8" t="s">
        <v>57</v>
      </c>
      <c r="AH48" s="8" t="s">
        <v>379</v>
      </c>
      <c r="AI48" s="8" t="s">
        <v>304</v>
      </c>
      <c r="AJ48" s="6">
        <f t="shared" si="1"/>
        <v>640000</v>
      </c>
      <c r="AK48" s="8" t="s">
        <v>305</v>
      </c>
    </row>
    <row r="49" spans="1:37" x14ac:dyDescent="0.35">
      <c r="A49" s="7" t="s">
        <v>422</v>
      </c>
      <c r="B49" s="8" t="s">
        <v>286</v>
      </c>
      <c r="C49" s="8" t="s">
        <v>287</v>
      </c>
      <c r="D49" s="54" t="s">
        <v>423</v>
      </c>
      <c r="E49" s="8">
        <v>605.6</v>
      </c>
      <c r="F49" s="8">
        <v>4024.4</v>
      </c>
      <c r="G49" s="8">
        <v>504</v>
      </c>
      <c r="H49" s="9">
        <v>41107</v>
      </c>
      <c r="I49" s="10">
        <v>0.70833333333333337</v>
      </c>
      <c r="J49" s="9">
        <v>41107</v>
      </c>
      <c r="K49" s="10">
        <v>0.71875</v>
      </c>
      <c r="L49" s="9">
        <v>41108</v>
      </c>
      <c r="M49" s="10">
        <v>0.375</v>
      </c>
      <c r="N49" s="8" t="s">
        <v>62</v>
      </c>
      <c r="O49" s="8">
        <v>15</v>
      </c>
      <c r="P49" s="8">
        <v>0</v>
      </c>
      <c r="Q49" s="8">
        <v>0</v>
      </c>
      <c r="R49" s="8">
        <v>0</v>
      </c>
      <c r="S49" s="3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15</v>
      </c>
      <c r="Z49" s="8">
        <v>0</v>
      </c>
      <c r="AA49" s="8">
        <v>0</v>
      </c>
      <c r="AB49" s="8">
        <v>0</v>
      </c>
      <c r="AC49" s="8">
        <v>0</v>
      </c>
      <c r="AD49" s="3">
        <f t="shared" si="0"/>
        <v>15</v>
      </c>
      <c r="AE49" s="8" t="s">
        <v>117</v>
      </c>
      <c r="AF49" s="3" t="s">
        <v>117</v>
      </c>
      <c r="AG49" s="8" t="s">
        <v>57</v>
      </c>
      <c r="AH49" s="8" t="s">
        <v>424</v>
      </c>
      <c r="AI49" s="8" t="s">
        <v>304</v>
      </c>
      <c r="AJ49" s="6">
        <f t="shared" si="1"/>
        <v>1200000</v>
      </c>
      <c r="AK49" s="8" t="s">
        <v>305</v>
      </c>
    </row>
    <row r="50" spans="1:37" x14ac:dyDescent="0.35">
      <c r="A50" s="7" t="s">
        <v>425</v>
      </c>
      <c r="B50" s="8" t="s">
        <v>312</v>
      </c>
      <c r="C50" s="8" t="s">
        <v>312</v>
      </c>
      <c r="D50" s="54" t="s">
        <v>419</v>
      </c>
      <c r="E50" s="8" t="s">
        <v>426</v>
      </c>
      <c r="F50" s="8" t="s">
        <v>427</v>
      </c>
      <c r="G50" s="8">
        <v>843</v>
      </c>
      <c r="H50" s="9">
        <v>41107</v>
      </c>
      <c r="I50" s="10">
        <v>0.71527777777777779</v>
      </c>
      <c r="J50" s="9">
        <v>41107</v>
      </c>
      <c r="K50" s="10">
        <v>0.72222222222222221</v>
      </c>
      <c r="L50" s="9">
        <v>41107</v>
      </c>
      <c r="M50" s="10">
        <v>0.77083333333333337</v>
      </c>
      <c r="N50" s="8" t="s">
        <v>40</v>
      </c>
      <c r="O50" s="8">
        <v>0</v>
      </c>
      <c r="P50" s="8">
        <v>0.5</v>
      </c>
      <c r="Q50" s="8">
        <v>0</v>
      </c>
      <c r="R50" s="8">
        <v>0</v>
      </c>
      <c r="S50" s="3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0.5</v>
      </c>
      <c r="AA50" s="8">
        <v>0</v>
      </c>
      <c r="AB50" s="8">
        <v>0</v>
      </c>
      <c r="AC50" s="8">
        <v>0</v>
      </c>
      <c r="AD50" s="3">
        <f t="shared" si="0"/>
        <v>0.5</v>
      </c>
      <c r="AE50" s="8" t="s">
        <v>117</v>
      </c>
      <c r="AF50" s="3" t="s">
        <v>117</v>
      </c>
      <c r="AG50" s="8" t="s">
        <v>57</v>
      </c>
      <c r="AH50" s="8" t="s">
        <v>428</v>
      </c>
      <c r="AI50" s="8" t="s">
        <v>304</v>
      </c>
      <c r="AJ50" s="6">
        <f t="shared" si="1"/>
        <v>39000</v>
      </c>
      <c r="AK50" s="8" t="s">
        <v>305</v>
      </c>
    </row>
    <row r="51" spans="1:37" x14ac:dyDescent="0.35">
      <c r="A51" s="7" t="s">
        <v>429</v>
      </c>
      <c r="B51" s="8" t="s">
        <v>286</v>
      </c>
      <c r="C51" s="8" t="s">
        <v>287</v>
      </c>
      <c r="D51" s="54" t="s">
        <v>423</v>
      </c>
      <c r="E51" s="8">
        <v>605.29999999999995</v>
      </c>
      <c r="F51" s="8">
        <v>4026.7</v>
      </c>
      <c r="G51" s="8">
        <v>525</v>
      </c>
      <c r="H51" s="9">
        <v>41108</v>
      </c>
      <c r="I51" s="10">
        <v>0.54861111111111105</v>
      </c>
      <c r="J51" s="9">
        <v>41107</v>
      </c>
      <c r="K51" s="10">
        <v>0.55555555555555558</v>
      </c>
      <c r="L51" s="9">
        <v>41108</v>
      </c>
      <c r="M51" s="10">
        <v>0.83333333333333337</v>
      </c>
      <c r="N51" s="8" t="s">
        <v>62</v>
      </c>
      <c r="O51" s="8">
        <v>5</v>
      </c>
      <c r="P51" s="8">
        <v>0</v>
      </c>
      <c r="Q51" s="8">
        <v>0</v>
      </c>
      <c r="R51" s="8">
        <v>0</v>
      </c>
      <c r="S51" s="3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5</v>
      </c>
      <c r="Z51" s="8">
        <v>0</v>
      </c>
      <c r="AA51" s="8">
        <v>0</v>
      </c>
      <c r="AB51" s="8">
        <v>0</v>
      </c>
      <c r="AC51" s="8">
        <v>0</v>
      </c>
      <c r="AD51" s="3">
        <f t="shared" si="0"/>
        <v>5</v>
      </c>
      <c r="AE51" s="8" t="s">
        <v>117</v>
      </c>
      <c r="AF51" s="3" t="s">
        <v>117</v>
      </c>
      <c r="AG51" s="8" t="s">
        <v>57</v>
      </c>
      <c r="AH51" s="8" t="s">
        <v>430</v>
      </c>
      <c r="AI51" s="8" t="s">
        <v>304</v>
      </c>
      <c r="AJ51" s="6">
        <f t="shared" si="1"/>
        <v>400000</v>
      </c>
      <c r="AK51" s="8" t="s">
        <v>305</v>
      </c>
    </row>
    <row r="52" spans="1:37" x14ac:dyDescent="0.35">
      <c r="A52" s="7" t="s">
        <v>431</v>
      </c>
      <c r="B52" s="8" t="s">
        <v>312</v>
      </c>
      <c r="C52" s="8" t="s">
        <v>313</v>
      </c>
      <c r="D52" s="54" t="s">
        <v>432</v>
      </c>
      <c r="E52" s="8">
        <v>610.5</v>
      </c>
      <c r="F52" s="8">
        <v>363</v>
      </c>
      <c r="G52" s="8">
        <v>885</v>
      </c>
      <c r="H52" s="9">
        <v>41108</v>
      </c>
      <c r="I52" s="10">
        <v>0.65972222222222221</v>
      </c>
      <c r="J52" s="9">
        <v>41108</v>
      </c>
      <c r="K52" s="10">
        <v>0.66666666666666663</v>
      </c>
      <c r="L52" s="9">
        <v>41108</v>
      </c>
      <c r="M52" s="10">
        <v>0.83333333333333337</v>
      </c>
      <c r="N52" s="8" t="s">
        <v>40</v>
      </c>
      <c r="O52" s="8">
        <v>0</v>
      </c>
      <c r="P52" s="8">
        <v>4</v>
      </c>
      <c r="Q52" s="8">
        <v>0</v>
      </c>
      <c r="R52" s="8">
        <v>0</v>
      </c>
      <c r="S52" s="3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4</v>
      </c>
      <c r="AA52" s="8">
        <v>0</v>
      </c>
      <c r="AB52" s="8">
        <v>0</v>
      </c>
      <c r="AC52" s="8">
        <v>0</v>
      </c>
      <c r="AD52" s="3">
        <f t="shared" si="0"/>
        <v>4</v>
      </c>
      <c r="AE52" s="8" t="s">
        <v>117</v>
      </c>
      <c r="AF52" s="3" t="s">
        <v>117</v>
      </c>
      <c r="AG52" s="8" t="s">
        <v>57</v>
      </c>
      <c r="AH52" s="8" t="s">
        <v>428</v>
      </c>
      <c r="AI52" s="8" t="s">
        <v>304</v>
      </c>
      <c r="AJ52" s="6">
        <f t="shared" si="1"/>
        <v>312000</v>
      </c>
      <c r="AK52" s="8" t="s">
        <v>305</v>
      </c>
    </row>
    <row r="53" spans="1:37" x14ac:dyDescent="0.35">
      <c r="A53" s="7" t="s">
        <v>433</v>
      </c>
      <c r="B53" s="8" t="s">
        <v>409</v>
      </c>
      <c r="C53" s="8" t="s">
        <v>434</v>
      </c>
      <c r="D53" s="54" t="s">
        <v>435</v>
      </c>
      <c r="E53" s="8">
        <v>3999.8</v>
      </c>
      <c r="F53" s="8">
        <v>559.20000000000005</v>
      </c>
      <c r="G53" s="8">
        <v>827</v>
      </c>
      <c r="H53" s="9">
        <v>41109</v>
      </c>
      <c r="I53" s="10">
        <v>0.47916666666666669</v>
      </c>
      <c r="J53" s="9">
        <v>41109</v>
      </c>
      <c r="K53" s="10">
        <v>0.48958333333333331</v>
      </c>
      <c r="L53" s="9">
        <v>41109</v>
      </c>
      <c r="M53" s="10">
        <v>0.54861111111111105</v>
      </c>
      <c r="N53" s="8" t="s">
        <v>62</v>
      </c>
      <c r="O53" s="8">
        <v>0.5</v>
      </c>
      <c r="P53" s="8">
        <v>0</v>
      </c>
      <c r="Q53" s="8">
        <v>0</v>
      </c>
      <c r="R53" s="8">
        <v>0</v>
      </c>
      <c r="S53" s="3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0.5</v>
      </c>
      <c r="Z53" s="8">
        <v>0</v>
      </c>
      <c r="AA53" s="8">
        <v>0</v>
      </c>
      <c r="AB53" s="8">
        <v>0</v>
      </c>
      <c r="AC53" s="8">
        <v>0</v>
      </c>
      <c r="AD53" s="3">
        <f t="shared" si="0"/>
        <v>0.5</v>
      </c>
      <c r="AE53" s="8" t="s">
        <v>117</v>
      </c>
      <c r="AF53" s="3" t="s">
        <v>117</v>
      </c>
      <c r="AG53" s="8" t="s">
        <v>57</v>
      </c>
      <c r="AH53" s="8" t="s">
        <v>428</v>
      </c>
      <c r="AI53" s="8" t="s">
        <v>304</v>
      </c>
      <c r="AJ53" s="6">
        <f t="shared" si="1"/>
        <v>40000</v>
      </c>
      <c r="AK53" s="8" t="s">
        <v>305</v>
      </c>
    </row>
    <row r="54" spans="1:37" x14ac:dyDescent="0.35">
      <c r="A54" s="7" t="s">
        <v>436</v>
      </c>
      <c r="B54" s="8" t="s">
        <v>281</v>
      </c>
      <c r="C54" s="8" t="s">
        <v>282</v>
      </c>
      <c r="D54" s="54" t="s">
        <v>437</v>
      </c>
      <c r="E54" s="8">
        <v>614.1</v>
      </c>
      <c r="F54" s="8">
        <v>4033.4</v>
      </c>
      <c r="G54" s="8">
        <v>1150</v>
      </c>
      <c r="H54" s="9">
        <v>41109</v>
      </c>
      <c r="I54" s="10">
        <v>0.77083333333333337</v>
      </c>
      <c r="J54" s="9" t="s">
        <v>318</v>
      </c>
      <c r="K54" s="10" t="s">
        <v>318</v>
      </c>
      <c r="L54" s="9">
        <v>41110</v>
      </c>
      <c r="M54" s="10">
        <v>0.33333333333333331</v>
      </c>
      <c r="N54" s="8" t="s">
        <v>81</v>
      </c>
      <c r="O54" s="8">
        <v>0</v>
      </c>
      <c r="P54" s="8">
        <v>10</v>
      </c>
      <c r="Q54" s="8">
        <v>0</v>
      </c>
      <c r="R54" s="8">
        <v>0</v>
      </c>
      <c r="S54" s="3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10</v>
      </c>
      <c r="AA54" s="8">
        <v>0</v>
      </c>
      <c r="AB54" s="8">
        <v>0</v>
      </c>
      <c r="AC54" s="8">
        <v>0</v>
      </c>
      <c r="AD54" s="3">
        <f t="shared" si="0"/>
        <v>10</v>
      </c>
      <c r="AE54" s="8" t="s">
        <v>117</v>
      </c>
      <c r="AF54" s="3" t="s">
        <v>117</v>
      </c>
      <c r="AG54" s="8" t="s">
        <v>438</v>
      </c>
      <c r="AH54" s="8" t="s">
        <v>439</v>
      </c>
      <c r="AI54" s="8" t="s">
        <v>175</v>
      </c>
      <c r="AJ54" s="6">
        <f t="shared" si="1"/>
        <v>780000</v>
      </c>
      <c r="AK54" s="8" t="s">
        <v>305</v>
      </c>
    </row>
    <row r="55" spans="1:37" x14ac:dyDescent="0.35">
      <c r="A55" s="7" t="s">
        <v>440</v>
      </c>
      <c r="B55" s="8" t="s">
        <v>320</v>
      </c>
      <c r="C55" s="8" t="s">
        <v>320</v>
      </c>
      <c r="D55" s="54" t="s">
        <v>441</v>
      </c>
      <c r="E55" s="8">
        <v>4004</v>
      </c>
      <c r="F55" s="8">
        <v>574</v>
      </c>
      <c r="G55" s="8">
        <v>900</v>
      </c>
      <c r="H55" s="9">
        <v>41109</v>
      </c>
      <c r="I55" s="10">
        <v>0.82291666666666663</v>
      </c>
      <c r="J55" s="9">
        <v>41109</v>
      </c>
      <c r="K55" s="10">
        <v>0.82986111111111116</v>
      </c>
      <c r="L55" s="9">
        <v>41109</v>
      </c>
      <c r="M55" s="10">
        <v>0.88541666666666663</v>
      </c>
      <c r="N55" s="8" t="s">
        <v>62</v>
      </c>
      <c r="O55" s="8">
        <v>0.03</v>
      </c>
      <c r="P55" s="8">
        <v>0</v>
      </c>
      <c r="Q55" s="8">
        <v>0</v>
      </c>
      <c r="R55" s="8">
        <v>0</v>
      </c>
      <c r="S55" s="3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0.03</v>
      </c>
      <c r="Z55" s="8">
        <v>0</v>
      </c>
      <c r="AA55" s="8">
        <v>0</v>
      </c>
      <c r="AB55" s="8">
        <v>0</v>
      </c>
      <c r="AC55" s="8">
        <v>0</v>
      </c>
      <c r="AD55" s="3">
        <f t="shared" si="0"/>
        <v>0.03</v>
      </c>
      <c r="AE55" s="8" t="s">
        <v>117</v>
      </c>
      <c r="AF55" s="3" t="s">
        <v>117</v>
      </c>
      <c r="AG55" s="8" t="s">
        <v>72</v>
      </c>
      <c r="AH55" s="8" t="s">
        <v>428</v>
      </c>
      <c r="AI55" s="8" t="s">
        <v>304</v>
      </c>
      <c r="AJ55" s="6">
        <f t="shared" si="1"/>
        <v>2400</v>
      </c>
      <c r="AK55" s="8" t="s">
        <v>305</v>
      </c>
    </row>
    <row r="56" spans="1:37" x14ac:dyDescent="0.35">
      <c r="A56" s="7" t="s">
        <v>442</v>
      </c>
      <c r="B56" s="8" t="s">
        <v>301</v>
      </c>
      <c r="C56" s="8" t="s">
        <v>301</v>
      </c>
      <c r="D56" s="54" t="s">
        <v>443</v>
      </c>
      <c r="E56" s="8">
        <v>610.5</v>
      </c>
      <c r="F56" s="8">
        <v>342</v>
      </c>
      <c r="G56" s="8">
        <v>575</v>
      </c>
      <c r="H56" s="9">
        <v>41110</v>
      </c>
      <c r="I56" s="10">
        <v>0.60416666666666663</v>
      </c>
      <c r="J56" s="9">
        <v>41110</v>
      </c>
      <c r="K56" s="10">
        <v>0.61458333333333337</v>
      </c>
      <c r="L56" s="9">
        <v>41110</v>
      </c>
      <c r="M56" s="10">
        <v>0.65277777777777779</v>
      </c>
      <c r="N56" s="8" t="s">
        <v>41</v>
      </c>
      <c r="O56" s="8">
        <v>0</v>
      </c>
      <c r="P56" s="8">
        <v>0</v>
      </c>
      <c r="Q56" s="8">
        <v>0.5</v>
      </c>
      <c r="R56" s="8">
        <v>0</v>
      </c>
      <c r="S56" s="3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0.5</v>
      </c>
      <c r="AB56" s="8">
        <v>0</v>
      </c>
      <c r="AC56" s="8">
        <v>0</v>
      </c>
      <c r="AD56" s="3">
        <f t="shared" si="0"/>
        <v>0.5</v>
      </c>
      <c r="AE56" s="8" t="s">
        <v>117</v>
      </c>
      <c r="AF56" s="3" t="s">
        <v>117</v>
      </c>
      <c r="AG56" s="8" t="s">
        <v>72</v>
      </c>
      <c r="AH56" s="8" t="s">
        <v>303</v>
      </c>
      <c r="AI56" s="8" t="s">
        <v>304</v>
      </c>
      <c r="AJ56" s="6">
        <f t="shared" si="1"/>
        <v>7500</v>
      </c>
      <c r="AK56" s="8" t="s">
        <v>305</v>
      </c>
    </row>
    <row r="57" spans="1:37" x14ac:dyDescent="0.35">
      <c r="A57" s="7" t="s">
        <v>444</v>
      </c>
      <c r="B57" s="8" t="s">
        <v>312</v>
      </c>
      <c r="C57" s="8" t="s">
        <v>312</v>
      </c>
      <c r="D57" s="54" t="s">
        <v>445</v>
      </c>
      <c r="E57" s="8">
        <v>6014</v>
      </c>
      <c r="F57" s="8">
        <v>342.5</v>
      </c>
      <c r="G57" s="8">
        <v>560</v>
      </c>
      <c r="H57" s="9">
        <v>41110</v>
      </c>
      <c r="I57" s="10">
        <v>0.86805555555555547</v>
      </c>
      <c r="J57" s="9">
        <v>41110</v>
      </c>
      <c r="K57" s="10">
        <v>0.875</v>
      </c>
      <c r="L57" s="9">
        <v>41110</v>
      </c>
      <c r="M57" s="10">
        <v>0.90555555555555556</v>
      </c>
      <c r="N57" s="8" t="s">
        <v>62</v>
      </c>
      <c r="O57" s="8">
        <v>0.5</v>
      </c>
      <c r="P57" s="8">
        <v>0</v>
      </c>
      <c r="Q57" s="8">
        <v>0.5</v>
      </c>
      <c r="R57" s="8">
        <v>0</v>
      </c>
      <c r="S57" s="3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0.5</v>
      </c>
      <c r="Z57" s="8">
        <v>0</v>
      </c>
      <c r="AA57" s="8">
        <v>0.5</v>
      </c>
      <c r="AB57" s="8">
        <v>0</v>
      </c>
      <c r="AC57" s="8">
        <v>0</v>
      </c>
      <c r="AD57" s="3">
        <f t="shared" si="0"/>
        <v>1</v>
      </c>
      <c r="AE57" s="8" t="s">
        <v>117</v>
      </c>
      <c r="AF57" s="3" t="s">
        <v>117</v>
      </c>
      <c r="AG57" s="8" t="s">
        <v>57</v>
      </c>
      <c r="AH57" s="8" t="s">
        <v>428</v>
      </c>
      <c r="AI57" s="8" t="s">
        <v>304</v>
      </c>
      <c r="AJ57" s="6">
        <f t="shared" si="1"/>
        <v>47500</v>
      </c>
      <c r="AK57" s="8" t="s">
        <v>305</v>
      </c>
    </row>
    <row r="58" spans="1:37" x14ac:dyDescent="0.35">
      <c r="A58" s="7" t="s">
        <v>446</v>
      </c>
      <c r="B58" s="8" t="s">
        <v>357</v>
      </c>
      <c r="C58" s="8" t="s">
        <v>447</v>
      </c>
      <c r="D58" s="54" t="s">
        <v>448</v>
      </c>
      <c r="E58" s="8">
        <v>4049</v>
      </c>
      <c r="F58" s="8">
        <v>553.5</v>
      </c>
      <c r="G58" s="8">
        <v>628</v>
      </c>
      <c r="H58" s="9">
        <v>41112</v>
      </c>
      <c r="I58" s="10">
        <v>0.41666666666666669</v>
      </c>
      <c r="J58" s="9">
        <v>41112</v>
      </c>
      <c r="K58" s="10">
        <v>0.42708333333333331</v>
      </c>
      <c r="L58" s="9">
        <v>41112</v>
      </c>
      <c r="M58" s="10">
        <v>0.51736111111111105</v>
      </c>
      <c r="N58" s="11" t="s">
        <v>62</v>
      </c>
      <c r="O58" s="8">
        <v>0</v>
      </c>
      <c r="P58" s="8">
        <v>0</v>
      </c>
      <c r="Q58" s="8">
        <v>0</v>
      </c>
      <c r="R58" s="8">
        <v>0</v>
      </c>
      <c r="S58" s="3">
        <v>0</v>
      </c>
      <c r="T58" s="8">
        <v>2</v>
      </c>
      <c r="U58" s="8">
        <v>0</v>
      </c>
      <c r="V58" s="8">
        <v>0</v>
      </c>
      <c r="W58" s="8">
        <v>0</v>
      </c>
      <c r="X58" s="8">
        <v>0</v>
      </c>
      <c r="Y58" s="8">
        <v>2</v>
      </c>
      <c r="Z58" s="8">
        <v>0</v>
      </c>
      <c r="AA58" s="8">
        <v>0</v>
      </c>
      <c r="AB58" s="8">
        <v>0</v>
      </c>
      <c r="AC58" s="8">
        <v>0</v>
      </c>
      <c r="AD58" s="3">
        <f t="shared" si="0"/>
        <v>2</v>
      </c>
      <c r="AE58" s="8" t="s">
        <v>117</v>
      </c>
      <c r="AF58" s="3" t="s">
        <v>117</v>
      </c>
      <c r="AG58" s="8" t="s">
        <v>72</v>
      </c>
      <c r="AH58" s="8" t="s">
        <v>439</v>
      </c>
      <c r="AI58" s="11" t="s">
        <v>304</v>
      </c>
      <c r="AJ58" s="6">
        <f t="shared" si="1"/>
        <v>160000</v>
      </c>
      <c r="AK58" s="8" t="s">
        <v>305</v>
      </c>
    </row>
    <row r="59" spans="1:37" x14ac:dyDescent="0.35">
      <c r="A59" s="7" t="s">
        <v>449</v>
      </c>
      <c r="B59" s="8" t="s">
        <v>344</v>
      </c>
      <c r="C59" s="8" t="s">
        <v>344</v>
      </c>
      <c r="D59" s="54" t="s">
        <v>450</v>
      </c>
      <c r="E59" s="8">
        <v>4001.3</v>
      </c>
      <c r="F59" s="8">
        <v>556.70000000000005</v>
      </c>
      <c r="G59" s="8">
        <v>1260</v>
      </c>
      <c r="H59" s="9">
        <v>41114</v>
      </c>
      <c r="I59" s="10">
        <v>0.64583333333333337</v>
      </c>
      <c r="J59" s="9">
        <v>41114</v>
      </c>
      <c r="K59" s="10">
        <v>0.65277777777777779</v>
      </c>
      <c r="L59" s="9">
        <v>41114</v>
      </c>
      <c r="M59" s="10">
        <v>0.79166666666666663</v>
      </c>
      <c r="N59" s="8" t="s">
        <v>81</v>
      </c>
      <c r="O59" s="8">
        <v>0</v>
      </c>
      <c r="P59" s="8">
        <v>0</v>
      </c>
      <c r="Q59" s="8">
        <v>0</v>
      </c>
      <c r="R59" s="8">
        <v>0</v>
      </c>
      <c r="S59" s="3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1</v>
      </c>
      <c r="AA59" s="8">
        <v>0</v>
      </c>
      <c r="AB59" s="8">
        <v>0</v>
      </c>
      <c r="AC59" s="8">
        <v>0</v>
      </c>
      <c r="AD59" s="3">
        <f t="shared" si="0"/>
        <v>1</v>
      </c>
      <c r="AE59" s="8" t="s">
        <v>117</v>
      </c>
      <c r="AF59" s="3" t="s">
        <v>117</v>
      </c>
      <c r="AG59" s="8" t="s">
        <v>72</v>
      </c>
      <c r="AH59" s="8" t="s">
        <v>379</v>
      </c>
      <c r="AI59" s="11" t="s">
        <v>304</v>
      </c>
      <c r="AJ59" s="6">
        <f t="shared" si="1"/>
        <v>78000</v>
      </c>
      <c r="AK59" s="8" t="s">
        <v>305</v>
      </c>
    </row>
    <row r="60" spans="1:37" x14ac:dyDescent="0.35">
      <c r="A60" s="7" t="s">
        <v>451</v>
      </c>
      <c r="B60" s="8" t="s">
        <v>344</v>
      </c>
      <c r="C60" s="8" t="s">
        <v>344</v>
      </c>
      <c r="D60" s="54" t="s">
        <v>452</v>
      </c>
      <c r="E60" s="8">
        <v>4000.5</v>
      </c>
      <c r="F60" s="8">
        <v>556.70000000000005</v>
      </c>
      <c r="G60" s="8">
        <v>1261</v>
      </c>
      <c r="H60" s="9">
        <v>41116</v>
      </c>
      <c r="I60" s="10">
        <v>0.59722222222222221</v>
      </c>
      <c r="J60" s="9">
        <v>41116</v>
      </c>
      <c r="K60" s="10">
        <v>0.60416666666666663</v>
      </c>
      <c r="L60" s="9">
        <v>41116</v>
      </c>
      <c r="M60" s="10">
        <v>0.83333333333333337</v>
      </c>
      <c r="N60" s="8" t="s">
        <v>81</v>
      </c>
      <c r="O60" s="8">
        <v>0</v>
      </c>
      <c r="P60" s="8">
        <v>2</v>
      </c>
      <c r="Q60" s="8">
        <v>0</v>
      </c>
      <c r="R60" s="8">
        <v>0</v>
      </c>
      <c r="S60" s="3">
        <v>0</v>
      </c>
      <c r="T60" s="8">
        <v>0</v>
      </c>
      <c r="U60" s="8">
        <v>4</v>
      </c>
      <c r="V60" s="8">
        <v>0</v>
      </c>
      <c r="W60" s="8">
        <v>0</v>
      </c>
      <c r="X60" s="8">
        <v>0</v>
      </c>
      <c r="Y60" s="8">
        <v>0</v>
      </c>
      <c r="Z60" s="8">
        <v>6</v>
      </c>
      <c r="AA60" s="8">
        <v>0</v>
      </c>
      <c r="AB60" s="8">
        <v>0</v>
      </c>
      <c r="AC60" s="8">
        <v>0</v>
      </c>
      <c r="AD60" s="3">
        <f t="shared" si="0"/>
        <v>6</v>
      </c>
      <c r="AE60" s="8" t="s">
        <v>117</v>
      </c>
      <c r="AF60" s="3" t="s">
        <v>117</v>
      </c>
      <c r="AG60" s="8" t="s">
        <v>72</v>
      </c>
      <c r="AH60" s="8" t="s">
        <v>379</v>
      </c>
      <c r="AI60" s="8" t="s">
        <v>348</v>
      </c>
      <c r="AJ60" s="6">
        <f t="shared" si="1"/>
        <v>468000</v>
      </c>
      <c r="AK60" s="8" t="s">
        <v>305</v>
      </c>
    </row>
    <row r="61" spans="1:37" x14ac:dyDescent="0.35">
      <c r="A61" s="7" t="s">
        <v>453</v>
      </c>
      <c r="B61" s="8" t="s">
        <v>320</v>
      </c>
      <c r="C61" s="8" t="s">
        <v>320</v>
      </c>
      <c r="D61" s="54" t="s">
        <v>454</v>
      </c>
      <c r="E61" s="8">
        <v>3999</v>
      </c>
      <c r="F61" s="8">
        <v>557</v>
      </c>
      <c r="G61" s="8">
        <v>813</v>
      </c>
      <c r="H61" s="9">
        <v>41116</v>
      </c>
      <c r="I61" s="10">
        <v>0.6875</v>
      </c>
      <c r="J61" s="9">
        <v>41116</v>
      </c>
      <c r="K61" s="10">
        <v>0.69791666666666663</v>
      </c>
      <c r="L61" s="9">
        <v>41116</v>
      </c>
      <c r="M61" s="10">
        <v>0.75</v>
      </c>
      <c r="N61" s="8" t="s">
        <v>62</v>
      </c>
      <c r="O61" s="8">
        <v>0</v>
      </c>
      <c r="P61" s="8">
        <v>0</v>
      </c>
      <c r="Q61" s="8">
        <v>0</v>
      </c>
      <c r="R61" s="8">
        <v>0</v>
      </c>
      <c r="S61" s="3">
        <v>0</v>
      </c>
      <c r="T61" s="8">
        <v>0.5</v>
      </c>
      <c r="U61" s="8">
        <v>0</v>
      </c>
      <c r="V61" s="8">
        <v>0</v>
      </c>
      <c r="W61" s="8">
        <v>0</v>
      </c>
      <c r="X61" s="8">
        <v>0</v>
      </c>
      <c r="Y61" s="8">
        <v>0.5</v>
      </c>
      <c r="Z61" s="8">
        <v>0</v>
      </c>
      <c r="AA61" s="8">
        <v>0</v>
      </c>
      <c r="AB61" s="8">
        <v>0</v>
      </c>
      <c r="AC61" s="8">
        <v>0</v>
      </c>
      <c r="AD61" s="3">
        <f t="shared" si="0"/>
        <v>0.5</v>
      </c>
      <c r="AE61" s="8" t="s">
        <v>117</v>
      </c>
      <c r="AF61" s="3" t="s">
        <v>117</v>
      </c>
      <c r="AG61" s="8" t="s">
        <v>72</v>
      </c>
      <c r="AH61" s="8" t="s">
        <v>314</v>
      </c>
      <c r="AI61" s="8" t="s">
        <v>304</v>
      </c>
      <c r="AJ61" s="6">
        <f t="shared" si="1"/>
        <v>40000</v>
      </c>
      <c r="AK61" s="8" t="s">
        <v>305</v>
      </c>
    </row>
    <row r="62" spans="1:37" x14ac:dyDescent="0.35">
      <c r="A62" s="7" t="s">
        <v>455</v>
      </c>
      <c r="B62" s="8" t="s">
        <v>344</v>
      </c>
      <c r="C62" s="8" t="s">
        <v>345</v>
      </c>
      <c r="D62" s="54" t="s">
        <v>456</v>
      </c>
      <c r="E62" s="8">
        <v>4000.5</v>
      </c>
      <c r="F62" s="8">
        <v>556.70000000000005</v>
      </c>
      <c r="G62" s="8">
        <v>1261</v>
      </c>
      <c r="H62" s="9">
        <v>41117</v>
      </c>
      <c r="I62" s="10">
        <v>0.29166666666666669</v>
      </c>
      <c r="J62" s="9">
        <v>41117</v>
      </c>
      <c r="K62" s="10">
        <v>0.2986111111111111</v>
      </c>
      <c r="L62" s="9">
        <v>41117</v>
      </c>
      <c r="M62" s="10">
        <v>0.34375</v>
      </c>
      <c r="N62" s="8" t="s">
        <v>81</v>
      </c>
      <c r="O62" s="8">
        <v>0</v>
      </c>
      <c r="P62" s="8">
        <v>3</v>
      </c>
      <c r="Q62" s="8">
        <v>0</v>
      </c>
      <c r="R62" s="8">
        <v>0</v>
      </c>
      <c r="S62" s="3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3</v>
      </c>
      <c r="AA62" s="8">
        <v>0</v>
      </c>
      <c r="AB62" s="8">
        <v>0</v>
      </c>
      <c r="AC62" s="8">
        <v>0</v>
      </c>
      <c r="AD62" s="3">
        <f t="shared" si="0"/>
        <v>3</v>
      </c>
      <c r="AE62" s="8" t="s">
        <v>117</v>
      </c>
      <c r="AF62" s="3" t="s">
        <v>117</v>
      </c>
      <c r="AG62" s="8" t="s">
        <v>72</v>
      </c>
      <c r="AH62" s="8" t="s">
        <v>323</v>
      </c>
      <c r="AI62" s="11" t="s">
        <v>304</v>
      </c>
      <c r="AJ62" s="6">
        <f t="shared" si="1"/>
        <v>234000</v>
      </c>
      <c r="AK62" s="8" t="s">
        <v>305</v>
      </c>
    </row>
    <row r="63" spans="1:37" x14ac:dyDescent="0.35">
      <c r="A63" s="7" t="s">
        <v>457</v>
      </c>
      <c r="B63" s="8" t="s">
        <v>286</v>
      </c>
      <c r="C63" s="8" t="s">
        <v>458</v>
      </c>
      <c r="D63" s="54" t="s">
        <v>459</v>
      </c>
      <c r="E63" s="8">
        <v>599.70000000000005</v>
      </c>
      <c r="F63" s="8">
        <v>4015.55</v>
      </c>
      <c r="G63" s="8">
        <v>540</v>
      </c>
      <c r="H63" s="9">
        <v>41117</v>
      </c>
      <c r="I63" s="10">
        <v>0.4236111111111111</v>
      </c>
      <c r="J63" s="9">
        <v>41117</v>
      </c>
      <c r="K63" s="10">
        <v>0.43055555555555558</v>
      </c>
      <c r="L63" s="9">
        <v>41117</v>
      </c>
      <c r="M63" s="10">
        <v>0.75694444444444453</v>
      </c>
      <c r="N63" s="8" t="s">
        <v>62</v>
      </c>
      <c r="O63" s="8">
        <v>5</v>
      </c>
      <c r="P63" s="8">
        <v>0</v>
      </c>
      <c r="Q63" s="8">
        <v>0</v>
      </c>
      <c r="R63" s="8">
        <v>0</v>
      </c>
      <c r="S63" s="3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5</v>
      </c>
      <c r="Z63" s="8">
        <v>0</v>
      </c>
      <c r="AA63" s="8">
        <v>0</v>
      </c>
      <c r="AB63" s="8">
        <v>0</v>
      </c>
      <c r="AC63" s="8">
        <v>0</v>
      </c>
      <c r="AD63" s="3">
        <f t="shared" si="0"/>
        <v>5</v>
      </c>
      <c r="AE63" s="8" t="s">
        <v>117</v>
      </c>
      <c r="AF63" s="3" t="s">
        <v>117</v>
      </c>
      <c r="AG63" s="8" t="s">
        <v>57</v>
      </c>
      <c r="AH63" s="8" t="s">
        <v>460</v>
      </c>
      <c r="AI63" s="8" t="s">
        <v>304</v>
      </c>
      <c r="AJ63" s="6">
        <f t="shared" si="1"/>
        <v>400000</v>
      </c>
      <c r="AK63" s="8" t="s">
        <v>305</v>
      </c>
    </row>
    <row r="64" spans="1:37" x14ac:dyDescent="0.35">
      <c r="A64" s="7" t="s">
        <v>461</v>
      </c>
      <c r="B64" s="8" t="s">
        <v>344</v>
      </c>
      <c r="C64" s="8" t="s">
        <v>345</v>
      </c>
      <c r="D64" s="54" t="s">
        <v>456</v>
      </c>
      <c r="E64" s="8">
        <v>4000.5</v>
      </c>
      <c r="F64" s="8">
        <v>556.6</v>
      </c>
      <c r="G64" s="8">
        <v>1261</v>
      </c>
      <c r="H64" s="9">
        <v>41117</v>
      </c>
      <c r="I64" s="10">
        <v>0.44444444444444442</v>
      </c>
      <c r="J64" s="9">
        <v>41117</v>
      </c>
      <c r="K64" s="10">
        <v>0.4513888888888889</v>
      </c>
      <c r="L64" s="9">
        <v>41117</v>
      </c>
      <c r="M64" s="10">
        <v>0.82986111111111116</v>
      </c>
      <c r="N64" s="8" t="s">
        <v>81</v>
      </c>
      <c r="O64" s="8">
        <v>0</v>
      </c>
      <c r="P64" s="8">
        <v>15</v>
      </c>
      <c r="Q64" s="8">
        <v>0</v>
      </c>
      <c r="R64" s="8">
        <v>0</v>
      </c>
      <c r="S64" s="3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15</v>
      </c>
      <c r="AA64" s="8">
        <v>0</v>
      </c>
      <c r="AB64" s="8">
        <v>0</v>
      </c>
      <c r="AC64" s="8">
        <v>0</v>
      </c>
      <c r="AD64" s="3">
        <f t="shared" si="0"/>
        <v>15</v>
      </c>
      <c r="AE64" s="8" t="s">
        <v>117</v>
      </c>
      <c r="AF64" s="3" t="s">
        <v>117</v>
      </c>
      <c r="AG64" s="8" t="s">
        <v>72</v>
      </c>
      <c r="AH64" s="8" t="s">
        <v>462</v>
      </c>
      <c r="AI64" s="8" t="s">
        <v>348</v>
      </c>
      <c r="AJ64" s="6">
        <f t="shared" si="1"/>
        <v>1170000</v>
      </c>
      <c r="AK64" s="8" t="s">
        <v>305</v>
      </c>
    </row>
    <row r="65" spans="1:37" x14ac:dyDescent="0.35">
      <c r="A65" s="7" t="s">
        <v>463</v>
      </c>
      <c r="B65" s="8" t="s">
        <v>316</v>
      </c>
      <c r="C65" s="8" t="s">
        <v>316</v>
      </c>
      <c r="D65" s="54" t="s">
        <v>464</v>
      </c>
      <c r="E65" s="8">
        <v>4045.2</v>
      </c>
      <c r="F65" s="8">
        <v>562</v>
      </c>
      <c r="G65" s="8">
        <v>518</v>
      </c>
      <c r="H65" s="9">
        <v>41117</v>
      </c>
      <c r="I65" s="10">
        <v>0.46527777777777773</v>
      </c>
      <c r="J65" s="9">
        <v>41117</v>
      </c>
      <c r="K65" s="10">
        <v>0.47569444444444442</v>
      </c>
      <c r="L65" s="9">
        <v>41117</v>
      </c>
      <c r="M65" s="10">
        <v>0.66666666666666663</v>
      </c>
      <c r="N65" s="8" t="s">
        <v>70</v>
      </c>
      <c r="O65" s="8">
        <v>0</v>
      </c>
      <c r="P65" s="8">
        <v>2</v>
      </c>
      <c r="Q65" s="8">
        <v>0</v>
      </c>
      <c r="R65" s="8">
        <v>0</v>
      </c>
      <c r="S65" s="3">
        <v>0</v>
      </c>
      <c r="T65" s="8">
        <v>0</v>
      </c>
      <c r="U65" s="8">
        <v>0</v>
      </c>
      <c r="V65" s="8">
        <v>0</v>
      </c>
      <c r="W65" s="8">
        <v>0</v>
      </c>
      <c r="X65" s="8" t="s">
        <v>465</v>
      </c>
      <c r="Y65" s="8">
        <v>0</v>
      </c>
      <c r="Z65" s="8">
        <v>2</v>
      </c>
      <c r="AA65" s="8">
        <v>0</v>
      </c>
      <c r="AB65" s="8">
        <v>0</v>
      </c>
      <c r="AC65" s="8" t="s">
        <v>465</v>
      </c>
      <c r="AD65" s="3">
        <f t="shared" si="0"/>
        <v>2</v>
      </c>
      <c r="AE65" s="8" t="s">
        <v>117</v>
      </c>
      <c r="AF65" s="3" t="s">
        <v>117</v>
      </c>
      <c r="AG65" s="8" t="s">
        <v>72</v>
      </c>
      <c r="AH65" s="8" t="s">
        <v>379</v>
      </c>
      <c r="AI65" s="8" t="s">
        <v>304</v>
      </c>
      <c r="AJ65" s="6">
        <f t="shared" si="1"/>
        <v>156000</v>
      </c>
      <c r="AK65" s="8" t="s">
        <v>305</v>
      </c>
    </row>
    <row r="66" spans="1:37" x14ac:dyDescent="0.35">
      <c r="A66" s="7" t="s">
        <v>466</v>
      </c>
      <c r="B66" s="8" t="s">
        <v>286</v>
      </c>
      <c r="C66" s="8" t="s">
        <v>287</v>
      </c>
      <c r="D66" s="54" t="s">
        <v>467</v>
      </c>
      <c r="E66" s="8">
        <v>602.29999999999995</v>
      </c>
      <c r="F66" s="8">
        <v>4028.75</v>
      </c>
      <c r="G66" s="8" t="s">
        <v>468</v>
      </c>
      <c r="H66" s="9">
        <v>41117</v>
      </c>
      <c r="I66" s="10">
        <v>0.55208333333333337</v>
      </c>
      <c r="J66" s="9">
        <v>41117</v>
      </c>
      <c r="K66" s="10">
        <v>0.5625</v>
      </c>
      <c r="L66" s="9">
        <v>41120</v>
      </c>
      <c r="M66" s="10">
        <v>0.41666666666666669</v>
      </c>
      <c r="N66" s="8" t="s">
        <v>469</v>
      </c>
      <c r="O66" s="8">
        <v>140</v>
      </c>
      <c r="P66" s="8">
        <v>20</v>
      </c>
      <c r="Q66" s="8">
        <v>0</v>
      </c>
      <c r="R66" s="8">
        <v>0</v>
      </c>
      <c r="S66" s="3">
        <v>0</v>
      </c>
      <c r="T66" s="8">
        <v>0</v>
      </c>
      <c r="U66" s="8">
        <v>0</v>
      </c>
      <c r="V66" s="8">
        <v>110</v>
      </c>
      <c r="W66" s="8">
        <v>0</v>
      </c>
      <c r="X66" s="8" t="s">
        <v>470</v>
      </c>
      <c r="Y66" s="8">
        <v>140</v>
      </c>
      <c r="Z66" s="8">
        <v>20</v>
      </c>
      <c r="AA66" s="8">
        <v>110</v>
      </c>
      <c r="AB66" s="8">
        <v>0</v>
      </c>
      <c r="AC66" s="8" t="s">
        <v>471</v>
      </c>
      <c r="AD66" s="3">
        <f t="shared" si="0"/>
        <v>270</v>
      </c>
      <c r="AE66" s="8" t="s">
        <v>117</v>
      </c>
      <c r="AF66" s="3" t="s">
        <v>117</v>
      </c>
      <c r="AG66" s="8" t="s">
        <v>72</v>
      </c>
      <c r="AH66" s="8" t="s">
        <v>472</v>
      </c>
      <c r="AI66" s="8" t="s">
        <v>473</v>
      </c>
      <c r="AJ66" s="6">
        <f t="shared" si="1"/>
        <v>14410000</v>
      </c>
      <c r="AK66" s="8" t="s">
        <v>305</v>
      </c>
    </row>
    <row r="67" spans="1:37" x14ac:dyDescent="0.35">
      <c r="A67" s="7" t="s">
        <v>474</v>
      </c>
      <c r="B67" s="8" t="s">
        <v>409</v>
      </c>
      <c r="C67" s="8" t="s">
        <v>475</v>
      </c>
      <c r="D67" s="54" t="s">
        <v>476</v>
      </c>
      <c r="E67" s="8">
        <v>3999</v>
      </c>
      <c r="F67" s="8">
        <v>557</v>
      </c>
      <c r="G67" s="8">
        <v>813</v>
      </c>
      <c r="H67" s="9">
        <v>41117</v>
      </c>
      <c r="I67" s="10">
        <v>0.5625</v>
      </c>
      <c r="J67" s="9">
        <v>41117</v>
      </c>
      <c r="K67" s="10">
        <v>0.56944444444444442</v>
      </c>
      <c r="L67" s="9">
        <v>41117</v>
      </c>
      <c r="M67" s="10">
        <v>0.61111111111111105</v>
      </c>
      <c r="N67" s="8" t="s">
        <v>62</v>
      </c>
      <c r="O67" s="8">
        <v>0.5</v>
      </c>
      <c r="P67" s="8">
        <v>0</v>
      </c>
      <c r="Q67" s="8">
        <v>0</v>
      </c>
      <c r="R67" s="8">
        <v>0</v>
      </c>
      <c r="S67" s="3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0.5</v>
      </c>
      <c r="Z67" s="8">
        <v>0</v>
      </c>
      <c r="AA67" s="8">
        <v>0</v>
      </c>
      <c r="AB67" s="8">
        <v>0</v>
      </c>
      <c r="AC67" s="8">
        <v>0</v>
      </c>
      <c r="AD67" s="3">
        <f t="shared" si="0"/>
        <v>0.5</v>
      </c>
      <c r="AE67" s="8" t="s">
        <v>117</v>
      </c>
      <c r="AF67" s="3" t="s">
        <v>117</v>
      </c>
      <c r="AG67" s="8" t="s">
        <v>57</v>
      </c>
      <c r="AH67" s="8" t="s">
        <v>379</v>
      </c>
      <c r="AI67" s="8" t="s">
        <v>304</v>
      </c>
      <c r="AJ67" s="6">
        <f t="shared" si="1"/>
        <v>40000</v>
      </c>
      <c r="AK67" s="8" t="s">
        <v>305</v>
      </c>
    </row>
    <row r="68" spans="1:37" x14ac:dyDescent="0.35">
      <c r="A68" s="7" t="s">
        <v>477</v>
      </c>
      <c r="B68" s="8" t="s">
        <v>286</v>
      </c>
      <c r="C68" s="8" t="s">
        <v>458</v>
      </c>
      <c r="D68" s="54" t="s">
        <v>478</v>
      </c>
      <c r="E68" s="8">
        <v>4011</v>
      </c>
      <c r="F68" s="8">
        <v>591</v>
      </c>
      <c r="G68" s="8">
        <v>510</v>
      </c>
      <c r="H68" s="9">
        <v>41117</v>
      </c>
      <c r="I68" s="10">
        <v>0.65277777777777779</v>
      </c>
      <c r="J68" s="9">
        <v>41117</v>
      </c>
      <c r="K68" s="10">
        <v>0.65972222222222221</v>
      </c>
      <c r="L68" s="9">
        <v>41117</v>
      </c>
      <c r="M68" s="10">
        <v>0.70833333333333337</v>
      </c>
      <c r="N68" s="8" t="s">
        <v>62</v>
      </c>
      <c r="O68" s="8">
        <v>2</v>
      </c>
      <c r="P68" s="8">
        <v>0</v>
      </c>
      <c r="Q68" s="8">
        <v>0</v>
      </c>
      <c r="R68" s="8">
        <v>0</v>
      </c>
      <c r="S68" s="3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2</v>
      </c>
      <c r="Z68" s="8">
        <v>0</v>
      </c>
      <c r="AA68" s="8">
        <v>0</v>
      </c>
      <c r="AB68" s="8">
        <v>0</v>
      </c>
      <c r="AC68" s="8">
        <v>0</v>
      </c>
      <c r="AD68" s="3">
        <f t="shared" si="0"/>
        <v>2</v>
      </c>
      <c r="AE68" s="8" t="s">
        <v>117</v>
      </c>
      <c r="AF68" s="3" t="s">
        <v>117</v>
      </c>
      <c r="AG68" s="8" t="s">
        <v>57</v>
      </c>
      <c r="AH68" s="8" t="s">
        <v>479</v>
      </c>
      <c r="AI68" s="8" t="s">
        <v>65</v>
      </c>
      <c r="AJ68" s="6">
        <f t="shared" si="1"/>
        <v>160000</v>
      </c>
      <c r="AK68" s="8" t="s">
        <v>305</v>
      </c>
    </row>
    <row r="69" spans="1:37" x14ac:dyDescent="0.35">
      <c r="A69" s="7" t="s">
        <v>480</v>
      </c>
      <c r="B69" s="8" t="s">
        <v>301</v>
      </c>
      <c r="C69" s="8" t="s">
        <v>481</v>
      </c>
      <c r="D69" s="54" t="s">
        <v>257</v>
      </c>
      <c r="E69" s="8">
        <v>603</v>
      </c>
      <c r="F69" s="8">
        <v>346.5</v>
      </c>
      <c r="G69" s="8">
        <v>755</v>
      </c>
      <c r="H69" s="9">
        <v>41119</v>
      </c>
      <c r="I69" s="10">
        <v>0.57638888888888895</v>
      </c>
      <c r="J69" s="9">
        <v>41119</v>
      </c>
      <c r="K69" s="10">
        <v>0.58333333333333337</v>
      </c>
      <c r="L69" s="9">
        <v>41119</v>
      </c>
      <c r="M69" s="10">
        <v>0.625</v>
      </c>
      <c r="N69" s="8" t="s">
        <v>41</v>
      </c>
      <c r="O69" s="8">
        <v>0</v>
      </c>
      <c r="P69" s="8">
        <v>0</v>
      </c>
      <c r="Q69" s="8">
        <v>0.5</v>
      </c>
      <c r="R69" s="8">
        <v>0</v>
      </c>
      <c r="S69" s="3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0.5</v>
      </c>
      <c r="AB69" s="8">
        <v>0</v>
      </c>
      <c r="AC69" s="8">
        <v>0</v>
      </c>
      <c r="AD69" s="3">
        <f t="shared" si="0"/>
        <v>0.5</v>
      </c>
      <c r="AE69" s="8" t="s">
        <v>117</v>
      </c>
      <c r="AF69" s="3" t="s">
        <v>117</v>
      </c>
      <c r="AG69" s="8" t="s">
        <v>72</v>
      </c>
      <c r="AH69" s="8" t="s">
        <v>482</v>
      </c>
      <c r="AI69" s="8" t="s">
        <v>65</v>
      </c>
      <c r="AJ69" s="6">
        <f t="shared" si="1"/>
        <v>7500</v>
      </c>
      <c r="AK69" s="8" t="s">
        <v>305</v>
      </c>
    </row>
    <row r="70" spans="1:37" x14ac:dyDescent="0.35">
      <c r="A70" s="7" t="s">
        <v>483</v>
      </c>
      <c r="B70" s="8" t="s">
        <v>316</v>
      </c>
      <c r="C70" s="8" t="s">
        <v>316</v>
      </c>
      <c r="D70" s="54" t="s">
        <v>464</v>
      </c>
      <c r="E70" s="8">
        <v>559</v>
      </c>
      <c r="F70" s="8">
        <v>4042</v>
      </c>
      <c r="G70" s="8">
        <v>640</v>
      </c>
      <c r="H70" s="9">
        <v>41120</v>
      </c>
      <c r="I70" s="10">
        <v>0.54166666666666663</v>
      </c>
      <c r="J70" s="9">
        <v>41120</v>
      </c>
      <c r="K70" s="10">
        <v>0.55208333333333337</v>
      </c>
      <c r="L70" s="9">
        <v>41120</v>
      </c>
      <c r="M70" s="10">
        <v>0.8125</v>
      </c>
      <c r="N70" s="8" t="s">
        <v>484</v>
      </c>
      <c r="O70" s="8">
        <v>0</v>
      </c>
      <c r="P70" s="8">
        <v>0</v>
      </c>
      <c r="Q70" s="8">
        <v>13</v>
      </c>
      <c r="R70" s="8">
        <v>0</v>
      </c>
      <c r="S70" s="3">
        <v>0</v>
      </c>
      <c r="T70" s="8">
        <v>0</v>
      </c>
      <c r="U70" s="8">
        <v>0</v>
      </c>
      <c r="V70" s="8">
        <v>0</v>
      </c>
      <c r="W70" s="8">
        <v>0</v>
      </c>
      <c r="X70" s="8" t="s">
        <v>485</v>
      </c>
      <c r="Y70" s="8">
        <v>0</v>
      </c>
      <c r="Z70" s="8">
        <v>13</v>
      </c>
      <c r="AA70" s="8">
        <v>0</v>
      </c>
      <c r="AB70" s="8">
        <v>0</v>
      </c>
      <c r="AC70" s="8" t="s">
        <v>485</v>
      </c>
      <c r="AD70" s="3">
        <f t="shared" si="0"/>
        <v>13</v>
      </c>
      <c r="AE70" s="8" t="s">
        <v>117</v>
      </c>
      <c r="AF70" s="3" t="s">
        <v>117</v>
      </c>
      <c r="AG70" s="8"/>
      <c r="AH70" s="8" t="s">
        <v>486</v>
      </c>
      <c r="AI70" s="8" t="s">
        <v>304</v>
      </c>
      <c r="AJ70" s="6">
        <f t="shared" si="1"/>
        <v>1014000</v>
      </c>
      <c r="AK70" s="8" t="s">
        <v>305</v>
      </c>
    </row>
    <row r="71" spans="1:37" x14ac:dyDescent="0.35">
      <c r="A71" s="7" t="s">
        <v>487</v>
      </c>
      <c r="B71" s="8" t="s">
        <v>488</v>
      </c>
      <c r="C71" s="8" t="s">
        <v>488</v>
      </c>
      <c r="D71" s="54" t="s">
        <v>489</v>
      </c>
      <c r="E71" s="8"/>
      <c r="F71" s="8"/>
      <c r="G71" s="8"/>
      <c r="H71" s="9">
        <v>41120</v>
      </c>
      <c r="I71" s="10">
        <v>0.55208333333333337</v>
      </c>
      <c r="J71" s="9">
        <v>41120</v>
      </c>
      <c r="K71" s="10">
        <v>0.55902777777777779</v>
      </c>
      <c r="L71" s="9">
        <v>41120</v>
      </c>
      <c r="M71" s="10">
        <v>0.69791666666666663</v>
      </c>
      <c r="N71" s="8" t="s">
        <v>41</v>
      </c>
      <c r="O71" s="8">
        <v>0</v>
      </c>
      <c r="P71" s="8">
        <v>0</v>
      </c>
      <c r="Q71" s="8">
        <v>0</v>
      </c>
      <c r="R71" s="8">
        <v>0</v>
      </c>
      <c r="S71" s="3">
        <v>0</v>
      </c>
      <c r="T71" s="8">
        <v>0</v>
      </c>
      <c r="U71" s="8">
        <v>1</v>
      </c>
      <c r="V71" s="8">
        <v>1.5</v>
      </c>
      <c r="W71" s="8">
        <v>0</v>
      </c>
      <c r="X71" s="8">
        <v>0</v>
      </c>
      <c r="Y71" s="8">
        <v>0</v>
      </c>
      <c r="Z71" s="8">
        <v>1</v>
      </c>
      <c r="AA71" s="8">
        <v>1.5</v>
      </c>
      <c r="AB71" s="8">
        <v>0</v>
      </c>
      <c r="AC71" s="8">
        <v>0</v>
      </c>
      <c r="AD71" s="3">
        <f t="shared" si="0"/>
        <v>2.5</v>
      </c>
      <c r="AE71" s="8" t="s">
        <v>117</v>
      </c>
      <c r="AF71" s="3" t="s">
        <v>117</v>
      </c>
      <c r="AG71" s="8" t="s">
        <v>72</v>
      </c>
      <c r="AH71" s="8" t="s">
        <v>482</v>
      </c>
      <c r="AI71" s="8" t="s">
        <v>65</v>
      </c>
      <c r="AJ71" s="6">
        <f t="shared" si="1"/>
        <v>100500</v>
      </c>
      <c r="AK71" s="8" t="s">
        <v>305</v>
      </c>
    </row>
    <row r="72" spans="1:37" x14ac:dyDescent="0.35">
      <c r="A72" s="7" t="s">
        <v>490</v>
      </c>
      <c r="B72" s="8" t="s">
        <v>281</v>
      </c>
      <c r="C72" s="8" t="s">
        <v>491</v>
      </c>
      <c r="D72" s="54" t="s">
        <v>492</v>
      </c>
      <c r="E72" s="8">
        <v>617.65</v>
      </c>
      <c r="F72" s="8">
        <v>4030.1</v>
      </c>
      <c r="G72" s="8">
        <v>750</v>
      </c>
      <c r="H72" s="9">
        <v>41120</v>
      </c>
      <c r="I72" s="10">
        <v>0.61458333333333337</v>
      </c>
      <c r="J72" s="9">
        <v>41120</v>
      </c>
      <c r="K72" s="10">
        <v>0.62152777777777779</v>
      </c>
      <c r="L72" s="9">
        <v>41120</v>
      </c>
      <c r="M72" s="10">
        <v>0.77777777777777779</v>
      </c>
      <c r="N72" s="8" t="s">
        <v>81</v>
      </c>
      <c r="O72" s="8">
        <v>0</v>
      </c>
      <c r="P72" s="8">
        <v>2.5</v>
      </c>
      <c r="Q72" s="8">
        <v>0</v>
      </c>
      <c r="R72" s="8">
        <v>0</v>
      </c>
      <c r="S72" s="3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2.5</v>
      </c>
      <c r="AA72" s="8">
        <v>0</v>
      </c>
      <c r="AB72" s="8">
        <v>0</v>
      </c>
      <c r="AC72" s="8">
        <v>0</v>
      </c>
      <c r="AD72" s="3">
        <f t="shared" si="0"/>
        <v>2.5</v>
      </c>
      <c r="AE72" s="8" t="s">
        <v>71</v>
      </c>
      <c r="AF72" s="3" t="s">
        <v>117</v>
      </c>
      <c r="AG72" s="8" t="s">
        <v>493</v>
      </c>
      <c r="AH72" s="8" t="s">
        <v>494</v>
      </c>
      <c r="AI72" s="8" t="s">
        <v>473</v>
      </c>
      <c r="AJ72" s="6">
        <f t="shared" si="1"/>
        <v>195000</v>
      </c>
      <c r="AK72" s="8" t="s">
        <v>305</v>
      </c>
    </row>
    <row r="73" spans="1:37" x14ac:dyDescent="0.35">
      <c r="A73" s="7" t="s">
        <v>495</v>
      </c>
      <c r="B73" s="8" t="s">
        <v>301</v>
      </c>
      <c r="C73" s="8" t="s">
        <v>496</v>
      </c>
      <c r="D73" s="54" t="s">
        <v>497</v>
      </c>
      <c r="E73" s="8">
        <v>610</v>
      </c>
      <c r="F73" s="8">
        <v>348.5</v>
      </c>
      <c r="G73" s="8">
        <v>885</v>
      </c>
      <c r="H73" s="9">
        <v>41121</v>
      </c>
      <c r="I73" s="10">
        <v>0.4548611111111111</v>
      </c>
      <c r="J73" s="9">
        <v>41121</v>
      </c>
      <c r="K73" s="10">
        <v>0.46180555555555558</v>
      </c>
      <c r="L73" s="9">
        <v>41121</v>
      </c>
      <c r="M73" s="10">
        <v>0.48958333333333331</v>
      </c>
      <c r="N73" s="8" t="s">
        <v>41</v>
      </c>
      <c r="O73" s="8">
        <v>0</v>
      </c>
      <c r="P73" s="8">
        <v>0</v>
      </c>
      <c r="Q73" s="8">
        <v>0.25</v>
      </c>
      <c r="R73" s="8">
        <v>0</v>
      </c>
      <c r="S73" s="3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0.25</v>
      </c>
      <c r="AB73" s="8">
        <v>0</v>
      </c>
      <c r="AC73" s="8">
        <v>0</v>
      </c>
      <c r="AD73" s="3">
        <f t="shared" si="0"/>
        <v>0.25</v>
      </c>
      <c r="AE73" s="14" t="s">
        <v>117</v>
      </c>
      <c r="AF73" s="3" t="s">
        <v>117</v>
      </c>
      <c r="AG73" s="8"/>
      <c r="AH73" s="8" t="s">
        <v>498</v>
      </c>
      <c r="AI73" s="8" t="s">
        <v>304</v>
      </c>
      <c r="AJ73" s="6">
        <f t="shared" si="1"/>
        <v>3750</v>
      </c>
      <c r="AK73" s="8" t="s">
        <v>305</v>
      </c>
    </row>
    <row r="74" spans="1:37" x14ac:dyDescent="0.35">
      <c r="A74" s="7" t="s">
        <v>499</v>
      </c>
      <c r="B74" s="8" t="s">
        <v>301</v>
      </c>
      <c r="C74" s="8" t="s">
        <v>496</v>
      </c>
      <c r="D74" s="54" t="s">
        <v>497</v>
      </c>
      <c r="E74" s="8">
        <v>349</v>
      </c>
      <c r="F74" s="8">
        <v>612</v>
      </c>
      <c r="G74" s="8">
        <v>885</v>
      </c>
      <c r="H74" s="9">
        <v>41121</v>
      </c>
      <c r="I74" s="10">
        <v>0.57986111111111105</v>
      </c>
      <c r="J74" s="9">
        <v>41121</v>
      </c>
      <c r="K74" s="10">
        <v>0.57291666666666663</v>
      </c>
      <c r="L74" s="9">
        <v>41121</v>
      </c>
      <c r="M74" s="10">
        <v>0.72916666666666663</v>
      </c>
      <c r="N74" s="8" t="s">
        <v>41</v>
      </c>
      <c r="O74" s="8">
        <v>1</v>
      </c>
      <c r="P74" s="8">
        <v>1</v>
      </c>
      <c r="Q74" s="8">
        <v>2</v>
      </c>
      <c r="R74" s="8">
        <v>0</v>
      </c>
      <c r="S74" s="3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1</v>
      </c>
      <c r="AA74" s="8">
        <v>2</v>
      </c>
      <c r="AB74" s="8">
        <v>0</v>
      </c>
      <c r="AC74" s="8">
        <v>0</v>
      </c>
      <c r="AD74" s="3">
        <f t="shared" si="0"/>
        <v>4</v>
      </c>
      <c r="AE74" s="14" t="s">
        <v>117</v>
      </c>
      <c r="AF74" s="3" t="s">
        <v>117</v>
      </c>
      <c r="AG74" s="8"/>
      <c r="AH74" s="8" t="s">
        <v>498</v>
      </c>
      <c r="AI74" s="8" t="s">
        <v>304</v>
      </c>
      <c r="AJ74" s="6">
        <f t="shared" si="1"/>
        <v>188000</v>
      </c>
      <c r="AK74" s="8" t="s">
        <v>305</v>
      </c>
    </row>
    <row r="75" spans="1:37" x14ac:dyDescent="0.35">
      <c r="A75" s="7" t="s">
        <v>500</v>
      </c>
      <c r="B75" s="8" t="s">
        <v>286</v>
      </c>
      <c r="C75" s="8" t="s">
        <v>501</v>
      </c>
      <c r="D75" s="54" t="s">
        <v>502</v>
      </c>
      <c r="E75" s="8">
        <v>594.9</v>
      </c>
      <c r="F75" s="8">
        <v>4007.8</v>
      </c>
      <c r="G75" s="8">
        <v>803</v>
      </c>
      <c r="H75" s="9">
        <v>41122</v>
      </c>
      <c r="I75" s="13">
        <v>0.47916666666666669</v>
      </c>
      <c r="J75" s="9">
        <v>41122</v>
      </c>
      <c r="K75" s="13">
        <v>0.4861111111111111</v>
      </c>
      <c r="L75" s="9">
        <v>41122</v>
      </c>
      <c r="M75" s="13">
        <v>0.58333333333333337</v>
      </c>
      <c r="N75" s="11" t="s">
        <v>62</v>
      </c>
      <c r="O75" s="14">
        <v>1</v>
      </c>
      <c r="P75" s="14">
        <v>0</v>
      </c>
      <c r="Q75" s="14">
        <v>0</v>
      </c>
      <c r="R75" s="8">
        <v>0</v>
      </c>
      <c r="S75" s="3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14">
        <v>1</v>
      </c>
      <c r="Z75" s="14">
        <v>0</v>
      </c>
      <c r="AA75" s="14">
        <v>0</v>
      </c>
      <c r="AB75" s="8">
        <v>0</v>
      </c>
      <c r="AC75" s="8">
        <v>0</v>
      </c>
      <c r="AD75" s="3">
        <f t="shared" si="0"/>
        <v>1</v>
      </c>
      <c r="AE75" s="14" t="s">
        <v>117</v>
      </c>
      <c r="AF75" s="3" t="s">
        <v>117</v>
      </c>
      <c r="AG75" s="14" t="s">
        <v>57</v>
      </c>
      <c r="AH75" s="14" t="s">
        <v>503</v>
      </c>
      <c r="AI75" s="15" t="s">
        <v>348</v>
      </c>
      <c r="AJ75" s="6">
        <f t="shared" si="1"/>
        <v>80000</v>
      </c>
      <c r="AK75" s="14" t="s">
        <v>305</v>
      </c>
    </row>
    <row r="76" spans="1:37" x14ac:dyDescent="0.35">
      <c r="A76" s="7" t="s">
        <v>504</v>
      </c>
      <c r="B76" s="8" t="s">
        <v>312</v>
      </c>
      <c r="C76" s="8" t="s">
        <v>313</v>
      </c>
      <c r="D76" s="54" t="s">
        <v>505</v>
      </c>
      <c r="E76" s="8" t="s">
        <v>506</v>
      </c>
      <c r="F76" s="8" t="s">
        <v>507</v>
      </c>
      <c r="G76" s="8">
        <v>680</v>
      </c>
      <c r="H76" s="9">
        <v>41122</v>
      </c>
      <c r="I76" s="13">
        <v>0.54166666666666663</v>
      </c>
      <c r="J76" s="9">
        <v>41122</v>
      </c>
      <c r="K76" s="13">
        <v>0.55208333333333337</v>
      </c>
      <c r="L76" s="9">
        <v>41122</v>
      </c>
      <c r="M76" s="13">
        <v>0.72916666666666663</v>
      </c>
      <c r="N76" s="8" t="s">
        <v>484</v>
      </c>
      <c r="O76" s="14">
        <v>0</v>
      </c>
      <c r="P76" s="14">
        <v>6</v>
      </c>
      <c r="Q76" s="14">
        <v>4</v>
      </c>
      <c r="R76" s="8">
        <v>0</v>
      </c>
      <c r="S76" s="3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14">
        <v>0</v>
      </c>
      <c r="Z76" s="14">
        <v>6</v>
      </c>
      <c r="AA76" s="14">
        <v>4</v>
      </c>
      <c r="AB76" s="8">
        <v>0</v>
      </c>
      <c r="AC76" s="8">
        <v>0</v>
      </c>
      <c r="AD76" s="3">
        <f t="shared" si="0"/>
        <v>10</v>
      </c>
      <c r="AE76" s="14" t="s">
        <v>117</v>
      </c>
      <c r="AF76" s="3" t="s">
        <v>117</v>
      </c>
      <c r="AG76" s="14" t="s">
        <v>57</v>
      </c>
      <c r="AH76" s="8" t="s">
        <v>508</v>
      </c>
      <c r="AI76" s="15" t="s">
        <v>304</v>
      </c>
      <c r="AJ76" s="6">
        <f t="shared" si="1"/>
        <v>528000</v>
      </c>
      <c r="AK76" s="14" t="s">
        <v>305</v>
      </c>
    </row>
    <row r="77" spans="1:37" x14ac:dyDescent="0.35">
      <c r="A77" s="7" t="s">
        <v>509</v>
      </c>
      <c r="B77" s="8" t="s">
        <v>316</v>
      </c>
      <c r="C77" s="8" t="s">
        <v>510</v>
      </c>
      <c r="D77" s="54" t="s">
        <v>511</v>
      </c>
      <c r="E77" s="8">
        <v>572.6</v>
      </c>
      <c r="F77" s="8">
        <v>4041.2</v>
      </c>
      <c r="G77" s="8">
        <v>650</v>
      </c>
      <c r="H77" s="9">
        <v>41122</v>
      </c>
      <c r="I77" s="13">
        <v>0.61458333333333337</v>
      </c>
      <c r="J77" s="9">
        <v>41122</v>
      </c>
      <c r="K77" s="13">
        <v>0.625</v>
      </c>
      <c r="L77" s="9">
        <v>41122</v>
      </c>
      <c r="M77" s="13">
        <v>0.75</v>
      </c>
      <c r="N77" s="8" t="s">
        <v>40</v>
      </c>
      <c r="O77" s="14">
        <v>0</v>
      </c>
      <c r="P77" s="14">
        <v>12</v>
      </c>
      <c r="Q77" s="14">
        <v>0</v>
      </c>
      <c r="R77" s="8">
        <v>0</v>
      </c>
      <c r="S77" s="3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14">
        <v>0</v>
      </c>
      <c r="Z77" s="14">
        <v>12</v>
      </c>
      <c r="AA77" s="14">
        <v>0</v>
      </c>
      <c r="AB77" s="8">
        <v>0</v>
      </c>
      <c r="AC77" s="8">
        <v>0</v>
      </c>
      <c r="AD77" s="3">
        <f t="shared" si="0"/>
        <v>12</v>
      </c>
      <c r="AE77" s="14" t="s">
        <v>117</v>
      </c>
      <c r="AF77" s="3" t="s">
        <v>117</v>
      </c>
      <c r="AG77" s="14" t="s">
        <v>57</v>
      </c>
      <c r="AH77" s="8" t="s">
        <v>462</v>
      </c>
      <c r="AI77" s="14" t="s">
        <v>304</v>
      </c>
      <c r="AJ77" s="6">
        <f t="shared" si="1"/>
        <v>936000</v>
      </c>
      <c r="AK77" s="14" t="s">
        <v>305</v>
      </c>
    </row>
    <row r="78" spans="1:37" x14ac:dyDescent="0.35">
      <c r="A78" s="7" t="s">
        <v>512</v>
      </c>
      <c r="B78" s="8" t="s">
        <v>316</v>
      </c>
      <c r="C78" s="8" t="s">
        <v>316</v>
      </c>
      <c r="D78" s="54" t="s">
        <v>513</v>
      </c>
      <c r="E78" s="8">
        <v>559.79999999999995</v>
      </c>
      <c r="F78" s="8">
        <v>4042.1</v>
      </c>
      <c r="G78" s="8">
        <v>640</v>
      </c>
      <c r="H78" s="9">
        <v>41122</v>
      </c>
      <c r="I78" s="13">
        <v>0.76388888888888884</v>
      </c>
      <c r="J78" s="9" t="s">
        <v>318</v>
      </c>
      <c r="K78" s="10" t="s">
        <v>318</v>
      </c>
      <c r="L78" s="9">
        <v>41122</v>
      </c>
      <c r="M78" s="13">
        <v>0.85416666666666663</v>
      </c>
      <c r="N78" s="8" t="s">
        <v>62</v>
      </c>
      <c r="O78" s="14">
        <v>0</v>
      </c>
      <c r="P78" s="14">
        <v>0</v>
      </c>
      <c r="Q78" s="14">
        <v>0</v>
      </c>
      <c r="R78" s="8">
        <v>0</v>
      </c>
      <c r="S78" s="3">
        <v>0</v>
      </c>
      <c r="T78" s="14">
        <v>1</v>
      </c>
      <c r="U78" s="8">
        <v>0</v>
      </c>
      <c r="V78" s="8">
        <v>0</v>
      </c>
      <c r="W78" s="8">
        <v>0</v>
      </c>
      <c r="X78" s="8">
        <v>0</v>
      </c>
      <c r="Y78" s="14">
        <v>1</v>
      </c>
      <c r="Z78" s="14">
        <v>0</v>
      </c>
      <c r="AA78" s="14">
        <v>0</v>
      </c>
      <c r="AB78" s="8">
        <v>0</v>
      </c>
      <c r="AC78" s="8">
        <v>0</v>
      </c>
      <c r="AD78" s="3">
        <f t="shared" ref="AD78:AD141" si="2">(Y78+Z78+AA78)</f>
        <v>1</v>
      </c>
      <c r="AE78" s="14" t="s">
        <v>117</v>
      </c>
      <c r="AF78" s="3" t="s">
        <v>117</v>
      </c>
      <c r="AG78" s="14" t="s">
        <v>175</v>
      </c>
      <c r="AH78" s="8" t="s">
        <v>462</v>
      </c>
      <c r="AI78" s="14" t="s">
        <v>175</v>
      </c>
      <c r="AJ78" s="6">
        <f t="shared" ref="AJ78:AJ141" si="3">(Y78*80000)+(Z78*260*300)+(AA78*500*30)</f>
        <v>80000</v>
      </c>
      <c r="AK78" s="14" t="s">
        <v>305</v>
      </c>
    </row>
    <row r="79" spans="1:37" x14ac:dyDescent="0.35">
      <c r="A79" s="7" t="s">
        <v>514</v>
      </c>
      <c r="B79" s="8" t="s">
        <v>316</v>
      </c>
      <c r="C79" s="8" t="s">
        <v>316</v>
      </c>
      <c r="D79" s="54" t="s">
        <v>515</v>
      </c>
      <c r="E79" s="8">
        <v>562.6</v>
      </c>
      <c r="F79" s="8">
        <v>4044.9</v>
      </c>
      <c r="G79" s="8">
        <v>580</v>
      </c>
      <c r="H79" s="9">
        <v>41122</v>
      </c>
      <c r="I79" s="13">
        <v>0.77083333333333337</v>
      </c>
      <c r="J79" s="9" t="s">
        <v>318</v>
      </c>
      <c r="K79" s="10" t="s">
        <v>318</v>
      </c>
      <c r="L79" s="9">
        <v>41122</v>
      </c>
      <c r="M79" s="13">
        <v>0.86805555555555547</v>
      </c>
      <c r="N79" s="8" t="s">
        <v>41</v>
      </c>
      <c r="O79" s="14">
        <v>0</v>
      </c>
      <c r="P79" s="14">
        <v>2</v>
      </c>
      <c r="Q79" s="14">
        <v>3</v>
      </c>
      <c r="R79" s="8">
        <v>0</v>
      </c>
      <c r="S79" s="3">
        <v>0</v>
      </c>
      <c r="T79" s="14">
        <v>0</v>
      </c>
      <c r="U79" s="8">
        <v>0</v>
      </c>
      <c r="V79" s="8">
        <v>0</v>
      </c>
      <c r="W79" s="8">
        <v>0</v>
      </c>
      <c r="X79" s="8">
        <v>0</v>
      </c>
      <c r="Y79" s="14">
        <v>0</v>
      </c>
      <c r="Z79" s="14">
        <v>2</v>
      </c>
      <c r="AA79" s="14">
        <v>3</v>
      </c>
      <c r="AB79" s="8">
        <v>0</v>
      </c>
      <c r="AC79" s="8">
        <v>0</v>
      </c>
      <c r="AD79" s="3">
        <f t="shared" si="2"/>
        <v>5</v>
      </c>
      <c r="AE79" s="14" t="s">
        <v>117</v>
      </c>
      <c r="AF79" s="3" t="s">
        <v>117</v>
      </c>
      <c r="AG79" s="14" t="s">
        <v>175</v>
      </c>
      <c r="AH79" s="8" t="s">
        <v>462</v>
      </c>
      <c r="AI79" s="15" t="s">
        <v>175</v>
      </c>
      <c r="AJ79" s="6">
        <f t="shared" si="3"/>
        <v>201000</v>
      </c>
      <c r="AK79" s="14" t="s">
        <v>305</v>
      </c>
    </row>
    <row r="80" spans="1:37" x14ac:dyDescent="0.35">
      <c r="A80" s="7" t="s">
        <v>516</v>
      </c>
      <c r="B80" s="8" t="s">
        <v>312</v>
      </c>
      <c r="C80" s="8" t="s">
        <v>313</v>
      </c>
      <c r="D80" s="54" t="s">
        <v>517</v>
      </c>
      <c r="E80" s="8">
        <v>4033.3</v>
      </c>
      <c r="F80" s="8">
        <v>584.70000000000005</v>
      </c>
      <c r="G80" s="8">
        <v>800</v>
      </c>
      <c r="H80" s="9">
        <v>41122</v>
      </c>
      <c r="I80" s="13">
        <v>0.97916666666666663</v>
      </c>
      <c r="J80" s="9">
        <v>41122</v>
      </c>
      <c r="K80" s="13">
        <v>0.98611111111111116</v>
      </c>
      <c r="L80" s="9">
        <v>41123</v>
      </c>
      <c r="M80" s="13">
        <v>0.58333333333333337</v>
      </c>
      <c r="N80" s="8" t="s">
        <v>484</v>
      </c>
      <c r="O80" s="14">
        <v>0</v>
      </c>
      <c r="P80" s="14">
        <v>3</v>
      </c>
      <c r="Q80" s="14">
        <v>0</v>
      </c>
      <c r="R80" s="8">
        <v>0</v>
      </c>
      <c r="S80" s="3">
        <v>0</v>
      </c>
      <c r="T80" s="14">
        <v>0</v>
      </c>
      <c r="U80" s="8">
        <v>0</v>
      </c>
      <c r="V80" s="8">
        <v>0</v>
      </c>
      <c r="W80" s="8">
        <v>0</v>
      </c>
      <c r="X80" s="8">
        <v>0</v>
      </c>
      <c r="Y80" s="14">
        <v>0</v>
      </c>
      <c r="Z80" s="14">
        <v>3</v>
      </c>
      <c r="AA80" s="14">
        <v>0</v>
      </c>
      <c r="AB80" s="8">
        <v>0</v>
      </c>
      <c r="AC80" s="8">
        <v>0</v>
      </c>
      <c r="AD80" s="3">
        <f t="shared" si="2"/>
        <v>3</v>
      </c>
      <c r="AE80" s="14" t="s">
        <v>117</v>
      </c>
      <c r="AF80" s="3" t="s">
        <v>117</v>
      </c>
      <c r="AG80" s="14" t="s">
        <v>57</v>
      </c>
      <c r="AH80" s="8" t="s">
        <v>379</v>
      </c>
      <c r="AI80" s="14" t="s">
        <v>304</v>
      </c>
      <c r="AJ80" s="6">
        <f t="shared" si="3"/>
        <v>234000</v>
      </c>
      <c r="AK80" s="14" t="s">
        <v>305</v>
      </c>
    </row>
    <row r="81" spans="1:37" x14ac:dyDescent="0.35">
      <c r="A81" s="7" t="s">
        <v>518</v>
      </c>
      <c r="B81" s="8" t="s">
        <v>316</v>
      </c>
      <c r="C81" s="8" t="s">
        <v>316</v>
      </c>
      <c r="D81" s="54" t="s">
        <v>519</v>
      </c>
      <c r="E81" s="8">
        <v>560.6</v>
      </c>
      <c r="F81" s="8">
        <v>4047.8</v>
      </c>
      <c r="G81" s="8">
        <v>800</v>
      </c>
      <c r="H81" s="9">
        <v>41123</v>
      </c>
      <c r="I81" s="13">
        <v>0.50694444444444442</v>
      </c>
      <c r="J81" s="9" t="s">
        <v>318</v>
      </c>
      <c r="K81" s="10" t="s">
        <v>318</v>
      </c>
      <c r="L81" s="9">
        <v>41123</v>
      </c>
      <c r="M81" s="13">
        <v>0.81944444444444453</v>
      </c>
      <c r="N81" s="8" t="s">
        <v>484</v>
      </c>
      <c r="O81" s="16">
        <v>6</v>
      </c>
      <c r="P81" s="16">
        <v>0</v>
      </c>
      <c r="Q81" s="17">
        <v>0</v>
      </c>
      <c r="R81" s="8">
        <v>0</v>
      </c>
      <c r="S81" s="3">
        <v>0</v>
      </c>
      <c r="T81" s="14">
        <v>0</v>
      </c>
      <c r="U81" s="8">
        <v>0</v>
      </c>
      <c r="V81" s="8">
        <v>0</v>
      </c>
      <c r="W81" s="8">
        <v>0</v>
      </c>
      <c r="X81" s="8">
        <v>0</v>
      </c>
      <c r="Y81" s="16">
        <v>6</v>
      </c>
      <c r="Z81" s="16">
        <v>0</v>
      </c>
      <c r="AA81" s="17">
        <v>0</v>
      </c>
      <c r="AB81" s="8">
        <v>0</v>
      </c>
      <c r="AC81" s="8">
        <v>0</v>
      </c>
      <c r="AD81" s="3">
        <f t="shared" si="2"/>
        <v>6</v>
      </c>
      <c r="AE81" s="14" t="s">
        <v>117</v>
      </c>
      <c r="AF81" s="3" t="s">
        <v>117</v>
      </c>
      <c r="AG81" s="14" t="s">
        <v>175</v>
      </c>
      <c r="AH81" s="8" t="s">
        <v>520</v>
      </c>
      <c r="AI81" s="15" t="s">
        <v>175</v>
      </c>
      <c r="AJ81" s="6">
        <f t="shared" si="3"/>
        <v>480000</v>
      </c>
      <c r="AK81" s="14" t="s">
        <v>305</v>
      </c>
    </row>
    <row r="82" spans="1:37" x14ac:dyDescent="0.35">
      <c r="A82" s="7" t="s">
        <v>521</v>
      </c>
      <c r="B82" s="8" t="s">
        <v>357</v>
      </c>
      <c r="C82" s="8" t="s">
        <v>447</v>
      </c>
      <c r="D82" s="54" t="s">
        <v>522</v>
      </c>
      <c r="E82" s="8">
        <v>540.4</v>
      </c>
      <c r="F82" s="8">
        <v>4036.8</v>
      </c>
      <c r="G82" s="8">
        <v>850</v>
      </c>
      <c r="H82" s="9">
        <v>41123</v>
      </c>
      <c r="I82" s="13">
        <v>0.53472222222222221</v>
      </c>
      <c r="J82" s="9">
        <v>41123</v>
      </c>
      <c r="K82" s="13">
        <v>0.54861111111111105</v>
      </c>
      <c r="L82" s="9">
        <v>41123</v>
      </c>
      <c r="M82" s="13">
        <v>0.60416666666666663</v>
      </c>
      <c r="N82" s="8" t="s">
        <v>62</v>
      </c>
      <c r="O82" s="14">
        <v>0</v>
      </c>
      <c r="P82" s="14">
        <v>0</v>
      </c>
      <c r="Q82" s="14">
        <v>0</v>
      </c>
      <c r="R82" s="8">
        <v>0</v>
      </c>
      <c r="S82" s="3">
        <v>0</v>
      </c>
      <c r="T82" s="14">
        <v>1</v>
      </c>
      <c r="U82" s="8">
        <v>0</v>
      </c>
      <c r="V82" s="8">
        <v>0</v>
      </c>
      <c r="W82" s="8">
        <v>0</v>
      </c>
      <c r="X82" s="8">
        <v>0</v>
      </c>
      <c r="Y82" s="14">
        <v>1</v>
      </c>
      <c r="Z82" s="14">
        <v>0</v>
      </c>
      <c r="AA82" s="14">
        <v>0</v>
      </c>
      <c r="AB82" s="8">
        <v>0</v>
      </c>
      <c r="AC82" s="8">
        <v>0</v>
      </c>
      <c r="AD82" s="3">
        <f t="shared" si="2"/>
        <v>1</v>
      </c>
      <c r="AE82" s="14" t="s">
        <v>117</v>
      </c>
      <c r="AF82" s="3" t="s">
        <v>117</v>
      </c>
      <c r="AG82" s="14" t="s">
        <v>57</v>
      </c>
      <c r="AH82" s="8" t="s">
        <v>520</v>
      </c>
      <c r="AI82" s="14" t="s">
        <v>65</v>
      </c>
      <c r="AJ82" s="6">
        <f t="shared" si="3"/>
        <v>80000</v>
      </c>
      <c r="AK82" s="14" t="s">
        <v>305</v>
      </c>
    </row>
    <row r="83" spans="1:37" x14ac:dyDescent="0.35">
      <c r="A83" s="7" t="s">
        <v>523</v>
      </c>
      <c r="B83" s="8" t="s">
        <v>301</v>
      </c>
      <c r="C83" s="8" t="s">
        <v>481</v>
      </c>
      <c r="D83" s="54" t="s">
        <v>257</v>
      </c>
      <c r="E83" s="8" t="s">
        <v>524</v>
      </c>
      <c r="F83" s="8" t="s">
        <v>525</v>
      </c>
      <c r="G83" s="8">
        <v>750</v>
      </c>
      <c r="H83" s="9">
        <v>41123</v>
      </c>
      <c r="I83" s="13">
        <v>0.53472222222222221</v>
      </c>
      <c r="J83" s="9">
        <v>41123</v>
      </c>
      <c r="K83" s="13">
        <v>0.54166666666666663</v>
      </c>
      <c r="L83" s="9">
        <v>41124</v>
      </c>
      <c r="M83" s="13">
        <v>0.5</v>
      </c>
      <c r="N83" s="8" t="s">
        <v>526</v>
      </c>
      <c r="O83" s="14">
        <v>85</v>
      </c>
      <c r="P83" s="14">
        <v>0</v>
      </c>
      <c r="Q83" s="14">
        <v>15</v>
      </c>
      <c r="R83" s="8">
        <v>0</v>
      </c>
      <c r="S83" s="3">
        <v>0</v>
      </c>
      <c r="T83" s="14">
        <v>0</v>
      </c>
      <c r="U83" s="8">
        <v>0</v>
      </c>
      <c r="V83" s="8">
        <v>0</v>
      </c>
      <c r="W83" s="8">
        <v>0</v>
      </c>
      <c r="X83" s="8">
        <v>0</v>
      </c>
      <c r="Y83" s="14">
        <v>85</v>
      </c>
      <c r="Z83" s="14">
        <v>0</v>
      </c>
      <c r="AA83" s="14">
        <v>15</v>
      </c>
      <c r="AB83" s="8">
        <v>0</v>
      </c>
      <c r="AC83" s="8">
        <v>0</v>
      </c>
      <c r="AD83" s="3">
        <f t="shared" si="2"/>
        <v>100</v>
      </c>
      <c r="AE83" s="14" t="s">
        <v>117</v>
      </c>
      <c r="AF83" s="3" t="s">
        <v>117</v>
      </c>
      <c r="AG83" s="14" t="s">
        <v>57</v>
      </c>
      <c r="AH83" s="8" t="s">
        <v>527</v>
      </c>
      <c r="AI83" s="15" t="s">
        <v>304</v>
      </c>
      <c r="AJ83" s="6">
        <f t="shared" si="3"/>
        <v>7025000</v>
      </c>
      <c r="AK83" s="14" t="s">
        <v>305</v>
      </c>
    </row>
    <row r="84" spans="1:37" x14ac:dyDescent="0.35">
      <c r="A84" s="7" t="s">
        <v>528</v>
      </c>
      <c r="B84" s="8" t="s">
        <v>286</v>
      </c>
      <c r="C84" s="8" t="s">
        <v>414</v>
      </c>
      <c r="D84" s="54" t="s">
        <v>529</v>
      </c>
      <c r="E84" s="8" t="s">
        <v>530</v>
      </c>
      <c r="F84" s="8" t="s">
        <v>531</v>
      </c>
      <c r="G84" s="8">
        <v>750</v>
      </c>
      <c r="H84" s="9">
        <v>41123</v>
      </c>
      <c r="I84" s="13">
        <v>0.57291666666666663</v>
      </c>
      <c r="J84" s="9">
        <v>41123</v>
      </c>
      <c r="K84" s="13">
        <v>0.57986111111111105</v>
      </c>
      <c r="L84" s="9">
        <v>41124</v>
      </c>
      <c r="M84" s="13">
        <v>0.75</v>
      </c>
      <c r="N84" s="8" t="s">
        <v>62</v>
      </c>
      <c r="O84" s="14">
        <v>250</v>
      </c>
      <c r="P84" s="14">
        <v>45</v>
      </c>
      <c r="Q84" s="14">
        <v>0</v>
      </c>
      <c r="R84" s="8">
        <v>0</v>
      </c>
      <c r="S84" s="14" t="s">
        <v>532</v>
      </c>
      <c r="T84" s="14">
        <v>0</v>
      </c>
      <c r="U84" s="8">
        <v>0</v>
      </c>
      <c r="V84" s="8">
        <v>0</v>
      </c>
      <c r="W84" s="8">
        <v>0</v>
      </c>
      <c r="X84" s="8">
        <v>0</v>
      </c>
      <c r="Y84" s="14">
        <v>250</v>
      </c>
      <c r="Z84" s="14">
        <v>45</v>
      </c>
      <c r="AA84" s="14">
        <v>0</v>
      </c>
      <c r="AB84" s="8">
        <v>0</v>
      </c>
      <c r="AC84" s="14" t="s">
        <v>532</v>
      </c>
      <c r="AD84" s="3">
        <f t="shared" si="2"/>
        <v>295</v>
      </c>
      <c r="AE84" s="14" t="s">
        <v>117</v>
      </c>
      <c r="AF84" s="3" t="s">
        <v>117</v>
      </c>
      <c r="AG84" s="14" t="s">
        <v>57</v>
      </c>
      <c r="AH84" s="14" t="s">
        <v>533</v>
      </c>
      <c r="AI84" s="14" t="s">
        <v>304</v>
      </c>
      <c r="AJ84" s="6">
        <f t="shared" si="3"/>
        <v>23510000</v>
      </c>
      <c r="AK84" s="14" t="s">
        <v>305</v>
      </c>
    </row>
    <row r="85" spans="1:37" x14ac:dyDescent="0.35">
      <c r="A85" s="7" t="s">
        <v>534</v>
      </c>
      <c r="B85" s="8" t="s">
        <v>312</v>
      </c>
      <c r="C85" s="8" t="s">
        <v>312</v>
      </c>
      <c r="D85" s="54" t="s">
        <v>535</v>
      </c>
      <c r="E85" s="8" t="s">
        <v>536</v>
      </c>
      <c r="F85" s="8" t="s">
        <v>537</v>
      </c>
      <c r="G85" s="8">
        <v>600</v>
      </c>
      <c r="H85" s="9">
        <v>41123</v>
      </c>
      <c r="I85" s="13">
        <v>0.86458333333333337</v>
      </c>
      <c r="J85" s="9">
        <v>41123</v>
      </c>
      <c r="K85" s="13">
        <v>0.875</v>
      </c>
      <c r="L85" s="9">
        <v>41124</v>
      </c>
      <c r="M85" s="13">
        <v>0.52083333333333337</v>
      </c>
      <c r="N85" s="8" t="s">
        <v>62</v>
      </c>
      <c r="O85" s="14">
        <v>2</v>
      </c>
      <c r="P85" s="14">
        <v>0</v>
      </c>
      <c r="Q85" s="14">
        <v>0</v>
      </c>
      <c r="R85" s="8">
        <v>0</v>
      </c>
      <c r="S85" s="14" t="s">
        <v>538</v>
      </c>
      <c r="T85" s="14">
        <v>0</v>
      </c>
      <c r="U85" s="8">
        <v>0</v>
      </c>
      <c r="V85" s="8">
        <v>0</v>
      </c>
      <c r="W85" s="8">
        <v>0</v>
      </c>
      <c r="X85" s="8">
        <v>0</v>
      </c>
      <c r="Y85" s="14">
        <v>2</v>
      </c>
      <c r="Z85" s="14">
        <v>0</v>
      </c>
      <c r="AA85" s="14">
        <v>0</v>
      </c>
      <c r="AB85" s="8">
        <v>0</v>
      </c>
      <c r="AC85" s="14" t="s">
        <v>538</v>
      </c>
      <c r="AD85" s="3">
        <f t="shared" si="2"/>
        <v>2</v>
      </c>
      <c r="AE85" s="14" t="s">
        <v>117</v>
      </c>
      <c r="AF85" s="3" t="s">
        <v>117</v>
      </c>
      <c r="AG85" s="14" t="s">
        <v>57</v>
      </c>
      <c r="AH85" s="8" t="s">
        <v>539</v>
      </c>
      <c r="AI85" s="14" t="s">
        <v>65</v>
      </c>
      <c r="AJ85" s="6">
        <f t="shared" si="3"/>
        <v>160000</v>
      </c>
      <c r="AK85" s="14" t="s">
        <v>305</v>
      </c>
    </row>
    <row r="86" spans="1:37" x14ac:dyDescent="0.35">
      <c r="A86" s="7" t="s">
        <v>540</v>
      </c>
      <c r="B86" s="8" t="s">
        <v>312</v>
      </c>
      <c r="C86" s="8" t="s">
        <v>312</v>
      </c>
      <c r="D86" s="54" t="s">
        <v>541</v>
      </c>
      <c r="E86" s="12" t="s">
        <v>542</v>
      </c>
      <c r="F86" s="12" t="s">
        <v>543</v>
      </c>
      <c r="G86" s="12">
        <v>871</v>
      </c>
      <c r="H86" s="9">
        <v>41123</v>
      </c>
      <c r="I86" s="13">
        <v>0.90972222222222221</v>
      </c>
      <c r="J86" s="9">
        <v>41123</v>
      </c>
      <c r="K86" s="13">
        <v>0.91666666666666663</v>
      </c>
      <c r="L86" s="9">
        <v>41124</v>
      </c>
      <c r="M86" s="13">
        <v>0.5</v>
      </c>
      <c r="N86" s="8" t="s">
        <v>41</v>
      </c>
      <c r="O86" s="14">
        <v>0</v>
      </c>
      <c r="P86" s="14">
        <v>0</v>
      </c>
      <c r="Q86" s="14">
        <v>6</v>
      </c>
      <c r="R86" s="8">
        <v>0</v>
      </c>
      <c r="S86" s="3">
        <v>0</v>
      </c>
      <c r="T86" s="14">
        <v>0</v>
      </c>
      <c r="U86" s="8">
        <v>0</v>
      </c>
      <c r="V86" s="8">
        <v>0</v>
      </c>
      <c r="W86" s="8">
        <v>0</v>
      </c>
      <c r="X86" s="8">
        <v>0</v>
      </c>
      <c r="Y86" s="14">
        <v>0</v>
      </c>
      <c r="Z86" s="14">
        <v>0</v>
      </c>
      <c r="AA86" s="14">
        <v>6</v>
      </c>
      <c r="AB86" s="8">
        <v>0</v>
      </c>
      <c r="AC86" s="14">
        <v>0</v>
      </c>
      <c r="AD86" s="3">
        <f t="shared" si="2"/>
        <v>6</v>
      </c>
      <c r="AE86" s="14" t="s">
        <v>117</v>
      </c>
      <c r="AF86" s="3" t="s">
        <v>117</v>
      </c>
      <c r="AG86" s="14" t="s">
        <v>57</v>
      </c>
      <c r="AH86" s="8" t="s">
        <v>544</v>
      </c>
      <c r="AI86" s="14" t="s">
        <v>65</v>
      </c>
      <c r="AJ86" s="6">
        <f t="shared" si="3"/>
        <v>90000</v>
      </c>
      <c r="AK86" s="14" t="s">
        <v>305</v>
      </c>
    </row>
    <row r="87" spans="1:37" x14ac:dyDescent="0.35">
      <c r="A87" s="7" t="s">
        <v>545</v>
      </c>
      <c r="B87" s="8" t="s">
        <v>546</v>
      </c>
      <c r="C87" s="8" t="s">
        <v>547</v>
      </c>
      <c r="D87" s="54" t="s">
        <v>548</v>
      </c>
      <c r="E87" s="8">
        <v>553.20000000000005</v>
      </c>
      <c r="F87" s="8">
        <v>4037.1</v>
      </c>
      <c r="G87" s="8">
        <v>550</v>
      </c>
      <c r="H87" s="9">
        <v>41124</v>
      </c>
      <c r="I87" s="13">
        <v>0.54861111111111105</v>
      </c>
      <c r="J87" s="9">
        <v>41124</v>
      </c>
      <c r="K87" s="13">
        <v>0.55555555555555558</v>
      </c>
      <c r="L87" s="9">
        <v>41124</v>
      </c>
      <c r="M87" s="13">
        <v>0.65625</v>
      </c>
      <c r="N87" s="8" t="s">
        <v>62</v>
      </c>
      <c r="O87" s="14">
        <v>0</v>
      </c>
      <c r="P87" s="14">
        <v>0</v>
      </c>
      <c r="Q87" s="14">
        <v>0</v>
      </c>
      <c r="R87" s="8">
        <v>0</v>
      </c>
      <c r="S87" s="3">
        <v>0</v>
      </c>
      <c r="T87" s="14">
        <v>40</v>
      </c>
      <c r="U87" s="8">
        <v>0</v>
      </c>
      <c r="V87" s="8">
        <v>0</v>
      </c>
      <c r="W87" s="8">
        <v>0</v>
      </c>
      <c r="X87" s="14" t="s">
        <v>549</v>
      </c>
      <c r="Y87" s="14">
        <v>40</v>
      </c>
      <c r="Z87" s="14">
        <v>0</v>
      </c>
      <c r="AA87" s="14">
        <v>0</v>
      </c>
      <c r="AB87" s="8">
        <v>0</v>
      </c>
      <c r="AC87" s="14" t="s">
        <v>549</v>
      </c>
      <c r="AD87" s="3">
        <f t="shared" si="2"/>
        <v>40</v>
      </c>
      <c r="AE87" s="14" t="s">
        <v>117</v>
      </c>
      <c r="AF87" s="3" t="s">
        <v>117</v>
      </c>
      <c r="AG87" s="14" t="s">
        <v>57</v>
      </c>
      <c r="AH87" s="8" t="s">
        <v>379</v>
      </c>
      <c r="AI87" s="14" t="s">
        <v>304</v>
      </c>
      <c r="AJ87" s="6">
        <f t="shared" si="3"/>
        <v>3200000</v>
      </c>
      <c r="AK87" s="14" t="s">
        <v>305</v>
      </c>
    </row>
    <row r="88" spans="1:37" x14ac:dyDescent="0.35">
      <c r="A88" s="7" t="s">
        <v>550</v>
      </c>
      <c r="B88" s="8" t="s">
        <v>357</v>
      </c>
      <c r="C88" s="8" t="s">
        <v>357</v>
      </c>
      <c r="D88" s="54" t="s">
        <v>551</v>
      </c>
      <c r="E88" s="8">
        <v>558.6</v>
      </c>
      <c r="F88" s="8">
        <v>4048.9</v>
      </c>
      <c r="G88" s="8">
        <v>800</v>
      </c>
      <c r="H88" s="9">
        <v>41124</v>
      </c>
      <c r="I88" s="13">
        <v>0.73958333333333337</v>
      </c>
      <c r="J88" s="9" t="s">
        <v>318</v>
      </c>
      <c r="K88" s="10" t="s">
        <v>318</v>
      </c>
      <c r="L88" s="9">
        <v>41126</v>
      </c>
      <c r="M88" s="13">
        <v>0.41666666666666669</v>
      </c>
      <c r="N88" s="8" t="s">
        <v>484</v>
      </c>
      <c r="O88" s="14">
        <v>0</v>
      </c>
      <c r="P88" s="14">
        <v>9</v>
      </c>
      <c r="Q88" s="14">
        <v>0</v>
      </c>
      <c r="R88" s="8">
        <v>0</v>
      </c>
      <c r="S88" s="3">
        <v>0</v>
      </c>
      <c r="T88" s="14">
        <v>0</v>
      </c>
      <c r="U88" s="8">
        <v>0</v>
      </c>
      <c r="V88" s="8">
        <v>0</v>
      </c>
      <c r="W88" s="8">
        <v>0</v>
      </c>
      <c r="X88" s="14">
        <v>0</v>
      </c>
      <c r="Y88" s="14">
        <v>0</v>
      </c>
      <c r="Z88" s="14">
        <v>9</v>
      </c>
      <c r="AA88" s="14">
        <v>0</v>
      </c>
      <c r="AB88" s="8">
        <v>0</v>
      </c>
      <c r="AC88" s="14">
        <v>0</v>
      </c>
      <c r="AD88" s="3">
        <f t="shared" si="2"/>
        <v>9</v>
      </c>
      <c r="AE88" s="14" t="s">
        <v>117</v>
      </c>
      <c r="AF88" s="3" t="s">
        <v>117</v>
      </c>
      <c r="AG88" s="14" t="s">
        <v>175</v>
      </c>
      <c r="AH88" s="8" t="s">
        <v>379</v>
      </c>
      <c r="AI88" s="14" t="s">
        <v>175</v>
      </c>
      <c r="AJ88" s="6">
        <f t="shared" si="3"/>
        <v>702000</v>
      </c>
      <c r="AK88" s="14" t="s">
        <v>305</v>
      </c>
    </row>
    <row r="89" spans="1:37" x14ac:dyDescent="0.35">
      <c r="A89" s="7" t="s">
        <v>552</v>
      </c>
      <c r="B89" s="8" t="s">
        <v>68</v>
      </c>
      <c r="C89" s="8" t="s">
        <v>345</v>
      </c>
      <c r="D89" s="54" t="s">
        <v>553</v>
      </c>
      <c r="E89" s="8">
        <v>3999.4</v>
      </c>
      <c r="F89" s="8">
        <v>552</v>
      </c>
      <c r="G89" s="8">
        <v>950</v>
      </c>
      <c r="H89" s="9">
        <v>41125</v>
      </c>
      <c r="I89" s="13">
        <v>0.47916666666666669</v>
      </c>
      <c r="J89" s="9">
        <v>41125</v>
      </c>
      <c r="K89" s="13">
        <v>0.48472222222222222</v>
      </c>
      <c r="L89" s="9">
        <v>41125</v>
      </c>
      <c r="M89" s="13">
        <v>0.54166666666666663</v>
      </c>
      <c r="N89" s="8" t="s">
        <v>81</v>
      </c>
      <c r="O89" s="14">
        <v>0</v>
      </c>
      <c r="P89" s="14">
        <v>0</v>
      </c>
      <c r="Q89" s="14">
        <v>0</v>
      </c>
      <c r="R89" s="8">
        <v>0</v>
      </c>
      <c r="S89" s="3">
        <v>0</v>
      </c>
      <c r="T89" s="14">
        <v>0</v>
      </c>
      <c r="U89" s="14">
        <v>0.5</v>
      </c>
      <c r="V89" s="8">
        <v>0</v>
      </c>
      <c r="W89" s="8">
        <v>0</v>
      </c>
      <c r="X89" s="14">
        <v>0</v>
      </c>
      <c r="Y89" s="14">
        <v>0</v>
      </c>
      <c r="Z89" s="14">
        <v>0.5</v>
      </c>
      <c r="AA89" s="14">
        <v>0</v>
      </c>
      <c r="AB89" s="8">
        <v>0</v>
      </c>
      <c r="AC89" s="14">
        <v>0</v>
      </c>
      <c r="AD89" s="3">
        <f t="shared" si="2"/>
        <v>0.5</v>
      </c>
      <c r="AE89" s="14" t="s">
        <v>117</v>
      </c>
      <c r="AF89" s="3" t="s">
        <v>117</v>
      </c>
      <c r="AG89" s="14" t="s">
        <v>554</v>
      </c>
      <c r="AH89" s="14" t="s">
        <v>555</v>
      </c>
      <c r="AI89" s="14" t="s">
        <v>304</v>
      </c>
      <c r="AJ89" s="6">
        <f t="shared" si="3"/>
        <v>39000</v>
      </c>
      <c r="AK89" s="14" t="s">
        <v>305</v>
      </c>
    </row>
    <row r="90" spans="1:37" x14ac:dyDescent="0.35">
      <c r="A90" s="7" t="s">
        <v>556</v>
      </c>
      <c r="B90" s="8" t="s">
        <v>357</v>
      </c>
      <c r="C90" s="8" t="s">
        <v>357</v>
      </c>
      <c r="D90" s="54" t="s">
        <v>557</v>
      </c>
      <c r="E90" s="8">
        <v>557.6</v>
      </c>
      <c r="F90" s="8">
        <v>4048.2</v>
      </c>
      <c r="G90" s="8">
        <v>980</v>
      </c>
      <c r="H90" s="9">
        <v>41125</v>
      </c>
      <c r="I90" s="13">
        <v>0.49652777777777773</v>
      </c>
      <c r="J90" s="9" t="s">
        <v>318</v>
      </c>
      <c r="K90" s="10" t="s">
        <v>318</v>
      </c>
      <c r="L90" s="9">
        <v>41128</v>
      </c>
      <c r="M90" s="13">
        <v>0.44791666666666669</v>
      </c>
      <c r="N90" s="8" t="s">
        <v>484</v>
      </c>
      <c r="O90" s="14">
        <v>0</v>
      </c>
      <c r="P90" s="14">
        <v>80</v>
      </c>
      <c r="Q90" s="14">
        <v>0</v>
      </c>
      <c r="R90" s="8">
        <v>0</v>
      </c>
      <c r="S90" s="3">
        <v>0</v>
      </c>
      <c r="T90" s="14">
        <v>0</v>
      </c>
      <c r="U90" s="14">
        <v>0</v>
      </c>
      <c r="V90" s="8">
        <v>0</v>
      </c>
      <c r="W90" s="8">
        <v>0</v>
      </c>
      <c r="X90" s="14">
        <v>0</v>
      </c>
      <c r="Y90" s="14">
        <v>0</v>
      </c>
      <c r="Z90" s="14">
        <v>80</v>
      </c>
      <c r="AA90" s="14">
        <v>0</v>
      </c>
      <c r="AB90" s="8">
        <v>0</v>
      </c>
      <c r="AC90" s="14">
        <v>0</v>
      </c>
      <c r="AD90" s="3">
        <f t="shared" si="2"/>
        <v>80</v>
      </c>
      <c r="AE90" s="14" t="s">
        <v>117</v>
      </c>
      <c r="AF90" s="3" t="s">
        <v>117</v>
      </c>
      <c r="AG90" s="14" t="s">
        <v>175</v>
      </c>
      <c r="AH90" s="14"/>
      <c r="AI90" s="14" t="s">
        <v>175</v>
      </c>
      <c r="AJ90" s="6">
        <f t="shared" si="3"/>
        <v>6240000</v>
      </c>
      <c r="AK90" s="14" t="s">
        <v>305</v>
      </c>
    </row>
    <row r="91" spans="1:37" x14ac:dyDescent="0.35">
      <c r="A91" s="7" t="s">
        <v>558</v>
      </c>
      <c r="B91" s="8" t="s">
        <v>312</v>
      </c>
      <c r="C91" s="8" t="s">
        <v>313</v>
      </c>
      <c r="D91" s="54" t="s">
        <v>559</v>
      </c>
      <c r="E91" s="8">
        <v>616.5</v>
      </c>
      <c r="F91" s="8">
        <v>341</v>
      </c>
      <c r="G91" s="8">
        <v>600</v>
      </c>
      <c r="H91" s="9">
        <v>41125</v>
      </c>
      <c r="I91" s="13">
        <v>0.65277777777777779</v>
      </c>
      <c r="J91" s="9">
        <v>41125</v>
      </c>
      <c r="K91" s="13">
        <v>0.65972222222222221</v>
      </c>
      <c r="L91" s="9">
        <v>41125</v>
      </c>
      <c r="M91" s="13">
        <v>0.77777777777777779</v>
      </c>
      <c r="N91" s="8" t="s">
        <v>165</v>
      </c>
      <c r="O91" s="14">
        <v>0</v>
      </c>
      <c r="P91" s="14">
        <v>0</v>
      </c>
      <c r="Q91" s="14">
        <v>0</v>
      </c>
      <c r="R91" s="8">
        <v>0</v>
      </c>
      <c r="S91" s="3">
        <v>0</v>
      </c>
      <c r="T91" s="14">
        <v>3</v>
      </c>
      <c r="U91" s="14">
        <v>0</v>
      </c>
      <c r="V91" s="8">
        <v>0</v>
      </c>
      <c r="W91" s="8">
        <v>0</v>
      </c>
      <c r="X91" s="14">
        <v>0</v>
      </c>
      <c r="Y91" s="14">
        <v>3</v>
      </c>
      <c r="Z91" s="14">
        <v>0</v>
      </c>
      <c r="AA91" s="14">
        <v>0</v>
      </c>
      <c r="AB91" s="8">
        <v>0</v>
      </c>
      <c r="AC91" s="14">
        <v>0</v>
      </c>
      <c r="AD91" s="3">
        <f t="shared" si="2"/>
        <v>3</v>
      </c>
      <c r="AE91" s="14" t="s">
        <v>117</v>
      </c>
      <c r="AF91" s="3" t="s">
        <v>117</v>
      </c>
      <c r="AG91" s="14" t="s">
        <v>57</v>
      </c>
      <c r="AH91" s="14" t="s">
        <v>560</v>
      </c>
      <c r="AI91" s="14" t="s">
        <v>304</v>
      </c>
      <c r="AJ91" s="6">
        <f t="shared" si="3"/>
        <v>240000</v>
      </c>
      <c r="AK91" s="14" t="s">
        <v>305</v>
      </c>
    </row>
    <row r="92" spans="1:37" x14ac:dyDescent="0.35">
      <c r="A92" s="7" t="s">
        <v>561</v>
      </c>
      <c r="B92" s="8" t="s">
        <v>357</v>
      </c>
      <c r="C92" s="8" t="s">
        <v>447</v>
      </c>
      <c r="D92" s="54" t="s">
        <v>562</v>
      </c>
      <c r="E92" s="8">
        <v>540.4</v>
      </c>
      <c r="F92" s="8">
        <v>4036.8</v>
      </c>
      <c r="G92" s="8">
        <v>850</v>
      </c>
      <c r="H92" s="9">
        <v>41126</v>
      </c>
      <c r="I92" s="13">
        <v>0.39583333333333331</v>
      </c>
      <c r="J92" s="9">
        <v>41126</v>
      </c>
      <c r="K92" s="13">
        <v>0.40625</v>
      </c>
      <c r="L92" s="9">
        <v>41126</v>
      </c>
      <c r="M92" s="13">
        <v>0.72916666666666663</v>
      </c>
      <c r="N92" s="8" t="s">
        <v>62</v>
      </c>
      <c r="O92" s="14">
        <v>0</v>
      </c>
      <c r="P92" s="14">
        <v>0</v>
      </c>
      <c r="Q92" s="14">
        <v>0</v>
      </c>
      <c r="R92" s="8">
        <v>0</v>
      </c>
      <c r="S92" s="3">
        <v>0</v>
      </c>
      <c r="T92" s="14">
        <v>32</v>
      </c>
      <c r="U92" s="14">
        <v>0</v>
      </c>
      <c r="V92" s="8">
        <v>0</v>
      </c>
      <c r="W92" s="8">
        <v>0</v>
      </c>
      <c r="X92" s="14">
        <v>0</v>
      </c>
      <c r="Y92" s="14">
        <v>32</v>
      </c>
      <c r="Z92" s="14">
        <v>0</v>
      </c>
      <c r="AA92" s="14">
        <v>0</v>
      </c>
      <c r="AB92" s="8">
        <v>0</v>
      </c>
      <c r="AC92" s="14">
        <v>0</v>
      </c>
      <c r="AD92" s="3">
        <f t="shared" si="2"/>
        <v>32</v>
      </c>
      <c r="AE92" s="14" t="s">
        <v>117</v>
      </c>
      <c r="AF92" s="3" t="s">
        <v>117</v>
      </c>
      <c r="AG92" s="14" t="s">
        <v>57</v>
      </c>
      <c r="AH92" s="14"/>
      <c r="AI92" s="14" t="s">
        <v>304</v>
      </c>
      <c r="AJ92" s="6">
        <f t="shared" si="3"/>
        <v>2560000</v>
      </c>
      <c r="AK92" s="14" t="s">
        <v>305</v>
      </c>
    </row>
    <row r="93" spans="1:37" x14ac:dyDescent="0.35">
      <c r="A93" s="7" t="s">
        <v>563</v>
      </c>
      <c r="B93" s="8" t="s">
        <v>564</v>
      </c>
      <c r="C93" s="8" t="s">
        <v>282</v>
      </c>
      <c r="D93" s="54" t="s">
        <v>565</v>
      </c>
      <c r="E93" s="8">
        <v>348.6</v>
      </c>
      <c r="F93" s="8">
        <v>634.6</v>
      </c>
      <c r="G93" s="8">
        <v>1104</v>
      </c>
      <c r="H93" s="9">
        <v>41126</v>
      </c>
      <c r="I93" s="13">
        <v>0.48958333333333331</v>
      </c>
      <c r="J93" s="9">
        <v>41126</v>
      </c>
      <c r="K93" s="13">
        <v>0.49652777777777773</v>
      </c>
      <c r="L93" s="9">
        <v>41126</v>
      </c>
      <c r="M93" s="13">
        <v>0.79166666666666663</v>
      </c>
      <c r="N93" s="8" t="s">
        <v>81</v>
      </c>
      <c r="O93" s="14">
        <v>0</v>
      </c>
      <c r="P93" s="14">
        <v>2.5</v>
      </c>
      <c r="Q93" s="14">
        <v>0</v>
      </c>
      <c r="R93" s="8">
        <v>0</v>
      </c>
      <c r="S93" s="3">
        <v>0</v>
      </c>
      <c r="T93" s="14">
        <v>0</v>
      </c>
      <c r="U93" s="14">
        <v>0</v>
      </c>
      <c r="V93" s="8">
        <v>0</v>
      </c>
      <c r="W93" s="8">
        <v>0</v>
      </c>
      <c r="X93" s="14">
        <v>0</v>
      </c>
      <c r="Y93" s="14">
        <v>0</v>
      </c>
      <c r="Z93" s="14">
        <v>2.5</v>
      </c>
      <c r="AA93" s="14">
        <v>0</v>
      </c>
      <c r="AB93" s="8">
        <v>0</v>
      </c>
      <c r="AC93" s="14">
        <v>0</v>
      </c>
      <c r="AD93" s="3">
        <f t="shared" si="2"/>
        <v>2.5</v>
      </c>
      <c r="AE93" s="14" t="s">
        <v>117</v>
      </c>
      <c r="AF93" s="3" t="s">
        <v>117</v>
      </c>
      <c r="AG93" s="14" t="s">
        <v>72</v>
      </c>
      <c r="AH93" s="14" t="s">
        <v>566</v>
      </c>
      <c r="AI93" s="14" t="s">
        <v>473</v>
      </c>
      <c r="AJ93" s="6">
        <f t="shared" si="3"/>
        <v>195000</v>
      </c>
      <c r="AK93" s="14" t="s">
        <v>305</v>
      </c>
    </row>
    <row r="94" spans="1:37" x14ac:dyDescent="0.35">
      <c r="A94" s="7" t="s">
        <v>567</v>
      </c>
      <c r="B94" s="8" t="s">
        <v>286</v>
      </c>
      <c r="C94" s="8" t="s">
        <v>568</v>
      </c>
      <c r="D94" s="54" t="s">
        <v>502</v>
      </c>
      <c r="E94" s="8">
        <v>594.1</v>
      </c>
      <c r="F94" s="8">
        <v>4007.3</v>
      </c>
      <c r="G94" s="8">
        <v>805</v>
      </c>
      <c r="H94" s="9">
        <v>41126</v>
      </c>
      <c r="I94" s="13">
        <v>0.60416666666666663</v>
      </c>
      <c r="J94" s="9">
        <v>41126</v>
      </c>
      <c r="K94" s="13">
        <v>0.61111111111111105</v>
      </c>
      <c r="L94" s="9">
        <v>41126</v>
      </c>
      <c r="M94" s="13">
        <v>0.70138888888888884</v>
      </c>
      <c r="N94" s="8" t="s">
        <v>62</v>
      </c>
      <c r="O94" s="14">
        <v>1.5</v>
      </c>
      <c r="P94" s="14">
        <v>0</v>
      </c>
      <c r="Q94" s="14">
        <v>0</v>
      </c>
      <c r="R94" s="8">
        <v>0</v>
      </c>
      <c r="S94" s="3">
        <v>0</v>
      </c>
      <c r="T94" s="14">
        <v>0</v>
      </c>
      <c r="U94" s="14">
        <v>0</v>
      </c>
      <c r="V94" s="8">
        <v>0</v>
      </c>
      <c r="W94" s="8">
        <v>0</v>
      </c>
      <c r="X94" s="14">
        <v>0</v>
      </c>
      <c r="Y94" s="14">
        <v>1.5</v>
      </c>
      <c r="Z94" s="14">
        <v>0</v>
      </c>
      <c r="AA94" s="14">
        <v>0</v>
      </c>
      <c r="AB94" s="8">
        <v>0</v>
      </c>
      <c r="AC94" s="14">
        <v>0</v>
      </c>
      <c r="AD94" s="3">
        <f t="shared" si="2"/>
        <v>1.5</v>
      </c>
      <c r="AE94" s="14" t="s">
        <v>117</v>
      </c>
      <c r="AF94" s="3" t="s">
        <v>117</v>
      </c>
      <c r="AG94" s="14" t="s">
        <v>57</v>
      </c>
      <c r="AH94" s="14" t="s">
        <v>569</v>
      </c>
      <c r="AI94" s="14" t="s">
        <v>348</v>
      </c>
      <c r="AJ94" s="6">
        <f t="shared" si="3"/>
        <v>120000</v>
      </c>
      <c r="AK94" s="14" t="s">
        <v>305</v>
      </c>
    </row>
    <row r="95" spans="1:37" x14ac:dyDescent="0.35">
      <c r="A95" s="7" t="s">
        <v>570</v>
      </c>
      <c r="B95" s="8" t="s">
        <v>286</v>
      </c>
      <c r="C95" s="8" t="s">
        <v>287</v>
      </c>
      <c r="D95" s="54" t="s">
        <v>571</v>
      </c>
      <c r="E95" s="8">
        <v>602.20000000000005</v>
      </c>
      <c r="F95" s="8">
        <v>4028.8</v>
      </c>
      <c r="G95" s="8">
        <v>854</v>
      </c>
      <c r="H95" s="9">
        <v>41126</v>
      </c>
      <c r="I95" s="13">
        <v>0.73263888888888884</v>
      </c>
      <c r="J95" s="9">
        <v>41126</v>
      </c>
      <c r="K95" s="13">
        <v>0.7416666666666667</v>
      </c>
      <c r="L95" s="9">
        <v>41127</v>
      </c>
      <c r="M95" s="13">
        <v>0.76041666666666663</v>
      </c>
      <c r="N95" s="8" t="s">
        <v>62</v>
      </c>
      <c r="O95" s="14">
        <v>20</v>
      </c>
      <c r="P95" s="14">
        <v>0</v>
      </c>
      <c r="Q95" s="14">
        <v>0</v>
      </c>
      <c r="R95" s="8">
        <v>0</v>
      </c>
      <c r="S95" s="3">
        <v>0</v>
      </c>
      <c r="T95" s="14">
        <v>0</v>
      </c>
      <c r="U95" s="14">
        <v>0</v>
      </c>
      <c r="V95" s="8">
        <v>0</v>
      </c>
      <c r="W95" s="8">
        <v>0</v>
      </c>
      <c r="X95" s="14">
        <v>0</v>
      </c>
      <c r="Y95" s="14">
        <v>20</v>
      </c>
      <c r="Z95" s="14">
        <v>0</v>
      </c>
      <c r="AA95" s="14">
        <v>0</v>
      </c>
      <c r="AB95" s="8">
        <v>0</v>
      </c>
      <c r="AC95" s="14">
        <v>0</v>
      </c>
      <c r="AD95" s="3">
        <f t="shared" si="2"/>
        <v>20</v>
      </c>
      <c r="AE95" s="14" t="s">
        <v>117</v>
      </c>
      <c r="AF95" s="3" t="s">
        <v>117</v>
      </c>
      <c r="AG95" s="14" t="s">
        <v>72</v>
      </c>
      <c r="AH95" s="14" t="s">
        <v>572</v>
      </c>
      <c r="AI95" s="14" t="s">
        <v>304</v>
      </c>
      <c r="AJ95" s="6">
        <f t="shared" si="3"/>
        <v>1600000</v>
      </c>
      <c r="AK95" s="14" t="s">
        <v>305</v>
      </c>
    </row>
    <row r="96" spans="1:37" x14ac:dyDescent="0.35">
      <c r="A96" s="7" t="s">
        <v>573</v>
      </c>
      <c r="B96" s="8" t="s">
        <v>286</v>
      </c>
      <c r="C96" s="8" t="s">
        <v>287</v>
      </c>
      <c r="D96" s="54" t="s">
        <v>571</v>
      </c>
      <c r="E96" s="8">
        <v>602.4</v>
      </c>
      <c r="F96" s="8">
        <v>4025.3</v>
      </c>
      <c r="G96" s="8">
        <v>638</v>
      </c>
      <c r="H96" s="9">
        <v>41128</v>
      </c>
      <c r="I96" s="13">
        <v>0.35416666666666669</v>
      </c>
      <c r="J96" s="9">
        <v>41128</v>
      </c>
      <c r="K96" s="13">
        <v>0.35416666666666669</v>
      </c>
      <c r="L96" s="9">
        <v>41128</v>
      </c>
      <c r="M96" s="13">
        <v>0.75</v>
      </c>
      <c r="N96" s="8" t="s">
        <v>62</v>
      </c>
      <c r="O96" s="14">
        <v>2</v>
      </c>
      <c r="P96" s="14">
        <v>0</v>
      </c>
      <c r="Q96" s="14">
        <v>0</v>
      </c>
      <c r="R96" s="8">
        <v>0</v>
      </c>
      <c r="S96" s="3">
        <v>0</v>
      </c>
      <c r="T96" s="14">
        <v>0</v>
      </c>
      <c r="U96" s="14">
        <v>0</v>
      </c>
      <c r="V96" s="8">
        <v>0</v>
      </c>
      <c r="W96" s="8">
        <v>0</v>
      </c>
      <c r="X96" s="14">
        <v>0</v>
      </c>
      <c r="Y96" s="14">
        <v>2</v>
      </c>
      <c r="Z96" s="14">
        <v>0</v>
      </c>
      <c r="AA96" s="14">
        <v>0</v>
      </c>
      <c r="AB96" s="8">
        <v>0</v>
      </c>
      <c r="AC96" s="14">
        <v>0</v>
      </c>
      <c r="AD96" s="3">
        <f t="shared" si="2"/>
        <v>2</v>
      </c>
      <c r="AE96" s="14" t="s">
        <v>117</v>
      </c>
      <c r="AF96" s="3" t="s">
        <v>117</v>
      </c>
      <c r="AG96" s="14" t="s">
        <v>72</v>
      </c>
      <c r="AH96" s="14" t="s">
        <v>574</v>
      </c>
      <c r="AI96" s="14" t="s">
        <v>304</v>
      </c>
      <c r="AJ96" s="6">
        <f t="shared" si="3"/>
        <v>160000</v>
      </c>
      <c r="AK96" s="14" t="s">
        <v>305</v>
      </c>
    </row>
    <row r="97" spans="1:37" x14ac:dyDescent="0.35">
      <c r="A97" s="7" t="s">
        <v>575</v>
      </c>
      <c r="B97" s="8" t="s">
        <v>68</v>
      </c>
      <c r="C97" s="8" t="s">
        <v>394</v>
      </c>
      <c r="D97" s="54" t="s">
        <v>576</v>
      </c>
      <c r="E97" s="8">
        <v>3998.4</v>
      </c>
      <c r="F97" s="8">
        <v>573</v>
      </c>
      <c r="G97" s="8">
        <v>834</v>
      </c>
      <c r="H97" s="9">
        <v>41129</v>
      </c>
      <c r="I97" s="13">
        <v>0.40277777777777773</v>
      </c>
      <c r="J97" s="9">
        <v>41129</v>
      </c>
      <c r="K97" s="13">
        <v>0.40972222222222227</v>
      </c>
      <c r="L97" s="9">
        <v>41129</v>
      </c>
      <c r="M97" s="13">
        <v>0.81597222222222221</v>
      </c>
      <c r="N97" s="8" t="s">
        <v>62</v>
      </c>
      <c r="O97" s="14">
        <v>6</v>
      </c>
      <c r="P97" s="14">
        <v>4</v>
      </c>
      <c r="Q97" s="14">
        <v>0</v>
      </c>
      <c r="R97" s="8">
        <v>0</v>
      </c>
      <c r="S97" s="3">
        <v>0</v>
      </c>
      <c r="T97" s="14">
        <v>0</v>
      </c>
      <c r="U97" s="14">
        <v>0</v>
      </c>
      <c r="V97" s="8">
        <v>0</v>
      </c>
      <c r="W97" s="8">
        <v>0</v>
      </c>
      <c r="X97" s="14">
        <v>0</v>
      </c>
      <c r="Y97" s="14">
        <v>6</v>
      </c>
      <c r="Z97" s="14">
        <v>4</v>
      </c>
      <c r="AA97" s="14">
        <v>0</v>
      </c>
      <c r="AB97" s="8">
        <v>0</v>
      </c>
      <c r="AC97" s="14">
        <v>0</v>
      </c>
      <c r="AD97" s="3">
        <f t="shared" si="2"/>
        <v>10</v>
      </c>
      <c r="AE97" s="14" t="s">
        <v>117</v>
      </c>
      <c r="AF97" s="3" t="s">
        <v>117</v>
      </c>
      <c r="AG97" s="14" t="s">
        <v>72</v>
      </c>
      <c r="AH97" s="14" t="s">
        <v>577</v>
      </c>
      <c r="AI97" s="14" t="s">
        <v>304</v>
      </c>
      <c r="AJ97" s="6">
        <f t="shared" si="3"/>
        <v>792000</v>
      </c>
      <c r="AK97" s="14" t="s">
        <v>305</v>
      </c>
    </row>
    <row r="98" spans="1:37" x14ac:dyDescent="0.35">
      <c r="A98" s="7" t="s">
        <v>578</v>
      </c>
      <c r="B98" s="8" t="s">
        <v>286</v>
      </c>
      <c r="C98" s="8" t="s">
        <v>325</v>
      </c>
      <c r="D98" s="54" t="s">
        <v>579</v>
      </c>
      <c r="E98" s="8">
        <v>595.5</v>
      </c>
      <c r="F98" s="8">
        <v>4007.8</v>
      </c>
      <c r="G98" s="8">
        <v>853</v>
      </c>
      <c r="H98" s="9">
        <v>41129</v>
      </c>
      <c r="I98" s="13">
        <v>0.41666666666666669</v>
      </c>
      <c r="J98" s="9">
        <v>41129</v>
      </c>
      <c r="K98" s="13">
        <v>0.4236111111111111</v>
      </c>
      <c r="L98" s="9">
        <v>41129</v>
      </c>
      <c r="M98" s="13">
        <v>0.51388888888888895</v>
      </c>
      <c r="N98" s="8" t="s">
        <v>62</v>
      </c>
      <c r="O98" s="14">
        <v>1</v>
      </c>
      <c r="P98" s="14">
        <v>0</v>
      </c>
      <c r="Q98" s="14">
        <v>0</v>
      </c>
      <c r="R98" s="8">
        <v>0</v>
      </c>
      <c r="S98" s="3">
        <v>0</v>
      </c>
      <c r="T98" s="14">
        <v>0</v>
      </c>
      <c r="U98" s="14">
        <v>0</v>
      </c>
      <c r="V98" s="8">
        <v>0</v>
      </c>
      <c r="W98" s="8">
        <v>0</v>
      </c>
      <c r="X98" s="14">
        <v>0</v>
      </c>
      <c r="Y98" s="14">
        <v>1</v>
      </c>
      <c r="Z98" s="14">
        <v>0</v>
      </c>
      <c r="AA98" s="14">
        <v>0</v>
      </c>
      <c r="AB98" s="8">
        <v>0</v>
      </c>
      <c r="AC98" s="14">
        <v>0</v>
      </c>
      <c r="AD98" s="3">
        <f t="shared" si="2"/>
        <v>1</v>
      </c>
      <c r="AE98" s="14" t="s">
        <v>117</v>
      </c>
      <c r="AF98" s="3" t="s">
        <v>117</v>
      </c>
      <c r="AG98" s="14" t="s">
        <v>57</v>
      </c>
      <c r="AH98" s="14" t="s">
        <v>580</v>
      </c>
      <c r="AI98" s="14" t="s">
        <v>348</v>
      </c>
      <c r="AJ98" s="6">
        <f t="shared" si="3"/>
        <v>80000</v>
      </c>
      <c r="AK98" s="14" t="s">
        <v>305</v>
      </c>
    </row>
    <row r="99" spans="1:37" x14ac:dyDescent="0.35">
      <c r="A99" s="7" t="s">
        <v>581</v>
      </c>
      <c r="B99" s="8" t="s">
        <v>564</v>
      </c>
      <c r="C99" s="8" t="s">
        <v>282</v>
      </c>
      <c r="D99" s="54" t="s">
        <v>371</v>
      </c>
      <c r="E99" s="12">
        <v>346.8</v>
      </c>
      <c r="F99" s="8">
        <v>635.70000000000005</v>
      </c>
      <c r="G99" s="8">
        <v>744</v>
      </c>
      <c r="H99" s="9">
        <v>41129</v>
      </c>
      <c r="I99" s="13">
        <v>0.51041666666666663</v>
      </c>
      <c r="J99" s="9">
        <v>41129</v>
      </c>
      <c r="K99" s="13">
        <v>0.52083333333333337</v>
      </c>
      <c r="L99" s="9">
        <v>41129</v>
      </c>
      <c r="M99" s="13">
        <v>0.58333333333333337</v>
      </c>
      <c r="N99" s="8" t="s">
        <v>81</v>
      </c>
      <c r="O99" s="14">
        <v>0</v>
      </c>
      <c r="P99" s="14">
        <v>0.03</v>
      </c>
      <c r="Q99" s="14">
        <v>0</v>
      </c>
      <c r="R99" s="8">
        <v>0</v>
      </c>
      <c r="S99" s="3">
        <v>0</v>
      </c>
      <c r="T99" s="14">
        <v>0</v>
      </c>
      <c r="U99" s="14">
        <v>0</v>
      </c>
      <c r="V99" s="8">
        <v>0</v>
      </c>
      <c r="W99" s="8">
        <v>0</v>
      </c>
      <c r="X99" s="14">
        <v>0</v>
      </c>
      <c r="Y99" s="14">
        <v>0</v>
      </c>
      <c r="Z99" s="14">
        <v>0.03</v>
      </c>
      <c r="AA99" s="14">
        <v>0</v>
      </c>
      <c r="AB99" s="8">
        <v>0</v>
      </c>
      <c r="AC99" s="14">
        <v>0</v>
      </c>
      <c r="AD99" s="3">
        <f t="shared" si="2"/>
        <v>0.03</v>
      </c>
      <c r="AE99" s="14" t="s">
        <v>117</v>
      </c>
      <c r="AF99" s="3" t="s">
        <v>117</v>
      </c>
      <c r="AG99" s="14" t="s">
        <v>72</v>
      </c>
      <c r="AH99" s="14" t="s">
        <v>582</v>
      </c>
      <c r="AI99" s="14" t="s">
        <v>304</v>
      </c>
      <c r="AJ99" s="6">
        <f t="shared" si="3"/>
        <v>2340</v>
      </c>
      <c r="AK99" s="14" t="s">
        <v>305</v>
      </c>
    </row>
    <row r="100" spans="1:37" x14ac:dyDescent="0.35">
      <c r="A100" s="7" t="s">
        <v>583</v>
      </c>
      <c r="B100" s="8" t="s">
        <v>286</v>
      </c>
      <c r="C100" s="8" t="s">
        <v>414</v>
      </c>
      <c r="D100" s="54" t="s">
        <v>132</v>
      </c>
      <c r="E100" s="8">
        <v>602</v>
      </c>
      <c r="F100" s="8">
        <v>4028</v>
      </c>
      <c r="G100" s="8">
        <v>853</v>
      </c>
      <c r="H100" s="9">
        <v>41129</v>
      </c>
      <c r="I100" s="13">
        <v>0.51041666666666663</v>
      </c>
      <c r="J100" s="9">
        <v>41129</v>
      </c>
      <c r="K100" s="13">
        <v>0.52083333333333337</v>
      </c>
      <c r="L100" s="9">
        <v>41129</v>
      </c>
      <c r="M100" s="13">
        <v>0.72916666666666663</v>
      </c>
      <c r="N100" s="8" t="s">
        <v>81</v>
      </c>
      <c r="O100" s="14">
        <v>0</v>
      </c>
      <c r="P100" s="14">
        <v>2.5</v>
      </c>
      <c r="Q100" s="14">
        <v>0</v>
      </c>
      <c r="R100" s="8">
        <v>0</v>
      </c>
      <c r="S100" s="3">
        <v>0</v>
      </c>
      <c r="T100" s="14">
        <v>0</v>
      </c>
      <c r="U100" s="14">
        <v>0</v>
      </c>
      <c r="V100" s="8">
        <v>0</v>
      </c>
      <c r="W100" s="8">
        <v>0</v>
      </c>
      <c r="X100" s="14">
        <v>0</v>
      </c>
      <c r="Y100" s="14">
        <v>0</v>
      </c>
      <c r="Z100" s="14">
        <v>2.5</v>
      </c>
      <c r="AA100" s="14">
        <v>0</v>
      </c>
      <c r="AB100" s="8">
        <v>0</v>
      </c>
      <c r="AC100" s="14">
        <v>0</v>
      </c>
      <c r="AD100" s="3">
        <f t="shared" si="2"/>
        <v>2.5</v>
      </c>
      <c r="AE100" s="14" t="s">
        <v>117</v>
      </c>
      <c r="AF100" s="3" t="s">
        <v>117</v>
      </c>
      <c r="AG100" s="14" t="s">
        <v>72</v>
      </c>
      <c r="AH100" s="14"/>
      <c r="AI100" s="14" t="s">
        <v>304</v>
      </c>
      <c r="AJ100" s="6">
        <f t="shared" si="3"/>
        <v>195000</v>
      </c>
      <c r="AK100" s="14" t="s">
        <v>305</v>
      </c>
    </row>
    <row r="101" spans="1:37" x14ac:dyDescent="0.35">
      <c r="A101" s="7" t="s">
        <v>584</v>
      </c>
      <c r="B101" s="8" t="s">
        <v>564</v>
      </c>
      <c r="C101" s="8" t="s">
        <v>307</v>
      </c>
      <c r="D101" s="54" t="s">
        <v>585</v>
      </c>
      <c r="E101" s="8">
        <v>610.95000000000005</v>
      </c>
      <c r="F101" s="8">
        <v>4019.7</v>
      </c>
      <c r="G101" s="8">
        <v>350</v>
      </c>
      <c r="H101" s="9">
        <v>41129</v>
      </c>
      <c r="I101" s="13">
        <v>0.60416666666666663</v>
      </c>
      <c r="J101" s="9">
        <v>41129</v>
      </c>
      <c r="K101" s="13">
        <v>0.61388888888888882</v>
      </c>
      <c r="L101" s="9">
        <v>41129</v>
      </c>
      <c r="M101" s="13">
        <v>0.79166666666666663</v>
      </c>
      <c r="N101" s="8" t="s">
        <v>62</v>
      </c>
      <c r="O101" s="14">
        <v>15</v>
      </c>
      <c r="P101" s="14">
        <v>0</v>
      </c>
      <c r="Q101" s="14">
        <v>0</v>
      </c>
      <c r="R101" s="8">
        <v>0</v>
      </c>
      <c r="S101" s="3">
        <v>0</v>
      </c>
      <c r="T101" s="14">
        <v>0</v>
      </c>
      <c r="U101" s="14">
        <v>0</v>
      </c>
      <c r="V101" s="8">
        <v>0</v>
      </c>
      <c r="W101" s="8">
        <v>0</v>
      </c>
      <c r="X101" s="14" t="s">
        <v>586</v>
      </c>
      <c r="Y101" s="14">
        <v>15</v>
      </c>
      <c r="Z101" s="14">
        <v>0</v>
      </c>
      <c r="AA101" s="14">
        <v>0</v>
      </c>
      <c r="AB101" s="8">
        <v>0</v>
      </c>
      <c r="AC101" s="14" t="s">
        <v>586</v>
      </c>
      <c r="AD101" s="3">
        <f t="shared" si="2"/>
        <v>15</v>
      </c>
      <c r="AE101" s="14" t="s">
        <v>117</v>
      </c>
      <c r="AF101" s="3" t="s">
        <v>117</v>
      </c>
      <c r="AG101" s="14" t="s">
        <v>72</v>
      </c>
      <c r="AH101" s="14" t="s">
        <v>587</v>
      </c>
      <c r="AI101" s="14" t="s">
        <v>304</v>
      </c>
      <c r="AJ101" s="6">
        <f t="shared" si="3"/>
        <v>1200000</v>
      </c>
      <c r="AK101" s="14" t="s">
        <v>305</v>
      </c>
    </row>
    <row r="102" spans="1:37" x14ac:dyDescent="0.35">
      <c r="A102" s="7" t="s">
        <v>588</v>
      </c>
      <c r="B102" s="8" t="s">
        <v>316</v>
      </c>
      <c r="C102" s="8" t="s">
        <v>510</v>
      </c>
      <c r="D102" s="54" t="s">
        <v>589</v>
      </c>
      <c r="E102" s="8">
        <v>570.1</v>
      </c>
      <c r="F102" s="8">
        <v>4040.2</v>
      </c>
      <c r="G102" s="8">
        <v>520</v>
      </c>
      <c r="H102" s="9">
        <v>41129</v>
      </c>
      <c r="I102" s="13">
        <v>0.61805555555555558</v>
      </c>
      <c r="J102" s="9">
        <v>41129</v>
      </c>
      <c r="K102" s="13">
        <v>0.63194444444444442</v>
      </c>
      <c r="L102" s="9">
        <v>41129</v>
      </c>
      <c r="M102" s="13">
        <v>0.77083333333333337</v>
      </c>
      <c r="N102" s="8" t="s">
        <v>484</v>
      </c>
      <c r="O102" s="14">
        <v>6</v>
      </c>
      <c r="P102" s="14">
        <v>15</v>
      </c>
      <c r="Q102" s="14">
        <v>0</v>
      </c>
      <c r="R102" s="8">
        <v>0</v>
      </c>
      <c r="S102" s="3">
        <v>0</v>
      </c>
      <c r="T102" s="14">
        <v>0</v>
      </c>
      <c r="U102" s="14">
        <v>0</v>
      </c>
      <c r="V102" s="8">
        <v>0</v>
      </c>
      <c r="W102" s="8">
        <v>0</v>
      </c>
      <c r="X102" s="14">
        <v>0</v>
      </c>
      <c r="Y102" s="14">
        <v>6</v>
      </c>
      <c r="Z102" s="14">
        <v>15</v>
      </c>
      <c r="AA102" s="14">
        <v>0</v>
      </c>
      <c r="AB102" s="8">
        <v>0</v>
      </c>
      <c r="AC102" s="14">
        <v>0</v>
      </c>
      <c r="AD102" s="3">
        <f t="shared" si="2"/>
        <v>21</v>
      </c>
      <c r="AE102" s="14" t="s">
        <v>117</v>
      </c>
      <c r="AF102" s="3" t="s">
        <v>117</v>
      </c>
      <c r="AG102" s="14" t="s">
        <v>57</v>
      </c>
      <c r="AH102" s="14" t="s">
        <v>590</v>
      </c>
      <c r="AI102" s="14" t="s">
        <v>304</v>
      </c>
      <c r="AJ102" s="6">
        <f t="shared" si="3"/>
        <v>1650000</v>
      </c>
      <c r="AK102" s="14" t="s">
        <v>305</v>
      </c>
    </row>
    <row r="103" spans="1:37" x14ac:dyDescent="0.35">
      <c r="A103" s="7" t="s">
        <v>591</v>
      </c>
      <c r="B103" s="8" t="s">
        <v>68</v>
      </c>
      <c r="C103" s="8" t="s">
        <v>394</v>
      </c>
      <c r="D103" s="54" t="s">
        <v>592</v>
      </c>
      <c r="E103" s="8">
        <v>3998.3</v>
      </c>
      <c r="F103" s="8">
        <v>574.79999999999995</v>
      </c>
      <c r="G103" s="8">
        <v>800</v>
      </c>
      <c r="H103" s="9">
        <v>41130</v>
      </c>
      <c r="I103" s="13">
        <v>0.20833333333333334</v>
      </c>
      <c r="J103" s="9">
        <v>41130</v>
      </c>
      <c r="K103" s="13">
        <v>0.21875</v>
      </c>
      <c r="L103" s="9">
        <v>41131</v>
      </c>
      <c r="M103" s="13">
        <v>0.34722222222222227</v>
      </c>
      <c r="N103" s="8" t="s">
        <v>62</v>
      </c>
      <c r="O103" s="14">
        <v>80</v>
      </c>
      <c r="P103" s="14">
        <v>0</v>
      </c>
      <c r="Q103" s="14">
        <v>0</v>
      </c>
      <c r="R103" s="8">
        <v>0</v>
      </c>
      <c r="S103" s="3">
        <v>0</v>
      </c>
      <c r="T103" s="14">
        <v>20</v>
      </c>
      <c r="U103" s="14">
        <v>0</v>
      </c>
      <c r="V103" s="8">
        <v>0</v>
      </c>
      <c r="W103" s="8">
        <v>0</v>
      </c>
      <c r="X103" s="14">
        <v>0</v>
      </c>
      <c r="Y103" s="14">
        <v>100</v>
      </c>
      <c r="Z103" s="14">
        <v>0</v>
      </c>
      <c r="AA103" s="14">
        <v>0</v>
      </c>
      <c r="AB103" s="8">
        <v>0</v>
      </c>
      <c r="AC103" s="14">
        <v>0</v>
      </c>
      <c r="AD103" s="3">
        <f t="shared" si="2"/>
        <v>100</v>
      </c>
      <c r="AE103" s="14" t="s">
        <v>117</v>
      </c>
      <c r="AF103" s="3" t="s">
        <v>117</v>
      </c>
      <c r="AG103" s="14" t="s">
        <v>72</v>
      </c>
      <c r="AH103" s="14" t="s">
        <v>593</v>
      </c>
      <c r="AI103" s="14" t="s">
        <v>65</v>
      </c>
      <c r="AJ103" s="6">
        <f t="shared" si="3"/>
        <v>8000000</v>
      </c>
      <c r="AK103" s="14" t="s">
        <v>305</v>
      </c>
    </row>
    <row r="104" spans="1:37" x14ac:dyDescent="0.35">
      <c r="A104" s="7" t="s">
        <v>594</v>
      </c>
      <c r="B104" s="8" t="s">
        <v>286</v>
      </c>
      <c r="C104" s="8" t="s">
        <v>287</v>
      </c>
      <c r="D104" s="54" t="s">
        <v>595</v>
      </c>
      <c r="E104" s="12">
        <v>602.79999999999995</v>
      </c>
      <c r="F104" s="8">
        <v>4028.15</v>
      </c>
      <c r="G104" s="8">
        <v>698</v>
      </c>
      <c r="H104" s="9">
        <v>41130</v>
      </c>
      <c r="I104" s="13">
        <v>0.65625</v>
      </c>
      <c r="J104" s="9">
        <v>41130</v>
      </c>
      <c r="K104" s="13">
        <v>0.65625</v>
      </c>
      <c r="L104" s="9">
        <v>41131</v>
      </c>
      <c r="M104" s="13">
        <v>0.85416666666666663</v>
      </c>
      <c r="N104" s="8" t="s">
        <v>62</v>
      </c>
      <c r="O104" s="14">
        <v>85</v>
      </c>
      <c r="P104" s="14">
        <v>0</v>
      </c>
      <c r="Q104" s="14">
        <v>0</v>
      </c>
      <c r="R104" s="8">
        <v>0</v>
      </c>
      <c r="S104" s="14" t="s">
        <v>596</v>
      </c>
      <c r="T104" s="14">
        <v>0</v>
      </c>
      <c r="U104" s="14">
        <v>0</v>
      </c>
      <c r="V104" s="8">
        <v>0</v>
      </c>
      <c r="W104" s="8">
        <v>0</v>
      </c>
      <c r="X104" s="14">
        <v>0</v>
      </c>
      <c r="Y104" s="14">
        <v>85</v>
      </c>
      <c r="Z104" s="14">
        <v>0</v>
      </c>
      <c r="AA104" s="14">
        <v>0</v>
      </c>
      <c r="AB104" s="8">
        <v>0</v>
      </c>
      <c r="AC104" s="14" t="s">
        <v>596</v>
      </c>
      <c r="AD104" s="3">
        <f t="shared" si="2"/>
        <v>85</v>
      </c>
      <c r="AE104" s="14" t="s">
        <v>117</v>
      </c>
      <c r="AF104" s="3" t="s">
        <v>117</v>
      </c>
      <c r="AG104" s="14" t="s">
        <v>72</v>
      </c>
      <c r="AH104" s="14" t="s">
        <v>597</v>
      </c>
      <c r="AI104" s="14" t="s">
        <v>304</v>
      </c>
      <c r="AJ104" s="6">
        <f t="shared" si="3"/>
        <v>6800000</v>
      </c>
      <c r="AK104" s="14" t="s">
        <v>305</v>
      </c>
    </row>
    <row r="105" spans="1:37" x14ac:dyDescent="0.35">
      <c r="A105" s="7" t="s">
        <v>598</v>
      </c>
      <c r="B105" s="8" t="s">
        <v>312</v>
      </c>
      <c r="C105" s="8" t="s">
        <v>312</v>
      </c>
      <c r="D105" s="54" t="s">
        <v>265</v>
      </c>
      <c r="E105" s="8" t="s">
        <v>542</v>
      </c>
      <c r="F105" s="8" t="s">
        <v>543</v>
      </c>
      <c r="G105" s="8">
        <v>871</v>
      </c>
      <c r="H105" s="9">
        <v>41130</v>
      </c>
      <c r="I105" s="13">
        <v>0.69791666666666663</v>
      </c>
      <c r="J105" s="9">
        <v>41130</v>
      </c>
      <c r="K105" s="13">
        <v>0.70486111111111116</v>
      </c>
      <c r="L105" s="9">
        <v>41131</v>
      </c>
      <c r="M105" s="13">
        <v>0.27083333333333331</v>
      </c>
      <c r="N105" s="8" t="s">
        <v>484</v>
      </c>
      <c r="O105" s="14">
        <v>10</v>
      </c>
      <c r="P105" s="14">
        <v>50</v>
      </c>
      <c r="Q105" s="14">
        <v>0</v>
      </c>
      <c r="R105" s="8">
        <v>0</v>
      </c>
      <c r="S105" s="14">
        <v>0</v>
      </c>
      <c r="T105" s="14">
        <v>0</v>
      </c>
      <c r="U105" s="14">
        <v>0</v>
      </c>
      <c r="V105" s="8">
        <v>0</v>
      </c>
      <c r="W105" s="8">
        <v>0</v>
      </c>
      <c r="X105" s="14">
        <v>0</v>
      </c>
      <c r="Y105" s="14">
        <v>10</v>
      </c>
      <c r="Z105" s="14">
        <v>50</v>
      </c>
      <c r="AA105" s="14">
        <v>0</v>
      </c>
      <c r="AB105" s="8">
        <v>0</v>
      </c>
      <c r="AC105" s="14">
        <v>0</v>
      </c>
      <c r="AD105" s="3">
        <f t="shared" si="2"/>
        <v>60</v>
      </c>
      <c r="AE105" s="14" t="s">
        <v>117</v>
      </c>
      <c r="AF105" s="3" t="s">
        <v>117</v>
      </c>
      <c r="AG105" s="14" t="s">
        <v>57</v>
      </c>
      <c r="AH105" s="14" t="s">
        <v>599</v>
      </c>
      <c r="AI105" s="14" t="s">
        <v>473</v>
      </c>
      <c r="AJ105" s="6">
        <f t="shared" si="3"/>
        <v>4700000</v>
      </c>
      <c r="AK105" s="14" t="s">
        <v>305</v>
      </c>
    </row>
    <row r="106" spans="1:37" x14ac:dyDescent="0.35">
      <c r="A106" s="7" t="s">
        <v>600</v>
      </c>
      <c r="B106" s="8" t="s">
        <v>301</v>
      </c>
      <c r="C106" s="8" t="s">
        <v>481</v>
      </c>
      <c r="D106" s="54" t="s">
        <v>257</v>
      </c>
      <c r="E106" s="8" t="s">
        <v>524</v>
      </c>
      <c r="F106" s="8" t="s">
        <v>525</v>
      </c>
      <c r="G106" s="8">
        <v>750</v>
      </c>
      <c r="H106" s="9">
        <v>41131</v>
      </c>
      <c r="I106" s="13">
        <v>0.43055555555555558</v>
      </c>
      <c r="J106" s="9">
        <v>41131</v>
      </c>
      <c r="K106" s="13">
        <v>0.4375</v>
      </c>
      <c r="L106" s="9">
        <v>41131</v>
      </c>
      <c r="M106" s="13">
        <v>0.80902777777777779</v>
      </c>
      <c r="N106" s="8" t="s">
        <v>41</v>
      </c>
      <c r="O106" s="14">
        <v>0</v>
      </c>
      <c r="P106" s="14">
        <v>0.5</v>
      </c>
      <c r="Q106" s="14">
        <v>6</v>
      </c>
      <c r="R106" s="8">
        <v>0</v>
      </c>
      <c r="S106" s="14">
        <v>0</v>
      </c>
      <c r="T106" s="14">
        <v>0</v>
      </c>
      <c r="U106" s="14">
        <v>0</v>
      </c>
      <c r="V106" s="8">
        <v>0</v>
      </c>
      <c r="W106" s="8">
        <v>0</v>
      </c>
      <c r="X106" s="14">
        <v>0</v>
      </c>
      <c r="Y106" s="14">
        <v>0</v>
      </c>
      <c r="Z106" s="14">
        <v>0.5</v>
      </c>
      <c r="AA106" s="14">
        <v>6</v>
      </c>
      <c r="AB106" s="8">
        <v>0</v>
      </c>
      <c r="AC106" s="14">
        <v>0</v>
      </c>
      <c r="AD106" s="3">
        <f t="shared" si="2"/>
        <v>6.5</v>
      </c>
      <c r="AE106" s="14" t="s">
        <v>117</v>
      </c>
      <c r="AF106" s="3" t="s">
        <v>117</v>
      </c>
      <c r="AG106" s="14" t="s">
        <v>57</v>
      </c>
      <c r="AH106" s="14" t="s">
        <v>601</v>
      </c>
      <c r="AI106" s="14" t="s">
        <v>304</v>
      </c>
      <c r="AJ106" s="6">
        <f t="shared" si="3"/>
        <v>129000</v>
      </c>
      <c r="AK106" s="14" t="s">
        <v>305</v>
      </c>
    </row>
    <row r="107" spans="1:37" x14ac:dyDescent="0.35">
      <c r="A107" s="7" t="s">
        <v>602</v>
      </c>
      <c r="B107" s="8" t="s">
        <v>312</v>
      </c>
      <c r="C107" s="8" t="s">
        <v>312</v>
      </c>
      <c r="D107" s="54" t="s">
        <v>603</v>
      </c>
      <c r="E107" s="8" t="s">
        <v>604</v>
      </c>
      <c r="F107" s="8" t="s">
        <v>605</v>
      </c>
      <c r="G107" s="8">
        <v>871</v>
      </c>
      <c r="H107" s="9">
        <v>41131</v>
      </c>
      <c r="I107" s="13">
        <v>0.45833333333333331</v>
      </c>
      <c r="J107" s="9">
        <v>41131</v>
      </c>
      <c r="K107" s="13">
        <v>0.46875</v>
      </c>
      <c r="L107" s="9">
        <v>41134</v>
      </c>
      <c r="M107" s="13">
        <v>0.79166666666666663</v>
      </c>
      <c r="N107" s="8" t="s">
        <v>62</v>
      </c>
      <c r="O107" s="14">
        <v>10</v>
      </c>
      <c r="P107" s="14">
        <v>0</v>
      </c>
      <c r="Q107" s="14">
        <v>0</v>
      </c>
      <c r="R107" s="8">
        <v>0</v>
      </c>
      <c r="S107" s="14">
        <v>0</v>
      </c>
      <c r="T107" s="14">
        <v>0</v>
      </c>
      <c r="U107" s="14">
        <v>0</v>
      </c>
      <c r="V107" s="8">
        <v>0</v>
      </c>
      <c r="W107" s="8">
        <v>0</v>
      </c>
      <c r="X107" s="14">
        <v>0</v>
      </c>
      <c r="Y107" s="14">
        <v>10</v>
      </c>
      <c r="Z107" s="14">
        <v>0</v>
      </c>
      <c r="AA107" s="14">
        <v>0</v>
      </c>
      <c r="AB107" s="8">
        <v>0</v>
      </c>
      <c r="AC107" s="14">
        <v>0</v>
      </c>
      <c r="AD107" s="3">
        <f t="shared" si="2"/>
        <v>10</v>
      </c>
      <c r="AE107" s="14" t="s">
        <v>117</v>
      </c>
      <c r="AF107" s="3" t="s">
        <v>117</v>
      </c>
      <c r="AG107" s="14" t="s">
        <v>57</v>
      </c>
      <c r="AH107" s="14" t="s">
        <v>599</v>
      </c>
      <c r="AI107" s="14" t="s">
        <v>473</v>
      </c>
      <c r="AJ107" s="6">
        <f t="shared" si="3"/>
        <v>800000</v>
      </c>
      <c r="AK107" s="14" t="s">
        <v>305</v>
      </c>
    </row>
    <row r="108" spans="1:37" x14ac:dyDescent="0.35">
      <c r="A108" s="7" t="s">
        <v>606</v>
      </c>
      <c r="B108" s="8" t="s">
        <v>312</v>
      </c>
      <c r="C108" s="8" t="s">
        <v>312</v>
      </c>
      <c r="D108" s="54" t="s">
        <v>607</v>
      </c>
      <c r="E108" s="8" t="s">
        <v>536</v>
      </c>
      <c r="F108" s="8" t="s">
        <v>537</v>
      </c>
      <c r="G108" s="8">
        <v>600</v>
      </c>
      <c r="H108" s="9">
        <v>41131</v>
      </c>
      <c r="I108" s="13">
        <v>0.49305555555555558</v>
      </c>
      <c r="J108" s="9">
        <v>41131</v>
      </c>
      <c r="K108" s="13">
        <v>0.5</v>
      </c>
      <c r="L108" s="9">
        <v>41134</v>
      </c>
      <c r="M108" s="13">
        <v>0.79166666666666663</v>
      </c>
      <c r="N108" s="8" t="s">
        <v>62</v>
      </c>
      <c r="O108" s="14">
        <v>150</v>
      </c>
      <c r="P108" s="14">
        <v>0</v>
      </c>
      <c r="Q108" s="14">
        <v>0</v>
      </c>
      <c r="R108" s="8">
        <v>0</v>
      </c>
      <c r="S108" s="14">
        <v>0</v>
      </c>
      <c r="T108" s="14">
        <v>0</v>
      </c>
      <c r="U108" s="14">
        <v>0</v>
      </c>
      <c r="V108" s="8">
        <v>0</v>
      </c>
      <c r="W108" s="8">
        <v>0</v>
      </c>
      <c r="X108" s="14">
        <v>0</v>
      </c>
      <c r="Y108" s="14">
        <v>150</v>
      </c>
      <c r="Z108" s="14">
        <v>0</v>
      </c>
      <c r="AA108" s="14">
        <v>0</v>
      </c>
      <c r="AB108" s="8">
        <v>0</v>
      </c>
      <c r="AC108" s="14">
        <v>0</v>
      </c>
      <c r="AD108" s="3">
        <f t="shared" si="2"/>
        <v>150</v>
      </c>
      <c r="AE108" s="14" t="s">
        <v>117</v>
      </c>
      <c r="AF108" s="3" t="s">
        <v>117</v>
      </c>
      <c r="AG108" s="14" t="s">
        <v>57</v>
      </c>
      <c r="AH108" s="14" t="s">
        <v>599</v>
      </c>
      <c r="AI108" s="14" t="s">
        <v>473</v>
      </c>
      <c r="AJ108" s="6">
        <f t="shared" si="3"/>
        <v>12000000</v>
      </c>
      <c r="AK108" s="14" t="s">
        <v>305</v>
      </c>
    </row>
    <row r="109" spans="1:37" x14ac:dyDescent="0.35">
      <c r="A109" s="7" t="s">
        <v>608</v>
      </c>
      <c r="B109" s="8" t="s">
        <v>286</v>
      </c>
      <c r="C109" s="8" t="s">
        <v>458</v>
      </c>
      <c r="D109" s="54" t="s">
        <v>609</v>
      </c>
      <c r="E109" s="8">
        <v>594.35</v>
      </c>
      <c r="F109" s="8">
        <v>3999.9</v>
      </c>
      <c r="G109" s="8">
        <v>1027</v>
      </c>
      <c r="H109" s="9">
        <v>41131</v>
      </c>
      <c r="I109" s="13">
        <v>0.52083333333333337</v>
      </c>
      <c r="J109" s="9">
        <v>41131</v>
      </c>
      <c r="K109" s="13">
        <v>0.52083333333333337</v>
      </c>
      <c r="L109" s="9">
        <v>41131</v>
      </c>
      <c r="M109" s="13">
        <v>0.63194444444444442</v>
      </c>
      <c r="N109" s="8" t="s">
        <v>62</v>
      </c>
      <c r="O109" s="14">
        <v>2.5</v>
      </c>
      <c r="P109" s="14">
        <v>0</v>
      </c>
      <c r="Q109" s="14">
        <v>0</v>
      </c>
      <c r="R109" s="8">
        <v>0</v>
      </c>
      <c r="S109" s="14">
        <v>0</v>
      </c>
      <c r="T109" s="14">
        <v>0</v>
      </c>
      <c r="U109" s="14">
        <v>0</v>
      </c>
      <c r="V109" s="8">
        <v>0</v>
      </c>
      <c r="W109" s="8">
        <v>0</v>
      </c>
      <c r="X109" s="14">
        <v>0</v>
      </c>
      <c r="Y109" s="14">
        <v>2.5</v>
      </c>
      <c r="Z109" s="14">
        <v>0</v>
      </c>
      <c r="AA109" s="14">
        <v>0</v>
      </c>
      <c r="AB109" s="8">
        <v>0</v>
      </c>
      <c r="AC109" s="14">
        <v>0</v>
      </c>
      <c r="AD109" s="3">
        <f t="shared" si="2"/>
        <v>2.5</v>
      </c>
      <c r="AE109" s="14" t="s">
        <v>117</v>
      </c>
      <c r="AF109" s="3" t="s">
        <v>117</v>
      </c>
      <c r="AG109" s="14" t="s">
        <v>72</v>
      </c>
      <c r="AH109" s="14" t="s">
        <v>610</v>
      </c>
      <c r="AI109" s="14" t="s">
        <v>65</v>
      </c>
      <c r="AJ109" s="6">
        <f t="shared" si="3"/>
        <v>200000</v>
      </c>
      <c r="AK109" s="14" t="s">
        <v>305</v>
      </c>
    </row>
    <row r="110" spans="1:37" x14ac:dyDescent="0.35">
      <c r="A110" s="7" t="s">
        <v>611</v>
      </c>
      <c r="B110" s="8" t="s">
        <v>409</v>
      </c>
      <c r="C110" s="8" t="s">
        <v>475</v>
      </c>
      <c r="D110" s="54" t="s">
        <v>612</v>
      </c>
      <c r="E110" s="8">
        <v>3989.2</v>
      </c>
      <c r="F110" s="8">
        <v>594.29999999999995</v>
      </c>
      <c r="G110" s="8">
        <v>1150</v>
      </c>
      <c r="H110" s="9">
        <v>41131</v>
      </c>
      <c r="I110" s="13">
        <v>0.54166666666666663</v>
      </c>
      <c r="J110" s="9">
        <v>41131</v>
      </c>
      <c r="K110" s="13">
        <v>0.54861111111111105</v>
      </c>
      <c r="L110" s="9">
        <v>41131</v>
      </c>
      <c r="M110" s="13">
        <v>0.60416666666666663</v>
      </c>
      <c r="N110" s="8" t="s">
        <v>62</v>
      </c>
      <c r="O110" s="14">
        <v>0.5</v>
      </c>
      <c r="P110" s="14">
        <v>0</v>
      </c>
      <c r="Q110" s="14">
        <v>0</v>
      </c>
      <c r="R110" s="8">
        <v>0</v>
      </c>
      <c r="S110" s="14">
        <v>0</v>
      </c>
      <c r="T110" s="14">
        <v>0</v>
      </c>
      <c r="U110" s="14">
        <v>0</v>
      </c>
      <c r="V110" s="8">
        <v>0</v>
      </c>
      <c r="W110" s="8">
        <v>0</v>
      </c>
      <c r="X110" s="14">
        <v>0</v>
      </c>
      <c r="Y110" s="14">
        <v>0.5</v>
      </c>
      <c r="Z110" s="14">
        <v>0</v>
      </c>
      <c r="AA110" s="14">
        <v>0</v>
      </c>
      <c r="AB110" s="8">
        <v>0</v>
      </c>
      <c r="AC110" s="14">
        <v>0</v>
      </c>
      <c r="AD110" s="3">
        <f t="shared" si="2"/>
        <v>0.5</v>
      </c>
      <c r="AE110" s="14" t="s">
        <v>117</v>
      </c>
      <c r="AF110" s="3" t="s">
        <v>117</v>
      </c>
      <c r="AG110" s="14" t="s">
        <v>554</v>
      </c>
      <c r="AH110" s="14" t="s">
        <v>613</v>
      </c>
      <c r="AI110" s="14" t="s">
        <v>304</v>
      </c>
      <c r="AJ110" s="6">
        <f t="shared" si="3"/>
        <v>40000</v>
      </c>
      <c r="AK110" s="14" t="s">
        <v>305</v>
      </c>
    </row>
    <row r="111" spans="1:37" x14ac:dyDescent="0.35">
      <c r="A111" s="7" t="s">
        <v>614</v>
      </c>
      <c r="B111" s="8" t="s">
        <v>286</v>
      </c>
      <c r="C111" s="8" t="s">
        <v>414</v>
      </c>
      <c r="D111" s="54" t="s">
        <v>529</v>
      </c>
      <c r="E111" s="8" t="s">
        <v>615</v>
      </c>
      <c r="F111" s="8" t="s">
        <v>616</v>
      </c>
      <c r="G111" s="8">
        <v>605</v>
      </c>
      <c r="H111" s="9">
        <v>41131</v>
      </c>
      <c r="I111" s="13">
        <v>0.59375</v>
      </c>
      <c r="J111" s="9">
        <v>41131</v>
      </c>
      <c r="K111" s="13">
        <v>0.60416666666666663</v>
      </c>
      <c r="L111" s="9">
        <v>41134</v>
      </c>
      <c r="M111" s="13">
        <v>0.79166666666666663</v>
      </c>
      <c r="N111" s="8" t="s">
        <v>62</v>
      </c>
      <c r="O111" s="14">
        <v>200</v>
      </c>
      <c r="P111" s="14">
        <v>0</v>
      </c>
      <c r="Q111" s="14">
        <v>0</v>
      </c>
      <c r="R111" s="8">
        <v>0</v>
      </c>
      <c r="S111" s="14">
        <v>0</v>
      </c>
      <c r="T111" s="14">
        <v>0</v>
      </c>
      <c r="U111" s="14">
        <v>0</v>
      </c>
      <c r="V111" s="8">
        <v>0</v>
      </c>
      <c r="W111" s="8">
        <v>0</v>
      </c>
      <c r="X111" s="14">
        <v>0</v>
      </c>
      <c r="Y111" s="14">
        <v>200</v>
      </c>
      <c r="Z111" s="14">
        <v>0</v>
      </c>
      <c r="AA111" s="14">
        <v>0</v>
      </c>
      <c r="AB111" s="8">
        <v>0</v>
      </c>
      <c r="AC111" s="14">
        <v>0</v>
      </c>
      <c r="AD111" s="3">
        <f t="shared" si="2"/>
        <v>200</v>
      </c>
      <c r="AE111" s="14" t="s">
        <v>117</v>
      </c>
      <c r="AF111" s="3" t="s">
        <v>117</v>
      </c>
      <c r="AG111" s="14" t="s">
        <v>57</v>
      </c>
      <c r="AH111" s="14" t="s">
        <v>599</v>
      </c>
      <c r="AI111" s="14" t="s">
        <v>473</v>
      </c>
      <c r="AJ111" s="6">
        <f t="shared" si="3"/>
        <v>16000000</v>
      </c>
      <c r="AK111" s="14" t="s">
        <v>305</v>
      </c>
    </row>
    <row r="112" spans="1:37" x14ac:dyDescent="0.35">
      <c r="A112" s="7" t="s">
        <v>617</v>
      </c>
      <c r="B112" s="8" t="s">
        <v>312</v>
      </c>
      <c r="C112" s="8" t="s">
        <v>312</v>
      </c>
      <c r="D112" s="54" t="s">
        <v>618</v>
      </c>
      <c r="E112" s="8" t="s">
        <v>619</v>
      </c>
      <c r="F112" s="8" t="s">
        <v>620</v>
      </c>
      <c r="G112" s="8">
        <v>895</v>
      </c>
      <c r="H112" s="9">
        <v>41131</v>
      </c>
      <c r="I112" s="13">
        <v>0.625</v>
      </c>
      <c r="J112" s="9">
        <v>41131</v>
      </c>
      <c r="K112" s="13">
        <v>0.63541666666666663</v>
      </c>
      <c r="L112" s="9">
        <v>41134</v>
      </c>
      <c r="M112" s="13">
        <v>0.79166666666666663</v>
      </c>
      <c r="N112" s="8" t="s">
        <v>81</v>
      </c>
      <c r="O112" s="14">
        <v>0</v>
      </c>
      <c r="P112" s="14">
        <v>400</v>
      </c>
      <c r="Q112" s="14">
        <v>0</v>
      </c>
      <c r="R112" s="8">
        <v>0</v>
      </c>
      <c r="S112" s="14">
        <v>0</v>
      </c>
      <c r="T112" s="14">
        <v>0</v>
      </c>
      <c r="U112" s="14">
        <v>0</v>
      </c>
      <c r="V112" s="8">
        <v>0</v>
      </c>
      <c r="W112" s="8">
        <v>0</v>
      </c>
      <c r="X112" s="14">
        <v>0</v>
      </c>
      <c r="Y112" s="14">
        <v>0</v>
      </c>
      <c r="Z112" s="14">
        <v>400</v>
      </c>
      <c r="AA112" s="14">
        <v>0</v>
      </c>
      <c r="AB112" s="8">
        <v>0</v>
      </c>
      <c r="AC112" s="14">
        <v>0</v>
      </c>
      <c r="AD112" s="3">
        <f t="shared" si="2"/>
        <v>400</v>
      </c>
      <c r="AE112" s="14" t="s">
        <v>117</v>
      </c>
      <c r="AF112" s="3" t="s">
        <v>117</v>
      </c>
      <c r="AG112" s="14" t="s">
        <v>57</v>
      </c>
      <c r="AH112" s="14" t="s">
        <v>599</v>
      </c>
      <c r="AI112" s="14" t="s">
        <v>473</v>
      </c>
      <c r="AJ112" s="6">
        <f t="shared" si="3"/>
        <v>31200000</v>
      </c>
      <c r="AK112" s="14" t="s">
        <v>305</v>
      </c>
    </row>
    <row r="113" spans="1:37" x14ac:dyDescent="0.35">
      <c r="A113" s="7" t="s">
        <v>621</v>
      </c>
      <c r="B113" s="8" t="s">
        <v>286</v>
      </c>
      <c r="C113" s="8" t="s">
        <v>622</v>
      </c>
      <c r="D113" s="54" t="s">
        <v>623</v>
      </c>
      <c r="E113" s="8">
        <v>595.1</v>
      </c>
      <c r="F113" s="8">
        <v>3999.4</v>
      </c>
      <c r="G113" s="8">
        <v>980</v>
      </c>
      <c r="H113" s="9">
        <v>41131</v>
      </c>
      <c r="I113" s="13">
        <v>0.64583333333333337</v>
      </c>
      <c r="J113" s="9">
        <v>41131</v>
      </c>
      <c r="K113" s="13">
        <v>0.65277777777777779</v>
      </c>
      <c r="L113" s="9">
        <v>41131</v>
      </c>
      <c r="M113" s="13">
        <v>0.68055555555555547</v>
      </c>
      <c r="N113" s="8" t="s">
        <v>62</v>
      </c>
      <c r="O113" s="14">
        <v>1</v>
      </c>
      <c r="P113" s="14">
        <v>0</v>
      </c>
      <c r="Q113" s="14">
        <v>0</v>
      </c>
      <c r="R113" s="8">
        <v>0</v>
      </c>
      <c r="S113" s="14">
        <v>0</v>
      </c>
      <c r="T113" s="14">
        <v>0</v>
      </c>
      <c r="U113" s="14">
        <v>0</v>
      </c>
      <c r="V113" s="8">
        <v>0</v>
      </c>
      <c r="W113" s="8">
        <v>0</v>
      </c>
      <c r="X113" s="14">
        <v>0</v>
      </c>
      <c r="Y113" s="14">
        <v>1</v>
      </c>
      <c r="Z113" s="14">
        <v>0</v>
      </c>
      <c r="AA113" s="14">
        <v>0</v>
      </c>
      <c r="AB113" s="8">
        <v>0</v>
      </c>
      <c r="AC113" s="14">
        <v>0</v>
      </c>
      <c r="AD113" s="3">
        <f t="shared" si="2"/>
        <v>1</v>
      </c>
      <c r="AE113" s="14" t="s">
        <v>117</v>
      </c>
      <c r="AF113" s="3" t="s">
        <v>117</v>
      </c>
      <c r="AG113" s="14" t="s">
        <v>57</v>
      </c>
      <c r="AH113" s="14" t="s">
        <v>624</v>
      </c>
      <c r="AI113" s="14" t="s">
        <v>65</v>
      </c>
      <c r="AJ113" s="6">
        <f t="shared" si="3"/>
        <v>80000</v>
      </c>
      <c r="AK113" s="14" t="s">
        <v>305</v>
      </c>
    </row>
    <row r="114" spans="1:37" x14ac:dyDescent="0.35">
      <c r="A114" s="7" t="s">
        <v>625</v>
      </c>
      <c r="B114" s="8" t="s">
        <v>626</v>
      </c>
      <c r="C114" s="8" t="s">
        <v>409</v>
      </c>
      <c r="D114" s="54" t="s">
        <v>627</v>
      </c>
      <c r="E114" s="8">
        <v>3992.7</v>
      </c>
      <c r="F114" s="8">
        <v>580.4</v>
      </c>
      <c r="G114" s="8">
        <v>1180</v>
      </c>
      <c r="H114" s="9">
        <v>41131</v>
      </c>
      <c r="I114" s="13">
        <v>0.93055555555555547</v>
      </c>
      <c r="J114" s="9">
        <v>41131</v>
      </c>
      <c r="K114" s="13">
        <v>0.9375</v>
      </c>
      <c r="L114" s="9">
        <v>41131</v>
      </c>
      <c r="M114" s="13">
        <v>0.96875</v>
      </c>
      <c r="N114" s="8" t="s">
        <v>41</v>
      </c>
      <c r="O114" s="14">
        <v>0</v>
      </c>
      <c r="P114" s="14">
        <v>0</v>
      </c>
      <c r="Q114" s="14">
        <v>5</v>
      </c>
      <c r="R114" s="8">
        <v>0</v>
      </c>
      <c r="S114" s="14">
        <v>0</v>
      </c>
      <c r="T114" s="14">
        <v>0</v>
      </c>
      <c r="U114" s="14">
        <v>0</v>
      </c>
      <c r="V114" s="8">
        <v>0</v>
      </c>
      <c r="W114" s="8">
        <v>0</v>
      </c>
      <c r="X114" s="14">
        <v>0</v>
      </c>
      <c r="Y114" s="14">
        <v>0</v>
      </c>
      <c r="Z114" s="14">
        <v>0</v>
      </c>
      <c r="AA114" s="14">
        <v>5</v>
      </c>
      <c r="AB114" s="8">
        <v>0</v>
      </c>
      <c r="AC114" s="14">
        <v>0</v>
      </c>
      <c r="AD114" s="3">
        <f t="shared" si="2"/>
        <v>5</v>
      </c>
      <c r="AE114" s="14" t="s">
        <v>117</v>
      </c>
      <c r="AF114" s="3" t="s">
        <v>117</v>
      </c>
      <c r="AG114" s="14" t="s">
        <v>628</v>
      </c>
      <c r="AH114" s="14" t="s">
        <v>629</v>
      </c>
      <c r="AI114" s="14" t="s">
        <v>348</v>
      </c>
      <c r="AJ114" s="6">
        <f t="shared" si="3"/>
        <v>75000</v>
      </c>
      <c r="AK114" s="14" t="s">
        <v>305</v>
      </c>
    </row>
    <row r="115" spans="1:37" x14ac:dyDescent="0.35">
      <c r="A115" s="7" t="s">
        <v>630</v>
      </c>
      <c r="B115" s="8" t="s">
        <v>68</v>
      </c>
      <c r="C115" s="8" t="s">
        <v>394</v>
      </c>
      <c r="D115" s="54" t="s">
        <v>631</v>
      </c>
      <c r="E115" s="8">
        <v>3998.1</v>
      </c>
      <c r="F115" s="8">
        <v>573.5</v>
      </c>
      <c r="G115" s="8">
        <v>860</v>
      </c>
      <c r="H115" s="9">
        <v>41132</v>
      </c>
      <c r="I115" s="13">
        <v>0.52083333333333337</v>
      </c>
      <c r="J115" s="9">
        <v>41132</v>
      </c>
      <c r="K115" s="13">
        <v>0.52777777777777779</v>
      </c>
      <c r="L115" s="9">
        <v>41132</v>
      </c>
      <c r="M115" s="13">
        <v>0.63541666666666663</v>
      </c>
      <c r="N115" s="8" t="s">
        <v>62</v>
      </c>
      <c r="O115" s="14">
        <v>4</v>
      </c>
      <c r="P115" s="14">
        <v>0</v>
      </c>
      <c r="Q115" s="14">
        <v>0</v>
      </c>
      <c r="R115" s="8">
        <v>0</v>
      </c>
      <c r="S115" s="14">
        <v>0</v>
      </c>
      <c r="T115" s="14">
        <v>0</v>
      </c>
      <c r="U115" s="14">
        <v>0</v>
      </c>
      <c r="V115" s="8">
        <v>0</v>
      </c>
      <c r="W115" s="8">
        <v>0</v>
      </c>
      <c r="X115" s="14">
        <v>0</v>
      </c>
      <c r="Y115" s="14">
        <v>4</v>
      </c>
      <c r="Z115" s="14">
        <v>0</v>
      </c>
      <c r="AA115" s="14">
        <v>0</v>
      </c>
      <c r="AB115" s="8">
        <v>0</v>
      </c>
      <c r="AC115" s="14">
        <v>0</v>
      </c>
      <c r="AD115" s="3">
        <f t="shared" si="2"/>
        <v>4</v>
      </c>
      <c r="AE115" s="14" t="s">
        <v>117</v>
      </c>
      <c r="AF115" s="3" t="s">
        <v>117</v>
      </c>
      <c r="AG115" s="14" t="s">
        <v>628</v>
      </c>
      <c r="AH115" s="14" t="s">
        <v>632</v>
      </c>
      <c r="AI115" s="14" t="s">
        <v>348</v>
      </c>
      <c r="AJ115" s="6">
        <f t="shared" si="3"/>
        <v>320000</v>
      </c>
      <c r="AK115" s="14" t="s">
        <v>305</v>
      </c>
    </row>
    <row r="116" spans="1:37" x14ac:dyDescent="0.35">
      <c r="A116" s="7" t="s">
        <v>633</v>
      </c>
      <c r="B116" s="8" t="s">
        <v>68</v>
      </c>
      <c r="C116" s="8" t="s">
        <v>68</v>
      </c>
      <c r="D116" s="54" t="s">
        <v>634</v>
      </c>
      <c r="E116" s="8">
        <v>4001.7</v>
      </c>
      <c r="F116" s="8">
        <v>559</v>
      </c>
      <c r="G116" s="8">
        <v>1000</v>
      </c>
      <c r="H116" s="9">
        <v>41133</v>
      </c>
      <c r="I116" s="13">
        <v>0.53472222222222221</v>
      </c>
      <c r="J116" s="9">
        <v>41133</v>
      </c>
      <c r="K116" s="13">
        <v>0.54513888888888895</v>
      </c>
      <c r="L116" s="9">
        <v>41133</v>
      </c>
      <c r="M116" s="13">
        <v>0.79166666666666663</v>
      </c>
      <c r="N116" s="8" t="s">
        <v>62</v>
      </c>
      <c r="O116" s="14">
        <v>2</v>
      </c>
      <c r="P116" s="14">
        <v>1</v>
      </c>
      <c r="Q116" s="14">
        <v>0</v>
      </c>
      <c r="R116" s="8">
        <v>0</v>
      </c>
      <c r="S116" s="14">
        <v>0</v>
      </c>
      <c r="T116" s="14">
        <v>0</v>
      </c>
      <c r="U116" s="14">
        <v>0</v>
      </c>
      <c r="V116" s="8">
        <v>0</v>
      </c>
      <c r="W116" s="8">
        <v>0</v>
      </c>
      <c r="X116" s="14">
        <v>0</v>
      </c>
      <c r="Y116" s="14">
        <v>2</v>
      </c>
      <c r="Z116" s="14">
        <v>1</v>
      </c>
      <c r="AA116" s="14">
        <v>0</v>
      </c>
      <c r="AB116" s="8">
        <v>0</v>
      </c>
      <c r="AC116" s="14">
        <v>0</v>
      </c>
      <c r="AD116" s="3">
        <f t="shared" si="2"/>
        <v>3</v>
      </c>
      <c r="AE116" s="14" t="s">
        <v>117</v>
      </c>
      <c r="AF116" s="3" t="s">
        <v>117</v>
      </c>
      <c r="AG116" s="14" t="s">
        <v>57</v>
      </c>
      <c r="AH116" s="14" t="s">
        <v>593</v>
      </c>
      <c r="AI116" s="14" t="s">
        <v>304</v>
      </c>
      <c r="AJ116" s="6">
        <f t="shared" si="3"/>
        <v>238000</v>
      </c>
      <c r="AK116" s="14" t="s">
        <v>305</v>
      </c>
    </row>
    <row r="117" spans="1:37" x14ac:dyDescent="0.35">
      <c r="A117" s="7" t="s">
        <v>635</v>
      </c>
      <c r="B117" s="8" t="s">
        <v>564</v>
      </c>
      <c r="C117" s="8" t="s">
        <v>307</v>
      </c>
      <c r="D117" s="54" t="s">
        <v>636</v>
      </c>
      <c r="E117" s="8">
        <v>605.15</v>
      </c>
      <c r="F117" s="8">
        <v>4014.4</v>
      </c>
      <c r="G117" s="8">
        <v>569</v>
      </c>
      <c r="H117" s="9">
        <v>41133</v>
      </c>
      <c r="I117" s="13">
        <v>0.63541666666666663</v>
      </c>
      <c r="J117" s="9">
        <v>41133</v>
      </c>
      <c r="K117" s="13">
        <v>0.64583333333333337</v>
      </c>
      <c r="L117" s="9">
        <v>41134</v>
      </c>
      <c r="M117" s="13">
        <v>0.3125</v>
      </c>
      <c r="N117" s="8" t="s">
        <v>62</v>
      </c>
      <c r="O117" s="14">
        <v>30</v>
      </c>
      <c r="P117" s="14">
        <v>0</v>
      </c>
      <c r="Q117" s="14">
        <v>0</v>
      </c>
      <c r="R117" s="8">
        <v>0</v>
      </c>
      <c r="S117" s="14">
        <v>0</v>
      </c>
      <c r="T117" s="14">
        <v>0</v>
      </c>
      <c r="U117" s="14">
        <v>0</v>
      </c>
      <c r="V117" s="8">
        <v>0</v>
      </c>
      <c r="W117" s="8">
        <v>0</v>
      </c>
      <c r="X117" s="14">
        <v>0</v>
      </c>
      <c r="Y117" s="14">
        <v>30</v>
      </c>
      <c r="Z117" s="14">
        <v>0</v>
      </c>
      <c r="AA117" s="14">
        <v>0</v>
      </c>
      <c r="AB117" s="8">
        <v>0</v>
      </c>
      <c r="AC117" s="14">
        <v>0</v>
      </c>
      <c r="AD117" s="3">
        <f t="shared" si="2"/>
        <v>30</v>
      </c>
      <c r="AE117" s="14" t="s">
        <v>117</v>
      </c>
      <c r="AF117" s="3" t="s">
        <v>117</v>
      </c>
      <c r="AG117" s="14" t="s">
        <v>72</v>
      </c>
      <c r="AH117" s="14" t="s">
        <v>637</v>
      </c>
      <c r="AI117" s="14" t="s">
        <v>65</v>
      </c>
      <c r="AJ117" s="6">
        <f t="shared" si="3"/>
        <v>2400000</v>
      </c>
      <c r="AK117" s="14" t="s">
        <v>305</v>
      </c>
    </row>
    <row r="118" spans="1:37" x14ac:dyDescent="0.35">
      <c r="A118" s="7" t="s">
        <v>638</v>
      </c>
      <c r="B118" s="8" t="s">
        <v>301</v>
      </c>
      <c r="C118" s="8" t="s">
        <v>301</v>
      </c>
      <c r="D118" s="54" t="s">
        <v>639</v>
      </c>
      <c r="E118" s="8" t="s">
        <v>640</v>
      </c>
      <c r="F118" s="8" t="s">
        <v>641</v>
      </c>
      <c r="G118" s="8">
        <v>885</v>
      </c>
      <c r="H118" s="9">
        <v>41133</v>
      </c>
      <c r="I118" s="13">
        <v>0.97222222222222221</v>
      </c>
      <c r="J118" s="9">
        <v>41133</v>
      </c>
      <c r="K118" s="13">
        <v>0.97916666666666663</v>
      </c>
      <c r="L118" s="9">
        <v>41134</v>
      </c>
      <c r="M118" s="13">
        <v>9.0277777777777776E-2</v>
      </c>
      <c r="N118" s="8" t="s">
        <v>41</v>
      </c>
      <c r="O118" s="14">
        <v>0</v>
      </c>
      <c r="P118" s="14">
        <v>0.5</v>
      </c>
      <c r="Q118" s="14">
        <v>1</v>
      </c>
      <c r="R118" s="8">
        <v>0</v>
      </c>
      <c r="S118" s="14">
        <v>0</v>
      </c>
      <c r="T118" s="14">
        <v>0</v>
      </c>
      <c r="U118" s="14">
        <v>0</v>
      </c>
      <c r="V118" s="8">
        <v>0</v>
      </c>
      <c r="W118" s="8">
        <v>0</v>
      </c>
      <c r="X118" s="14">
        <v>0</v>
      </c>
      <c r="Y118" s="14">
        <v>0</v>
      </c>
      <c r="Z118" s="14">
        <v>0.5</v>
      </c>
      <c r="AA118" s="14">
        <v>1</v>
      </c>
      <c r="AB118" s="8">
        <v>0</v>
      </c>
      <c r="AC118" s="14">
        <v>0</v>
      </c>
      <c r="AD118" s="3">
        <f t="shared" si="2"/>
        <v>1.5</v>
      </c>
      <c r="AE118" s="14" t="s">
        <v>117</v>
      </c>
      <c r="AF118" s="3" t="s">
        <v>117</v>
      </c>
      <c r="AG118" s="14" t="s">
        <v>57</v>
      </c>
      <c r="AH118" s="14" t="s">
        <v>599</v>
      </c>
      <c r="AI118" s="14" t="s">
        <v>304</v>
      </c>
      <c r="AJ118" s="6">
        <f t="shared" si="3"/>
        <v>54000</v>
      </c>
      <c r="AK118" s="14" t="s">
        <v>305</v>
      </c>
    </row>
    <row r="119" spans="1:37" x14ac:dyDescent="0.35">
      <c r="A119" s="7" t="s">
        <v>642</v>
      </c>
      <c r="B119" s="8" t="s">
        <v>68</v>
      </c>
      <c r="C119" s="8" t="s">
        <v>68</v>
      </c>
      <c r="D119" s="54" t="s">
        <v>643</v>
      </c>
      <c r="E119" s="8">
        <v>4001.3</v>
      </c>
      <c r="F119" s="8">
        <v>558.5</v>
      </c>
      <c r="G119" s="8">
        <v>1000</v>
      </c>
      <c r="H119" s="9">
        <v>41134</v>
      </c>
      <c r="I119" s="13">
        <v>0.38194444444444442</v>
      </c>
      <c r="J119" s="9">
        <v>41134</v>
      </c>
      <c r="K119" s="13">
        <v>0.3888888888888889</v>
      </c>
      <c r="L119" s="9">
        <v>41134</v>
      </c>
      <c r="M119" s="13">
        <v>0.75694444444444453</v>
      </c>
      <c r="N119" s="8" t="s">
        <v>62</v>
      </c>
      <c r="O119" s="14">
        <v>3</v>
      </c>
      <c r="P119" s="14">
        <v>0</v>
      </c>
      <c r="Q119" s="14">
        <v>0</v>
      </c>
      <c r="R119" s="8">
        <v>0</v>
      </c>
      <c r="S119" s="14">
        <v>0</v>
      </c>
      <c r="T119" s="14">
        <v>0</v>
      </c>
      <c r="U119" s="14">
        <v>0</v>
      </c>
      <c r="V119" s="8">
        <v>0</v>
      </c>
      <c r="W119" s="8">
        <v>0</v>
      </c>
      <c r="X119" s="14">
        <v>0</v>
      </c>
      <c r="Y119" s="14">
        <v>3</v>
      </c>
      <c r="Z119" s="14">
        <v>0</v>
      </c>
      <c r="AA119" s="14">
        <v>0</v>
      </c>
      <c r="AB119" s="8">
        <v>0</v>
      </c>
      <c r="AC119" s="14">
        <v>0</v>
      </c>
      <c r="AD119" s="3">
        <f t="shared" si="2"/>
        <v>3</v>
      </c>
      <c r="AE119" s="14" t="s">
        <v>117</v>
      </c>
      <c r="AF119" s="3" t="s">
        <v>117</v>
      </c>
      <c r="AG119" s="14" t="s">
        <v>57</v>
      </c>
      <c r="AH119" s="14" t="s">
        <v>613</v>
      </c>
      <c r="AI119" s="14" t="s">
        <v>304</v>
      </c>
      <c r="AJ119" s="6">
        <f t="shared" si="3"/>
        <v>240000</v>
      </c>
      <c r="AK119" s="14" t="s">
        <v>305</v>
      </c>
    </row>
    <row r="120" spans="1:37" x14ac:dyDescent="0.35">
      <c r="A120" s="7" t="s">
        <v>644</v>
      </c>
      <c r="B120" s="8" t="s">
        <v>286</v>
      </c>
      <c r="C120" s="8" t="s">
        <v>286</v>
      </c>
      <c r="D120" s="55" t="s">
        <v>645</v>
      </c>
      <c r="E120" s="8" t="s">
        <v>646</v>
      </c>
      <c r="F120" s="8" t="s">
        <v>647</v>
      </c>
      <c r="G120" s="8">
        <v>803</v>
      </c>
      <c r="H120" s="9">
        <v>41134</v>
      </c>
      <c r="I120" s="13">
        <v>0.47916666666666669</v>
      </c>
      <c r="J120" s="9">
        <v>41134</v>
      </c>
      <c r="K120" s="13">
        <v>0.48958333333333331</v>
      </c>
      <c r="L120" s="9">
        <v>41136</v>
      </c>
      <c r="M120" s="13">
        <v>0.33333333333333331</v>
      </c>
      <c r="N120" s="8" t="s">
        <v>62</v>
      </c>
      <c r="O120" s="14">
        <v>100</v>
      </c>
      <c r="P120" s="14">
        <v>60</v>
      </c>
      <c r="Q120" s="14">
        <v>0</v>
      </c>
      <c r="R120" s="8">
        <v>0</v>
      </c>
      <c r="S120" s="14">
        <v>0</v>
      </c>
      <c r="T120" s="14">
        <v>0</v>
      </c>
      <c r="U120" s="14">
        <v>0</v>
      </c>
      <c r="V120" s="8">
        <v>0</v>
      </c>
      <c r="W120" s="8">
        <v>0</v>
      </c>
      <c r="X120" s="14">
        <v>0</v>
      </c>
      <c r="Y120" s="14">
        <v>100</v>
      </c>
      <c r="Z120" s="14">
        <v>60</v>
      </c>
      <c r="AA120" s="14">
        <v>0</v>
      </c>
      <c r="AB120" s="8">
        <v>0</v>
      </c>
      <c r="AC120" s="14">
        <v>0</v>
      </c>
      <c r="AD120" s="3">
        <f t="shared" si="2"/>
        <v>160</v>
      </c>
      <c r="AE120" s="14" t="s">
        <v>117</v>
      </c>
      <c r="AF120" s="3" t="s">
        <v>117</v>
      </c>
      <c r="AG120" s="14" t="s">
        <v>57</v>
      </c>
      <c r="AH120" s="14" t="s">
        <v>599</v>
      </c>
      <c r="AI120" s="14" t="s">
        <v>473</v>
      </c>
      <c r="AJ120" s="6">
        <f t="shared" si="3"/>
        <v>12680000</v>
      </c>
      <c r="AK120" s="14" t="s">
        <v>305</v>
      </c>
    </row>
    <row r="121" spans="1:37" x14ac:dyDescent="0.35">
      <c r="A121" s="7" t="s">
        <v>648</v>
      </c>
      <c r="B121" s="8" t="s">
        <v>301</v>
      </c>
      <c r="C121" s="8" t="s">
        <v>301</v>
      </c>
      <c r="D121" s="54" t="s">
        <v>649</v>
      </c>
      <c r="E121" s="8" t="s">
        <v>640</v>
      </c>
      <c r="F121" s="8" t="s">
        <v>641</v>
      </c>
      <c r="G121" s="8">
        <v>885</v>
      </c>
      <c r="H121" s="9">
        <v>41134</v>
      </c>
      <c r="I121" s="13">
        <v>0.54166666666666663</v>
      </c>
      <c r="J121" s="9">
        <v>41134</v>
      </c>
      <c r="K121" s="13">
        <v>0.54513888888888895</v>
      </c>
      <c r="L121" s="9">
        <v>41134</v>
      </c>
      <c r="M121" s="13">
        <v>0.58333333333333337</v>
      </c>
      <c r="N121" s="8" t="s">
        <v>81</v>
      </c>
      <c r="O121" s="14">
        <v>0</v>
      </c>
      <c r="P121" s="14">
        <v>1</v>
      </c>
      <c r="Q121" s="14">
        <v>0.5</v>
      </c>
      <c r="R121" s="8">
        <v>0</v>
      </c>
      <c r="S121" s="14">
        <v>0</v>
      </c>
      <c r="T121" s="14">
        <v>0</v>
      </c>
      <c r="U121" s="14">
        <v>0</v>
      </c>
      <c r="V121" s="8">
        <v>0</v>
      </c>
      <c r="W121" s="8">
        <v>0</v>
      </c>
      <c r="X121" s="14">
        <v>0</v>
      </c>
      <c r="Y121" s="14">
        <v>0</v>
      </c>
      <c r="Z121" s="14">
        <v>1</v>
      </c>
      <c r="AA121" s="14">
        <v>0.5</v>
      </c>
      <c r="AB121" s="8">
        <v>0</v>
      </c>
      <c r="AC121" s="14">
        <v>0</v>
      </c>
      <c r="AD121" s="3">
        <f t="shared" si="2"/>
        <v>1.5</v>
      </c>
      <c r="AE121" s="14" t="s">
        <v>117</v>
      </c>
      <c r="AF121" s="3" t="s">
        <v>117</v>
      </c>
      <c r="AG121" s="14" t="s">
        <v>57</v>
      </c>
      <c r="AH121" s="14" t="s">
        <v>599</v>
      </c>
      <c r="AI121" s="14" t="s">
        <v>304</v>
      </c>
      <c r="AJ121" s="6">
        <f t="shared" si="3"/>
        <v>85500</v>
      </c>
      <c r="AK121" s="14" t="s">
        <v>305</v>
      </c>
    </row>
    <row r="122" spans="1:37" x14ac:dyDescent="0.35">
      <c r="A122" s="7" t="s">
        <v>650</v>
      </c>
      <c r="B122" s="8" t="s">
        <v>286</v>
      </c>
      <c r="C122" s="8" t="s">
        <v>287</v>
      </c>
      <c r="D122" s="54" t="s">
        <v>651</v>
      </c>
      <c r="E122" s="8"/>
      <c r="F122" s="8"/>
      <c r="G122" s="8"/>
      <c r="H122" s="9">
        <v>41134</v>
      </c>
      <c r="I122" s="13">
        <v>0.65972222222222221</v>
      </c>
      <c r="J122" s="9">
        <v>41134</v>
      </c>
      <c r="K122" s="13">
        <v>0.66666666666666663</v>
      </c>
      <c r="L122" s="9">
        <v>41136</v>
      </c>
      <c r="M122" s="13">
        <v>0.41666666666666669</v>
      </c>
      <c r="N122" s="8" t="s">
        <v>62</v>
      </c>
      <c r="O122" s="14">
        <v>40</v>
      </c>
      <c r="P122" s="14">
        <v>15</v>
      </c>
      <c r="Q122" s="14">
        <v>5</v>
      </c>
      <c r="R122" s="8">
        <v>0</v>
      </c>
      <c r="S122" s="14">
        <v>0</v>
      </c>
      <c r="T122" s="14">
        <v>0</v>
      </c>
      <c r="U122" s="14">
        <v>0</v>
      </c>
      <c r="V122" s="8">
        <v>0</v>
      </c>
      <c r="W122" s="8">
        <v>0</v>
      </c>
      <c r="X122" s="14">
        <v>0</v>
      </c>
      <c r="Y122" s="14">
        <v>40</v>
      </c>
      <c r="Z122" s="14">
        <v>15</v>
      </c>
      <c r="AA122" s="14">
        <v>5</v>
      </c>
      <c r="AB122" s="8">
        <v>0</v>
      </c>
      <c r="AC122" s="14">
        <v>0</v>
      </c>
      <c r="AD122" s="3">
        <f t="shared" si="2"/>
        <v>60</v>
      </c>
      <c r="AE122" s="14" t="s">
        <v>117</v>
      </c>
      <c r="AF122" s="3" t="s">
        <v>117</v>
      </c>
      <c r="AG122" s="14" t="s">
        <v>72</v>
      </c>
      <c r="AH122" s="14"/>
      <c r="AI122" s="14" t="s">
        <v>473</v>
      </c>
      <c r="AJ122" s="6">
        <f t="shared" si="3"/>
        <v>4445000</v>
      </c>
      <c r="AK122" s="14" t="s">
        <v>305</v>
      </c>
    </row>
    <row r="123" spans="1:37" x14ac:dyDescent="0.35">
      <c r="A123" s="7" t="s">
        <v>652</v>
      </c>
      <c r="B123" s="8" t="s">
        <v>286</v>
      </c>
      <c r="C123" s="8" t="s">
        <v>414</v>
      </c>
      <c r="D123" s="54" t="s">
        <v>535</v>
      </c>
      <c r="E123" s="8" t="s">
        <v>653</v>
      </c>
      <c r="F123" s="8" t="s">
        <v>654</v>
      </c>
      <c r="G123" s="8">
        <v>685</v>
      </c>
      <c r="H123" s="9">
        <v>41134</v>
      </c>
      <c r="I123" s="13">
        <v>0.79166666666666663</v>
      </c>
      <c r="J123" s="9">
        <v>41134</v>
      </c>
      <c r="K123" s="13">
        <v>0.79861111111111116</v>
      </c>
      <c r="L123" s="9">
        <v>41135</v>
      </c>
      <c r="M123" s="13">
        <v>0.29166666666666669</v>
      </c>
      <c r="N123" s="8" t="s">
        <v>62</v>
      </c>
      <c r="O123" s="14">
        <v>2</v>
      </c>
      <c r="P123" s="14">
        <v>0</v>
      </c>
      <c r="Q123" s="14">
        <v>0</v>
      </c>
      <c r="R123" s="8">
        <v>0</v>
      </c>
      <c r="S123" s="14">
        <v>0</v>
      </c>
      <c r="T123" s="14">
        <v>0</v>
      </c>
      <c r="U123" s="14">
        <v>0</v>
      </c>
      <c r="V123" s="8">
        <v>0</v>
      </c>
      <c r="W123" s="8">
        <v>0</v>
      </c>
      <c r="X123" s="14">
        <v>0</v>
      </c>
      <c r="Y123" s="14">
        <v>2</v>
      </c>
      <c r="Z123" s="14">
        <v>0</v>
      </c>
      <c r="AA123" s="14">
        <v>0</v>
      </c>
      <c r="AB123" s="8">
        <v>0</v>
      </c>
      <c r="AC123" s="14">
        <v>0</v>
      </c>
      <c r="AD123" s="3">
        <f t="shared" si="2"/>
        <v>2</v>
      </c>
      <c r="AE123" s="14" t="s">
        <v>117</v>
      </c>
      <c r="AF123" s="3" t="s">
        <v>117</v>
      </c>
      <c r="AG123" s="14" t="s">
        <v>57</v>
      </c>
      <c r="AH123" s="14" t="s">
        <v>599</v>
      </c>
      <c r="AI123" s="14" t="s">
        <v>65</v>
      </c>
      <c r="AJ123" s="6">
        <f t="shared" si="3"/>
        <v>160000</v>
      </c>
      <c r="AK123" s="14" t="s">
        <v>305</v>
      </c>
    </row>
    <row r="124" spans="1:37" x14ac:dyDescent="0.35">
      <c r="A124" s="7" t="s">
        <v>655</v>
      </c>
      <c r="B124" s="8" t="s">
        <v>301</v>
      </c>
      <c r="C124" s="8" t="s">
        <v>301</v>
      </c>
      <c r="D124" s="54" t="s">
        <v>656</v>
      </c>
      <c r="E124" s="8" t="s">
        <v>640</v>
      </c>
      <c r="F124" s="8" t="s">
        <v>641</v>
      </c>
      <c r="G124" s="8">
        <v>885</v>
      </c>
      <c r="H124" s="9">
        <v>41134</v>
      </c>
      <c r="I124" s="13">
        <v>0.8125</v>
      </c>
      <c r="J124" s="9">
        <v>41134</v>
      </c>
      <c r="K124" s="13">
        <v>0.81944444444444453</v>
      </c>
      <c r="L124" s="9">
        <v>41136</v>
      </c>
      <c r="M124" s="13">
        <v>0.79166666666666663</v>
      </c>
      <c r="N124" s="8" t="s">
        <v>484</v>
      </c>
      <c r="O124" s="14">
        <v>0</v>
      </c>
      <c r="P124" s="14">
        <v>1.5</v>
      </c>
      <c r="Q124" s="14">
        <v>0</v>
      </c>
      <c r="R124" s="8">
        <v>0</v>
      </c>
      <c r="S124" s="14">
        <v>0</v>
      </c>
      <c r="T124" s="14">
        <v>0</v>
      </c>
      <c r="U124" s="14">
        <v>0</v>
      </c>
      <c r="V124" s="8">
        <v>0</v>
      </c>
      <c r="W124" s="8">
        <v>0</v>
      </c>
      <c r="X124" s="14">
        <v>0</v>
      </c>
      <c r="Y124" s="14">
        <v>0</v>
      </c>
      <c r="Z124" s="14">
        <v>1.5</v>
      </c>
      <c r="AA124" s="14">
        <v>0</v>
      </c>
      <c r="AB124" s="8">
        <v>0</v>
      </c>
      <c r="AC124" s="14">
        <v>0</v>
      </c>
      <c r="AD124" s="3">
        <f t="shared" si="2"/>
        <v>1.5</v>
      </c>
      <c r="AE124" s="14" t="s">
        <v>117</v>
      </c>
      <c r="AF124" s="3" t="s">
        <v>117</v>
      </c>
      <c r="AG124" s="14" t="s">
        <v>57</v>
      </c>
      <c r="AH124" s="14" t="s">
        <v>599</v>
      </c>
      <c r="AI124" s="14" t="s">
        <v>304</v>
      </c>
      <c r="AJ124" s="6">
        <f t="shared" si="3"/>
        <v>117000</v>
      </c>
      <c r="AK124" s="14" t="s">
        <v>305</v>
      </c>
    </row>
    <row r="125" spans="1:37" x14ac:dyDescent="0.35">
      <c r="A125" s="7" t="s">
        <v>657</v>
      </c>
      <c r="B125" s="8" t="s">
        <v>301</v>
      </c>
      <c r="C125" s="8" t="s">
        <v>301</v>
      </c>
      <c r="D125" s="54" t="s">
        <v>302</v>
      </c>
      <c r="E125" s="8">
        <v>605.79999999999995</v>
      </c>
      <c r="F125" s="8">
        <v>346.8</v>
      </c>
      <c r="G125" s="8">
        <v>655</v>
      </c>
      <c r="H125" s="9">
        <v>41134</v>
      </c>
      <c r="I125" s="13">
        <v>0.92361111111111116</v>
      </c>
      <c r="J125" s="9">
        <v>41134</v>
      </c>
      <c r="K125" s="13">
        <v>0.93055555555555547</v>
      </c>
      <c r="L125" s="9">
        <v>41134</v>
      </c>
      <c r="M125" s="13">
        <v>0.95833333333333337</v>
      </c>
      <c r="N125" s="8" t="s">
        <v>484</v>
      </c>
      <c r="O125" s="14">
        <v>0</v>
      </c>
      <c r="P125" s="14">
        <v>0.05</v>
      </c>
      <c r="Q125" s="14">
        <v>0</v>
      </c>
      <c r="R125" s="8">
        <v>0</v>
      </c>
      <c r="S125" s="14">
        <v>0</v>
      </c>
      <c r="T125" s="14">
        <v>0</v>
      </c>
      <c r="U125" s="14">
        <v>0</v>
      </c>
      <c r="V125" s="8">
        <v>0</v>
      </c>
      <c r="W125" s="8">
        <v>0</v>
      </c>
      <c r="X125" s="14">
        <v>0</v>
      </c>
      <c r="Y125" s="14">
        <v>0</v>
      </c>
      <c r="Z125" s="14">
        <v>0.05</v>
      </c>
      <c r="AA125" s="14">
        <v>0</v>
      </c>
      <c r="AB125" s="8">
        <v>0</v>
      </c>
      <c r="AC125" s="14">
        <v>0</v>
      </c>
      <c r="AD125" s="3">
        <f t="shared" si="2"/>
        <v>0.05</v>
      </c>
      <c r="AE125" s="14" t="s">
        <v>117</v>
      </c>
      <c r="AF125" s="3" t="s">
        <v>117</v>
      </c>
      <c r="AG125" s="14" t="s">
        <v>57</v>
      </c>
      <c r="AH125" s="14" t="s">
        <v>599</v>
      </c>
      <c r="AI125" s="14" t="s">
        <v>304</v>
      </c>
      <c r="AJ125" s="6">
        <f t="shared" si="3"/>
        <v>3900</v>
      </c>
      <c r="AK125" s="14" t="s">
        <v>305</v>
      </c>
    </row>
    <row r="126" spans="1:37" x14ac:dyDescent="0.35">
      <c r="A126" s="7" t="s">
        <v>658</v>
      </c>
      <c r="B126" s="8" t="s">
        <v>312</v>
      </c>
      <c r="C126" s="8" t="s">
        <v>312</v>
      </c>
      <c r="D126" s="54" t="s">
        <v>88</v>
      </c>
      <c r="E126" s="8">
        <v>619.5</v>
      </c>
      <c r="F126" s="8">
        <v>346</v>
      </c>
      <c r="G126" s="8">
        <v>776</v>
      </c>
      <c r="H126" s="9">
        <v>41135</v>
      </c>
      <c r="I126" s="13">
        <v>0.4513888888888889</v>
      </c>
      <c r="J126" s="9">
        <v>41135</v>
      </c>
      <c r="K126" s="13">
        <v>0.45833333333333331</v>
      </c>
      <c r="L126" s="9">
        <v>41135</v>
      </c>
      <c r="M126" s="13">
        <v>0.75</v>
      </c>
      <c r="N126" s="8" t="s">
        <v>62</v>
      </c>
      <c r="O126" s="14">
        <v>2</v>
      </c>
      <c r="P126" s="14">
        <v>0</v>
      </c>
      <c r="Q126" s="14">
        <v>2</v>
      </c>
      <c r="R126" s="8">
        <v>0</v>
      </c>
      <c r="S126" s="14">
        <v>0</v>
      </c>
      <c r="T126" s="14">
        <v>0</v>
      </c>
      <c r="U126" s="14">
        <v>0</v>
      </c>
      <c r="V126" s="8">
        <v>0</v>
      </c>
      <c r="W126" s="8">
        <v>0</v>
      </c>
      <c r="X126" s="14">
        <v>0</v>
      </c>
      <c r="Y126" s="14">
        <v>2</v>
      </c>
      <c r="Z126" s="14"/>
      <c r="AA126" s="14">
        <v>2</v>
      </c>
      <c r="AB126" s="8">
        <v>0</v>
      </c>
      <c r="AC126" s="14">
        <v>0</v>
      </c>
      <c r="AD126" s="3">
        <f t="shared" si="2"/>
        <v>4</v>
      </c>
      <c r="AE126" s="14" t="s">
        <v>117</v>
      </c>
      <c r="AF126" s="3" t="s">
        <v>117</v>
      </c>
      <c r="AG126" s="14" t="s">
        <v>57</v>
      </c>
      <c r="AH126" s="14" t="s">
        <v>533</v>
      </c>
      <c r="AI126" s="14" t="s">
        <v>304</v>
      </c>
      <c r="AJ126" s="6">
        <f t="shared" si="3"/>
        <v>190000</v>
      </c>
      <c r="AK126" s="14" t="s">
        <v>305</v>
      </c>
    </row>
    <row r="127" spans="1:37" x14ac:dyDescent="0.35">
      <c r="A127" s="7" t="s">
        <v>659</v>
      </c>
      <c r="B127" s="8" t="s">
        <v>301</v>
      </c>
      <c r="C127" s="8" t="s">
        <v>481</v>
      </c>
      <c r="D127" s="54" t="s">
        <v>660</v>
      </c>
      <c r="E127" s="8" t="s">
        <v>661</v>
      </c>
      <c r="F127" s="8" t="s">
        <v>662</v>
      </c>
      <c r="G127" s="8">
        <v>755</v>
      </c>
      <c r="H127" s="9">
        <v>41135</v>
      </c>
      <c r="I127" s="13">
        <v>0.51041666666666663</v>
      </c>
      <c r="J127" s="9">
        <v>41135</v>
      </c>
      <c r="K127" s="13">
        <v>0.52083333333333337</v>
      </c>
      <c r="L127" s="9">
        <v>41137</v>
      </c>
      <c r="M127" s="13">
        <v>0.58333333333333337</v>
      </c>
      <c r="N127" s="8" t="s">
        <v>40</v>
      </c>
      <c r="O127" s="14">
        <v>78</v>
      </c>
      <c r="P127" s="14">
        <v>142</v>
      </c>
      <c r="Q127" s="14">
        <v>30</v>
      </c>
      <c r="R127" s="8">
        <v>0</v>
      </c>
      <c r="S127" s="14">
        <v>0</v>
      </c>
      <c r="T127" s="14">
        <v>0</v>
      </c>
      <c r="U127" s="14">
        <v>0</v>
      </c>
      <c r="V127" s="8">
        <v>0</v>
      </c>
      <c r="W127" s="8">
        <v>0</v>
      </c>
      <c r="X127" s="14">
        <v>0</v>
      </c>
      <c r="Y127" s="14">
        <v>78</v>
      </c>
      <c r="Z127" s="14">
        <v>142</v>
      </c>
      <c r="AA127" s="14">
        <v>30</v>
      </c>
      <c r="AB127" s="8">
        <v>0</v>
      </c>
      <c r="AC127" s="14">
        <v>0</v>
      </c>
      <c r="AD127" s="3">
        <f t="shared" si="2"/>
        <v>250</v>
      </c>
      <c r="AE127" s="14" t="s">
        <v>117</v>
      </c>
      <c r="AF127" s="3" t="s">
        <v>117</v>
      </c>
      <c r="AG127" s="14" t="s">
        <v>57</v>
      </c>
      <c r="AH127" s="14" t="s">
        <v>599</v>
      </c>
      <c r="AI127" s="14" t="s">
        <v>663</v>
      </c>
      <c r="AJ127" s="6">
        <f t="shared" si="3"/>
        <v>17766000</v>
      </c>
      <c r="AK127" s="14" t="s">
        <v>305</v>
      </c>
    </row>
    <row r="128" spans="1:37" x14ac:dyDescent="0.35">
      <c r="A128" s="7" t="s">
        <v>664</v>
      </c>
      <c r="B128" s="8" t="s">
        <v>564</v>
      </c>
      <c r="C128" s="8" t="s">
        <v>353</v>
      </c>
      <c r="D128" s="54" t="s">
        <v>665</v>
      </c>
      <c r="E128" s="8">
        <v>334.5</v>
      </c>
      <c r="F128" s="8">
        <v>684</v>
      </c>
      <c r="G128" s="8">
        <v>410</v>
      </c>
      <c r="H128" s="9">
        <v>41135</v>
      </c>
      <c r="I128" s="13">
        <v>0.57638888888888895</v>
      </c>
      <c r="J128" s="9">
        <v>41135</v>
      </c>
      <c r="K128" s="13">
        <v>0.58333333333333337</v>
      </c>
      <c r="L128" s="9">
        <v>41135</v>
      </c>
      <c r="M128" s="13">
        <v>0.77083333333333337</v>
      </c>
      <c r="N128" s="8" t="s">
        <v>62</v>
      </c>
      <c r="O128" s="14">
        <v>2</v>
      </c>
      <c r="P128" s="14">
        <v>0</v>
      </c>
      <c r="Q128" s="14">
        <v>0</v>
      </c>
      <c r="R128" s="8">
        <v>0</v>
      </c>
      <c r="S128" s="14">
        <v>0</v>
      </c>
      <c r="T128" s="14">
        <v>0</v>
      </c>
      <c r="U128" s="14">
        <v>0</v>
      </c>
      <c r="V128" s="8">
        <v>0</v>
      </c>
      <c r="W128" s="8">
        <v>0</v>
      </c>
      <c r="X128" s="14">
        <v>0</v>
      </c>
      <c r="Y128" s="14">
        <v>2</v>
      </c>
      <c r="Z128" s="14">
        <v>0</v>
      </c>
      <c r="AA128" s="14">
        <v>0</v>
      </c>
      <c r="AB128" s="8">
        <v>0</v>
      </c>
      <c r="AC128" s="14">
        <v>0</v>
      </c>
      <c r="AD128" s="3">
        <f t="shared" si="2"/>
        <v>2</v>
      </c>
      <c r="AE128" s="14" t="s">
        <v>117</v>
      </c>
      <c r="AF128" s="3" t="s">
        <v>117</v>
      </c>
      <c r="AG128" s="14" t="s">
        <v>57</v>
      </c>
      <c r="AH128" s="14" t="s">
        <v>666</v>
      </c>
      <c r="AI128" s="14" t="s">
        <v>304</v>
      </c>
      <c r="AJ128" s="6">
        <f t="shared" si="3"/>
        <v>160000</v>
      </c>
      <c r="AK128" s="14" t="s">
        <v>305</v>
      </c>
    </row>
    <row r="129" spans="1:37" x14ac:dyDescent="0.35">
      <c r="A129" s="7" t="s">
        <v>667</v>
      </c>
      <c r="B129" s="8" t="s">
        <v>68</v>
      </c>
      <c r="C129" s="8" t="s">
        <v>668</v>
      </c>
      <c r="D129" s="54" t="s">
        <v>669</v>
      </c>
      <c r="E129" s="8">
        <v>3991</v>
      </c>
      <c r="F129" s="8">
        <v>542</v>
      </c>
      <c r="G129" s="8">
        <v>900</v>
      </c>
      <c r="H129" s="9">
        <v>41135</v>
      </c>
      <c r="I129" s="13">
        <v>0.58333333333333337</v>
      </c>
      <c r="J129" s="9">
        <v>41135</v>
      </c>
      <c r="K129" s="13">
        <v>0.60416666666666663</v>
      </c>
      <c r="L129" s="9">
        <v>41135</v>
      </c>
      <c r="M129" s="13">
        <v>0.71527777777777779</v>
      </c>
      <c r="N129" s="8" t="s">
        <v>81</v>
      </c>
      <c r="O129" s="14">
        <v>0</v>
      </c>
      <c r="P129" s="14">
        <v>5</v>
      </c>
      <c r="Q129" s="14">
        <v>0</v>
      </c>
      <c r="R129" s="8">
        <v>0</v>
      </c>
      <c r="S129" s="14">
        <v>0</v>
      </c>
      <c r="T129" s="14">
        <v>0</v>
      </c>
      <c r="U129" s="14">
        <v>0</v>
      </c>
      <c r="V129" s="8">
        <v>0</v>
      </c>
      <c r="W129" s="8">
        <v>0</v>
      </c>
      <c r="X129" s="14">
        <v>0</v>
      </c>
      <c r="Y129" s="14">
        <v>0</v>
      </c>
      <c r="Z129" s="14">
        <v>5</v>
      </c>
      <c r="AA129" s="14">
        <v>0</v>
      </c>
      <c r="AB129" s="8">
        <v>0</v>
      </c>
      <c r="AC129" s="14">
        <v>0</v>
      </c>
      <c r="AD129" s="3">
        <f t="shared" si="2"/>
        <v>5</v>
      </c>
      <c r="AE129" s="14" t="s">
        <v>117</v>
      </c>
      <c r="AF129" s="3" t="s">
        <v>117</v>
      </c>
      <c r="AG129" s="14" t="s">
        <v>72</v>
      </c>
      <c r="AH129" s="14" t="s">
        <v>670</v>
      </c>
      <c r="AI129" s="14" t="s">
        <v>304</v>
      </c>
      <c r="AJ129" s="6">
        <f t="shared" si="3"/>
        <v>390000</v>
      </c>
      <c r="AK129" s="14" t="s">
        <v>305</v>
      </c>
    </row>
    <row r="130" spans="1:37" x14ac:dyDescent="0.35">
      <c r="A130" s="7" t="s">
        <v>671</v>
      </c>
      <c r="B130" s="8" t="s">
        <v>564</v>
      </c>
      <c r="C130" s="8" t="s">
        <v>282</v>
      </c>
      <c r="D130" s="54" t="s">
        <v>672</v>
      </c>
      <c r="E130" s="8">
        <v>350</v>
      </c>
      <c r="F130" s="8">
        <v>635.4</v>
      </c>
      <c r="G130" s="8">
        <v>1280</v>
      </c>
      <c r="H130" s="9">
        <v>41135</v>
      </c>
      <c r="I130" s="13">
        <v>0.65972222222222221</v>
      </c>
      <c r="J130" s="9">
        <v>41135</v>
      </c>
      <c r="K130" s="13">
        <v>0.66666666666666663</v>
      </c>
      <c r="L130" s="9">
        <v>41137</v>
      </c>
      <c r="M130" s="13">
        <v>0.375</v>
      </c>
      <c r="N130" s="8" t="s">
        <v>41</v>
      </c>
      <c r="O130" s="14">
        <v>7</v>
      </c>
      <c r="P130" s="14">
        <v>20</v>
      </c>
      <c r="Q130" s="14">
        <v>40</v>
      </c>
      <c r="R130" s="8">
        <v>0</v>
      </c>
      <c r="S130" s="14">
        <v>0</v>
      </c>
      <c r="T130" s="14">
        <v>0</v>
      </c>
      <c r="U130" s="14">
        <v>0</v>
      </c>
      <c r="V130" s="8">
        <v>0</v>
      </c>
      <c r="W130" s="8">
        <v>0</v>
      </c>
      <c r="X130" s="14">
        <v>0</v>
      </c>
      <c r="Y130" s="14">
        <v>7</v>
      </c>
      <c r="Z130" s="14">
        <v>20</v>
      </c>
      <c r="AA130" s="14">
        <v>40</v>
      </c>
      <c r="AB130" s="8">
        <v>0</v>
      </c>
      <c r="AC130" s="14">
        <v>0</v>
      </c>
      <c r="AD130" s="3">
        <f t="shared" si="2"/>
        <v>67</v>
      </c>
      <c r="AE130" s="14" t="s">
        <v>117</v>
      </c>
      <c r="AF130" s="3" t="s">
        <v>117</v>
      </c>
      <c r="AG130" s="14" t="s">
        <v>72</v>
      </c>
      <c r="AH130" s="14" t="s">
        <v>673</v>
      </c>
      <c r="AI130" s="14" t="s">
        <v>304</v>
      </c>
      <c r="AJ130" s="6">
        <f t="shared" si="3"/>
        <v>2720000</v>
      </c>
      <c r="AK130" s="14" t="s">
        <v>305</v>
      </c>
    </row>
    <row r="131" spans="1:37" x14ac:dyDescent="0.35">
      <c r="A131" s="7" t="s">
        <v>674</v>
      </c>
      <c r="B131" s="8" t="s">
        <v>286</v>
      </c>
      <c r="C131" s="8" t="s">
        <v>414</v>
      </c>
      <c r="D131" s="54" t="s">
        <v>675</v>
      </c>
      <c r="E131" s="8">
        <v>620</v>
      </c>
      <c r="F131" s="8">
        <v>341</v>
      </c>
      <c r="G131" s="8">
        <v>565</v>
      </c>
      <c r="H131" s="9">
        <v>41137</v>
      </c>
      <c r="I131" s="13">
        <v>0.4548611111111111</v>
      </c>
      <c r="J131" s="9">
        <v>41137</v>
      </c>
      <c r="K131" s="13">
        <v>0.46180555555555558</v>
      </c>
      <c r="L131" s="9">
        <v>41138</v>
      </c>
      <c r="M131" s="13">
        <v>0.54166666666666663</v>
      </c>
      <c r="N131" s="8" t="s">
        <v>62</v>
      </c>
      <c r="O131" s="14">
        <v>5</v>
      </c>
      <c r="P131" s="14">
        <v>0</v>
      </c>
      <c r="Q131" s="14">
        <v>0</v>
      </c>
      <c r="R131" s="8">
        <v>0</v>
      </c>
      <c r="S131" s="14">
        <v>0</v>
      </c>
      <c r="T131" s="14">
        <v>0</v>
      </c>
      <c r="U131" s="14">
        <v>0</v>
      </c>
      <c r="V131" s="8">
        <v>0</v>
      </c>
      <c r="W131" s="8">
        <v>0</v>
      </c>
      <c r="X131" s="14">
        <v>0</v>
      </c>
      <c r="Y131" s="14">
        <v>5</v>
      </c>
      <c r="Z131" s="14">
        <v>0</v>
      </c>
      <c r="AA131" s="14">
        <v>0</v>
      </c>
      <c r="AB131" s="8">
        <v>0</v>
      </c>
      <c r="AC131" s="14">
        <v>0</v>
      </c>
      <c r="AD131" s="3">
        <f t="shared" si="2"/>
        <v>5</v>
      </c>
      <c r="AE131" s="14" t="s">
        <v>117</v>
      </c>
      <c r="AF131" s="3" t="s">
        <v>117</v>
      </c>
      <c r="AG131" s="14" t="s">
        <v>72</v>
      </c>
      <c r="AH131" s="14" t="s">
        <v>599</v>
      </c>
      <c r="AI131" s="14" t="s">
        <v>304</v>
      </c>
      <c r="AJ131" s="6">
        <f t="shared" si="3"/>
        <v>400000</v>
      </c>
      <c r="AK131" s="14" t="s">
        <v>305</v>
      </c>
    </row>
    <row r="132" spans="1:37" x14ac:dyDescent="0.35">
      <c r="A132" s="7" t="s">
        <v>676</v>
      </c>
      <c r="B132" s="8" t="s">
        <v>286</v>
      </c>
      <c r="C132" s="8" t="s">
        <v>287</v>
      </c>
      <c r="D132" s="54" t="s">
        <v>595</v>
      </c>
      <c r="E132" s="12">
        <v>604.20000000000005</v>
      </c>
      <c r="F132" s="8">
        <v>4028.7</v>
      </c>
      <c r="G132" s="8">
        <v>576</v>
      </c>
      <c r="H132" s="9">
        <v>41137</v>
      </c>
      <c r="I132" s="13">
        <v>0.58333333333333337</v>
      </c>
      <c r="J132" s="9">
        <v>41137</v>
      </c>
      <c r="K132" s="13">
        <v>0.59027777777777779</v>
      </c>
      <c r="L132" s="9">
        <v>41137</v>
      </c>
      <c r="M132" s="13">
        <v>0.79166666666666663</v>
      </c>
      <c r="N132" s="8" t="s">
        <v>62</v>
      </c>
      <c r="O132" s="14">
        <v>10</v>
      </c>
      <c r="P132" s="14">
        <v>0</v>
      </c>
      <c r="Q132" s="14">
        <v>0</v>
      </c>
      <c r="R132" s="8">
        <v>0</v>
      </c>
      <c r="S132" s="14">
        <v>0</v>
      </c>
      <c r="T132" s="14">
        <v>0</v>
      </c>
      <c r="U132" s="14">
        <v>0</v>
      </c>
      <c r="V132" s="8">
        <v>0</v>
      </c>
      <c r="W132" s="8">
        <v>0</v>
      </c>
      <c r="X132" s="14" t="s">
        <v>677</v>
      </c>
      <c r="Y132" s="14">
        <v>10</v>
      </c>
      <c r="Z132" s="14">
        <v>0</v>
      </c>
      <c r="AA132" s="14">
        <v>0</v>
      </c>
      <c r="AB132" s="8">
        <v>0</v>
      </c>
      <c r="AC132" s="14" t="s">
        <v>677</v>
      </c>
      <c r="AD132" s="3">
        <f t="shared" si="2"/>
        <v>10</v>
      </c>
      <c r="AE132" s="14" t="s">
        <v>117</v>
      </c>
      <c r="AF132" s="3" t="s">
        <v>117</v>
      </c>
      <c r="AG132" s="14" t="s">
        <v>72</v>
      </c>
      <c r="AH132" s="14" t="s">
        <v>624</v>
      </c>
      <c r="AI132" s="14" t="s">
        <v>304</v>
      </c>
      <c r="AJ132" s="6">
        <f t="shared" si="3"/>
        <v>800000</v>
      </c>
      <c r="AK132" s="14" t="s">
        <v>305</v>
      </c>
    </row>
    <row r="133" spans="1:37" x14ac:dyDescent="0.35">
      <c r="A133" s="7" t="s">
        <v>678</v>
      </c>
      <c r="B133" s="8" t="s">
        <v>316</v>
      </c>
      <c r="C133" s="8" t="s">
        <v>510</v>
      </c>
      <c r="D133" s="54" t="s">
        <v>679</v>
      </c>
      <c r="E133" s="8">
        <v>569.20000000000005</v>
      </c>
      <c r="F133" s="8">
        <v>4042.1</v>
      </c>
      <c r="G133" s="8">
        <v>750</v>
      </c>
      <c r="H133" s="9">
        <v>41137</v>
      </c>
      <c r="I133" s="13">
        <v>0.65277777777777779</v>
      </c>
      <c r="J133" s="9">
        <v>41137</v>
      </c>
      <c r="K133" s="13">
        <v>0.66319444444444442</v>
      </c>
      <c r="L133" s="9">
        <v>41139</v>
      </c>
      <c r="M133" s="13">
        <v>0.6875</v>
      </c>
      <c r="N133" s="8" t="s">
        <v>484</v>
      </c>
      <c r="O133" s="14">
        <v>0</v>
      </c>
      <c r="P133" s="14">
        <v>20</v>
      </c>
      <c r="Q133" s="14">
        <v>0</v>
      </c>
      <c r="R133" s="8">
        <v>0</v>
      </c>
      <c r="S133" s="14">
        <v>0</v>
      </c>
      <c r="T133" s="14">
        <v>0</v>
      </c>
      <c r="U133" s="14">
        <v>0</v>
      </c>
      <c r="V133" s="8">
        <v>0</v>
      </c>
      <c r="W133" s="8">
        <v>0</v>
      </c>
      <c r="X133" s="14">
        <v>0</v>
      </c>
      <c r="Y133" s="14">
        <v>0</v>
      </c>
      <c r="Z133" s="14">
        <v>20</v>
      </c>
      <c r="AA133" s="14">
        <v>0</v>
      </c>
      <c r="AB133" s="8">
        <v>0</v>
      </c>
      <c r="AC133" s="14">
        <v>0</v>
      </c>
      <c r="AD133" s="3">
        <f t="shared" si="2"/>
        <v>20</v>
      </c>
      <c r="AE133" s="14" t="s">
        <v>117</v>
      </c>
      <c r="AF133" s="3" t="s">
        <v>117</v>
      </c>
      <c r="AG133" s="14" t="s">
        <v>57</v>
      </c>
      <c r="AH133" s="8" t="s">
        <v>323</v>
      </c>
      <c r="AI133" s="14" t="s">
        <v>304</v>
      </c>
      <c r="AJ133" s="6">
        <f t="shared" si="3"/>
        <v>1560000</v>
      </c>
      <c r="AK133" s="14" t="s">
        <v>305</v>
      </c>
    </row>
    <row r="134" spans="1:37" x14ac:dyDescent="0.35">
      <c r="A134" s="7" t="s">
        <v>680</v>
      </c>
      <c r="B134" s="8" t="s">
        <v>301</v>
      </c>
      <c r="C134" s="8" t="s">
        <v>481</v>
      </c>
      <c r="D134" s="54" t="s">
        <v>681</v>
      </c>
      <c r="E134" s="8">
        <v>603</v>
      </c>
      <c r="F134" s="8">
        <v>344.2</v>
      </c>
      <c r="G134" s="8">
        <v>675</v>
      </c>
      <c r="H134" s="9">
        <v>41137</v>
      </c>
      <c r="I134" s="13">
        <v>0.75347222222222221</v>
      </c>
      <c r="J134" s="9">
        <v>41137</v>
      </c>
      <c r="K134" s="13">
        <v>0.76041666666666663</v>
      </c>
      <c r="L134" s="9">
        <v>41137</v>
      </c>
      <c r="M134" s="13">
        <v>0.84375</v>
      </c>
      <c r="N134" s="8" t="s">
        <v>41</v>
      </c>
      <c r="O134" s="14">
        <v>0</v>
      </c>
      <c r="P134" s="14">
        <v>0</v>
      </c>
      <c r="Q134" s="14">
        <v>0.5</v>
      </c>
      <c r="R134" s="8">
        <v>0</v>
      </c>
      <c r="S134" s="14">
        <v>0</v>
      </c>
      <c r="T134" s="14">
        <v>0</v>
      </c>
      <c r="U134" s="14">
        <v>0</v>
      </c>
      <c r="V134" s="14">
        <v>0.5</v>
      </c>
      <c r="W134" s="8">
        <v>0</v>
      </c>
      <c r="X134" s="14">
        <v>0</v>
      </c>
      <c r="Y134" s="14">
        <v>0</v>
      </c>
      <c r="Z134" s="14">
        <v>0</v>
      </c>
      <c r="AA134" s="14">
        <v>1</v>
      </c>
      <c r="AB134" s="8">
        <v>0</v>
      </c>
      <c r="AC134" s="14">
        <v>0</v>
      </c>
      <c r="AD134" s="3">
        <f t="shared" si="2"/>
        <v>1</v>
      </c>
      <c r="AE134" s="14" t="s">
        <v>117</v>
      </c>
      <c r="AF134" s="3" t="s">
        <v>117</v>
      </c>
      <c r="AG134" s="14" t="s">
        <v>57</v>
      </c>
      <c r="AH134" s="14" t="s">
        <v>599</v>
      </c>
      <c r="AI134" s="14" t="s">
        <v>304</v>
      </c>
      <c r="AJ134" s="6">
        <f t="shared" si="3"/>
        <v>15000</v>
      </c>
      <c r="AK134" s="14" t="s">
        <v>305</v>
      </c>
    </row>
    <row r="135" spans="1:37" x14ac:dyDescent="0.35">
      <c r="A135" s="7" t="s">
        <v>682</v>
      </c>
      <c r="B135" s="8" t="s">
        <v>564</v>
      </c>
      <c r="C135" s="8" t="s">
        <v>282</v>
      </c>
      <c r="D135" s="54" t="s">
        <v>683</v>
      </c>
      <c r="E135" s="8">
        <v>352.3</v>
      </c>
      <c r="F135" s="8">
        <v>637</v>
      </c>
      <c r="G135" s="8">
        <v>1485</v>
      </c>
      <c r="H135" s="9">
        <v>41137</v>
      </c>
      <c r="I135" s="13">
        <v>0.75</v>
      </c>
      <c r="J135" s="9">
        <v>41137</v>
      </c>
      <c r="K135" s="13">
        <v>0.75694444444444453</v>
      </c>
      <c r="L135" s="9">
        <v>41139</v>
      </c>
      <c r="M135" s="13">
        <v>0.71180555555555547</v>
      </c>
      <c r="N135" s="8" t="s">
        <v>81</v>
      </c>
      <c r="O135" s="14">
        <v>25</v>
      </c>
      <c r="P135" s="14">
        <v>69.5</v>
      </c>
      <c r="Q135" s="14">
        <v>52</v>
      </c>
      <c r="R135" s="8">
        <v>0</v>
      </c>
      <c r="S135" s="14">
        <v>0</v>
      </c>
      <c r="T135" s="14">
        <v>0</v>
      </c>
      <c r="U135" s="14">
        <v>0</v>
      </c>
      <c r="V135" s="14">
        <v>0</v>
      </c>
      <c r="W135" s="8">
        <v>0</v>
      </c>
      <c r="X135" s="14">
        <v>0</v>
      </c>
      <c r="Y135" s="14">
        <v>25</v>
      </c>
      <c r="Z135" s="14">
        <v>69.5</v>
      </c>
      <c r="AA135" s="14">
        <v>52</v>
      </c>
      <c r="AB135" s="8">
        <v>0</v>
      </c>
      <c r="AC135" s="14">
        <v>0</v>
      </c>
      <c r="AD135" s="3">
        <f t="shared" si="2"/>
        <v>146.5</v>
      </c>
      <c r="AE135" s="14" t="s">
        <v>117</v>
      </c>
      <c r="AF135" s="3" t="s">
        <v>117</v>
      </c>
      <c r="AG135" s="14" t="s">
        <v>72</v>
      </c>
      <c r="AH135" s="14" t="s">
        <v>684</v>
      </c>
      <c r="AI135" s="14" t="s">
        <v>473</v>
      </c>
      <c r="AJ135" s="6">
        <f t="shared" si="3"/>
        <v>8201000</v>
      </c>
      <c r="AK135" s="14" t="s">
        <v>305</v>
      </c>
    </row>
    <row r="136" spans="1:37" x14ac:dyDescent="0.35">
      <c r="A136" s="7" t="s">
        <v>685</v>
      </c>
      <c r="B136" s="8" t="s">
        <v>316</v>
      </c>
      <c r="C136" s="8" t="s">
        <v>316</v>
      </c>
      <c r="D136" s="54" t="s">
        <v>686</v>
      </c>
      <c r="E136" s="8">
        <v>562.20000000000005</v>
      </c>
      <c r="F136" s="8">
        <v>4049.4</v>
      </c>
      <c r="G136" s="8">
        <v>840</v>
      </c>
      <c r="H136" s="9">
        <v>41138</v>
      </c>
      <c r="I136" s="13">
        <v>0.63888888888888895</v>
      </c>
      <c r="J136" s="9" t="s">
        <v>318</v>
      </c>
      <c r="K136" s="10" t="s">
        <v>318</v>
      </c>
      <c r="L136" s="9">
        <v>41139</v>
      </c>
      <c r="M136" s="13">
        <v>0.70833333333333337</v>
      </c>
      <c r="N136" s="8" t="s">
        <v>484</v>
      </c>
      <c r="O136" s="14">
        <v>0</v>
      </c>
      <c r="P136" s="14">
        <v>250</v>
      </c>
      <c r="Q136" s="14">
        <v>0</v>
      </c>
      <c r="R136" s="8">
        <v>0</v>
      </c>
      <c r="S136" s="14">
        <v>0</v>
      </c>
      <c r="T136" s="14">
        <v>0</v>
      </c>
      <c r="U136" s="14">
        <v>0</v>
      </c>
      <c r="V136" s="14">
        <v>0</v>
      </c>
      <c r="W136" s="8">
        <v>0</v>
      </c>
      <c r="X136" s="14" t="s">
        <v>687</v>
      </c>
      <c r="Y136" s="14">
        <v>0</v>
      </c>
      <c r="Z136" s="14">
        <v>250</v>
      </c>
      <c r="AA136" s="14">
        <v>0</v>
      </c>
      <c r="AB136" s="8">
        <v>0</v>
      </c>
      <c r="AC136" s="14" t="s">
        <v>687</v>
      </c>
      <c r="AD136" s="3">
        <f t="shared" si="2"/>
        <v>250</v>
      </c>
      <c r="AE136" s="14" t="s">
        <v>117</v>
      </c>
      <c r="AF136" s="3" t="s">
        <v>117</v>
      </c>
      <c r="AG136" s="14" t="s">
        <v>175</v>
      </c>
      <c r="AH136" s="8" t="s">
        <v>462</v>
      </c>
      <c r="AI136" s="14" t="s">
        <v>175</v>
      </c>
      <c r="AJ136" s="6">
        <f t="shared" si="3"/>
        <v>19500000</v>
      </c>
      <c r="AK136" s="14" t="s">
        <v>305</v>
      </c>
    </row>
    <row r="137" spans="1:37" x14ac:dyDescent="0.35">
      <c r="A137" s="7" t="s">
        <v>688</v>
      </c>
      <c r="B137" s="8" t="s">
        <v>357</v>
      </c>
      <c r="C137" s="8" t="s">
        <v>689</v>
      </c>
      <c r="D137" s="54" t="s">
        <v>690</v>
      </c>
      <c r="E137" s="8">
        <v>546.9</v>
      </c>
      <c r="F137" s="8">
        <v>4050.4</v>
      </c>
      <c r="G137" s="8">
        <v>650</v>
      </c>
      <c r="H137" s="9">
        <v>41138</v>
      </c>
      <c r="I137" s="13">
        <v>0.6875</v>
      </c>
      <c r="J137" s="9">
        <v>41138</v>
      </c>
      <c r="K137" s="13">
        <v>0.69791666666666663</v>
      </c>
      <c r="L137" s="9">
        <v>41138</v>
      </c>
      <c r="M137" s="13">
        <v>0.72222222222222221</v>
      </c>
      <c r="N137" s="8" t="s">
        <v>484</v>
      </c>
      <c r="O137" s="14">
        <v>0</v>
      </c>
      <c r="P137" s="14">
        <v>0.5</v>
      </c>
      <c r="Q137" s="14">
        <v>0</v>
      </c>
      <c r="R137" s="8">
        <v>0</v>
      </c>
      <c r="S137" s="14">
        <v>0</v>
      </c>
      <c r="T137" s="14">
        <v>0</v>
      </c>
      <c r="U137" s="14">
        <v>0</v>
      </c>
      <c r="V137" s="14">
        <v>0</v>
      </c>
      <c r="W137" s="8">
        <v>0</v>
      </c>
      <c r="X137" s="14">
        <v>0</v>
      </c>
      <c r="Y137" s="14">
        <v>0</v>
      </c>
      <c r="Z137" s="14">
        <v>0.5</v>
      </c>
      <c r="AA137" s="14">
        <v>0</v>
      </c>
      <c r="AB137" s="8">
        <v>0</v>
      </c>
      <c r="AC137" s="14">
        <v>0</v>
      </c>
      <c r="AD137" s="3">
        <f t="shared" si="2"/>
        <v>0.5</v>
      </c>
      <c r="AE137" s="14" t="s">
        <v>117</v>
      </c>
      <c r="AF137" s="3" t="s">
        <v>117</v>
      </c>
      <c r="AG137" s="14" t="s">
        <v>57</v>
      </c>
      <c r="AH137" s="8" t="s">
        <v>462</v>
      </c>
      <c r="AI137" s="14" t="s">
        <v>304</v>
      </c>
      <c r="AJ137" s="6">
        <f t="shared" si="3"/>
        <v>39000</v>
      </c>
      <c r="AK137" s="14" t="s">
        <v>305</v>
      </c>
    </row>
    <row r="138" spans="1:37" x14ac:dyDescent="0.35">
      <c r="A138" s="7" t="s">
        <v>691</v>
      </c>
      <c r="B138" s="8" t="s">
        <v>692</v>
      </c>
      <c r="C138" s="8" t="s">
        <v>693</v>
      </c>
      <c r="D138" s="54" t="s">
        <v>694</v>
      </c>
      <c r="E138" s="8" t="s">
        <v>695</v>
      </c>
      <c r="F138" s="8" t="s">
        <v>696</v>
      </c>
      <c r="G138" s="8">
        <v>565</v>
      </c>
      <c r="H138" s="9">
        <v>41139</v>
      </c>
      <c r="I138" s="13">
        <v>0.4375</v>
      </c>
      <c r="J138" s="9">
        <v>41139</v>
      </c>
      <c r="K138" s="13">
        <v>0.44444444444444442</v>
      </c>
      <c r="L138" s="9">
        <v>41141</v>
      </c>
      <c r="M138" s="8" t="s">
        <v>697</v>
      </c>
      <c r="N138" s="8" t="s">
        <v>62</v>
      </c>
      <c r="O138" s="14">
        <v>250</v>
      </c>
      <c r="P138" s="14">
        <v>0</v>
      </c>
      <c r="Q138" s="14">
        <v>0</v>
      </c>
      <c r="R138" s="8">
        <v>0</v>
      </c>
      <c r="S138" s="14">
        <v>0</v>
      </c>
      <c r="T138" s="14">
        <v>0</v>
      </c>
      <c r="U138" s="14">
        <v>0</v>
      </c>
      <c r="V138" s="14">
        <v>0</v>
      </c>
      <c r="W138" s="8">
        <v>0</v>
      </c>
      <c r="X138" s="14">
        <v>0</v>
      </c>
      <c r="Y138" s="14">
        <v>250</v>
      </c>
      <c r="Z138" s="14">
        <v>0</v>
      </c>
      <c r="AA138" s="14">
        <v>0</v>
      </c>
      <c r="AB138" s="8">
        <v>0</v>
      </c>
      <c r="AC138" s="14">
        <v>0</v>
      </c>
      <c r="AD138" s="3">
        <f t="shared" si="2"/>
        <v>250</v>
      </c>
      <c r="AE138" s="14" t="s">
        <v>117</v>
      </c>
      <c r="AF138" s="3" t="s">
        <v>117</v>
      </c>
      <c r="AG138" s="14" t="s">
        <v>72</v>
      </c>
      <c r="AH138" s="14" t="s">
        <v>599</v>
      </c>
      <c r="AI138" s="14" t="s">
        <v>304</v>
      </c>
      <c r="AJ138" s="6">
        <f t="shared" si="3"/>
        <v>20000000</v>
      </c>
      <c r="AK138" s="14" t="s">
        <v>305</v>
      </c>
    </row>
    <row r="139" spans="1:37" x14ac:dyDescent="0.35">
      <c r="A139" s="7" t="s">
        <v>698</v>
      </c>
      <c r="B139" s="8" t="s">
        <v>409</v>
      </c>
      <c r="C139" s="8" t="s">
        <v>475</v>
      </c>
      <c r="D139" s="54" t="s">
        <v>699</v>
      </c>
      <c r="E139" s="8">
        <v>3996.3</v>
      </c>
      <c r="F139" s="8">
        <v>595.4</v>
      </c>
      <c r="G139" s="8">
        <v>1000</v>
      </c>
      <c r="H139" s="9">
        <v>41140</v>
      </c>
      <c r="I139" s="13">
        <v>0.45833333333333331</v>
      </c>
      <c r="J139" s="9">
        <v>41140</v>
      </c>
      <c r="K139" s="13">
        <v>0.46875</v>
      </c>
      <c r="L139" s="9">
        <v>41140</v>
      </c>
      <c r="M139" s="13">
        <v>0.57291666666666663</v>
      </c>
      <c r="N139" s="8" t="s">
        <v>62</v>
      </c>
      <c r="O139" s="14">
        <v>1.5</v>
      </c>
      <c r="P139" s="14">
        <v>0.5</v>
      </c>
      <c r="Q139" s="14">
        <v>0</v>
      </c>
      <c r="R139" s="8">
        <v>0</v>
      </c>
      <c r="S139" s="14">
        <v>0</v>
      </c>
      <c r="T139" s="14">
        <v>0</v>
      </c>
      <c r="U139" s="14">
        <v>0</v>
      </c>
      <c r="V139" s="14">
        <v>0</v>
      </c>
      <c r="W139" s="8">
        <v>0</v>
      </c>
      <c r="X139" s="14">
        <v>0</v>
      </c>
      <c r="Y139" s="14">
        <v>1.5</v>
      </c>
      <c r="Z139" s="14">
        <v>0.5</v>
      </c>
      <c r="AA139" s="14">
        <v>0</v>
      </c>
      <c r="AB139" s="8">
        <v>0</v>
      </c>
      <c r="AC139" s="14">
        <v>0</v>
      </c>
      <c r="AD139" s="3">
        <f t="shared" si="2"/>
        <v>2</v>
      </c>
      <c r="AE139" s="14" t="s">
        <v>117</v>
      </c>
      <c r="AF139" s="3" t="s">
        <v>117</v>
      </c>
      <c r="AG139" s="14" t="s">
        <v>72</v>
      </c>
      <c r="AH139" s="14" t="s">
        <v>700</v>
      </c>
      <c r="AI139" s="14" t="s">
        <v>304</v>
      </c>
      <c r="AJ139" s="6">
        <f t="shared" si="3"/>
        <v>159000</v>
      </c>
      <c r="AK139" s="14" t="s">
        <v>305</v>
      </c>
    </row>
    <row r="140" spans="1:37" x14ac:dyDescent="0.35">
      <c r="A140" s="7" t="s">
        <v>701</v>
      </c>
      <c r="B140" s="8" t="s">
        <v>286</v>
      </c>
      <c r="C140" s="8" t="s">
        <v>458</v>
      </c>
      <c r="D140" s="54" t="s">
        <v>702</v>
      </c>
      <c r="E140" s="8">
        <v>602.70000000000005</v>
      </c>
      <c r="F140" s="8">
        <v>4005.45</v>
      </c>
      <c r="G140" s="8">
        <v>943</v>
      </c>
      <c r="H140" s="9">
        <v>41140</v>
      </c>
      <c r="I140" s="13">
        <v>0.60416666666666663</v>
      </c>
      <c r="J140" s="9">
        <v>41140</v>
      </c>
      <c r="K140" s="13">
        <v>0.61111111111111105</v>
      </c>
      <c r="L140" s="9">
        <v>41140</v>
      </c>
      <c r="M140" s="13">
        <v>0.66666666666666663</v>
      </c>
      <c r="N140" s="8" t="s">
        <v>62</v>
      </c>
      <c r="O140" s="14">
        <v>1</v>
      </c>
      <c r="P140" s="14">
        <v>0</v>
      </c>
      <c r="Q140" s="14">
        <v>0</v>
      </c>
      <c r="R140" s="8">
        <v>0</v>
      </c>
      <c r="S140" s="14">
        <v>0</v>
      </c>
      <c r="T140" s="14">
        <v>0</v>
      </c>
      <c r="U140" s="14">
        <v>0</v>
      </c>
      <c r="V140" s="14">
        <v>0</v>
      </c>
      <c r="W140" s="8">
        <v>0</v>
      </c>
      <c r="X140" s="14">
        <v>0</v>
      </c>
      <c r="Y140" s="14">
        <v>1</v>
      </c>
      <c r="Z140" s="14">
        <v>0</v>
      </c>
      <c r="AA140" s="14">
        <v>0</v>
      </c>
      <c r="AB140" s="8">
        <v>0</v>
      </c>
      <c r="AC140" s="14">
        <v>0</v>
      </c>
      <c r="AD140" s="3">
        <f t="shared" si="2"/>
        <v>1</v>
      </c>
      <c r="AE140" s="14" t="s">
        <v>117</v>
      </c>
      <c r="AF140" s="3" t="s">
        <v>117</v>
      </c>
      <c r="AG140" s="14" t="s">
        <v>72</v>
      </c>
      <c r="AH140" s="14" t="s">
        <v>666</v>
      </c>
      <c r="AI140" s="14" t="s">
        <v>65</v>
      </c>
      <c r="AJ140" s="6">
        <f t="shared" si="3"/>
        <v>80000</v>
      </c>
      <c r="AK140" s="14" t="s">
        <v>305</v>
      </c>
    </row>
    <row r="141" spans="1:37" x14ac:dyDescent="0.35">
      <c r="A141" s="7" t="s">
        <v>703</v>
      </c>
      <c r="B141" s="8" t="s">
        <v>301</v>
      </c>
      <c r="C141" s="8" t="s">
        <v>481</v>
      </c>
      <c r="D141" s="54" t="s">
        <v>202</v>
      </c>
      <c r="E141" s="8" t="s">
        <v>524</v>
      </c>
      <c r="F141" s="8" t="s">
        <v>525</v>
      </c>
      <c r="G141" s="8">
        <v>750</v>
      </c>
      <c r="H141" s="9">
        <v>41140</v>
      </c>
      <c r="I141" s="13">
        <v>0.61805555555555558</v>
      </c>
      <c r="J141" s="9">
        <v>41140</v>
      </c>
      <c r="K141" s="13">
        <v>0.625</v>
      </c>
      <c r="L141" s="9">
        <v>41140</v>
      </c>
      <c r="M141" s="13">
        <v>0.8125</v>
      </c>
      <c r="N141" s="8" t="s">
        <v>165</v>
      </c>
      <c r="O141" s="14">
        <v>5</v>
      </c>
      <c r="P141" s="14">
        <v>0</v>
      </c>
      <c r="Q141" s="14">
        <v>0</v>
      </c>
      <c r="R141" s="8">
        <v>0</v>
      </c>
      <c r="S141" s="14">
        <v>0</v>
      </c>
      <c r="T141" s="14">
        <v>0</v>
      </c>
      <c r="U141" s="14">
        <v>0</v>
      </c>
      <c r="V141" s="14">
        <v>0</v>
      </c>
      <c r="W141" s="8">
        <v>0</v>
      </c>
      <c r="X141" s="14">
        <v>0</v>
      </c>
      <c r="Y141" s="14">
        <v>5</v>
      </c>
      <c r="Z141" s="14">
        <v>0</v>
      </c>
      <c r="AA141" s="14">
        <v>0</v>
      </c>
      <c r="AB141" s="8">
        <v>0</v>
      </c>
      <c r="AC141" s="14">
        <v>0</v>
      </c>
      <c r="AD141" s="3">
        <f t="shared" si="2"/>
        <v>5</v>
      </c>
      <c r="AE141" s="14" t="s">
        <v>117</v>
      </c>
      <c r="AF141" s="3" t="s">
        <v>117</v>
      </c>
      <c r="AG141" s="14" t="s">
        <v>57</v>
      </c>
      <c r="AH141" s="14" t="s">
        <v>599</v>
      </c>
      <c r="AI141" s="14" t="s">
        <v>304</v>
      </c>
      <c r="AJ141" s="6">
        <f t="shared" si="3"/>
        <v>400000</v>
      </c>
      <c r="AK141" s="14" t="s">
        <v>305</v>
      </c>
    </row>
    <row r="142" spans="1:37" x14ac:dyDescent="0.35">
      <c r="A142" s="7" t="s">
        <v>704</v>
      </c>
      <c r="B142" s="8" t="s">
        <v>564</v>
      </c>
      <c r="C142" s="8" t="s">
        <v>282</v>
      </c>
      <c r="D142" s="54" t="s">
        <v>683</v>
      </c>
      <c r="E142" s="8">
        <v>349.4</v>
      </c>
      <c r="F142" s="8">
        <v>634.6</v>
      </c>
      <c r="G142" s="8">
        <v>1218</v>
      </c>
      <c r="H142" s="9">
        <v>41140</v>
      </c>
      <c r="I142" s="13">
        <v>0.61458333333333337</v>
      </c>
      <c r="J142" s="9">
        <v>41140</v>
      </c>
      <c r="K142" s="13">
        <v>0.62291666666666667</v>
      </c>
      <c r="L142" s="9">
        <v>41140</v>
      </c>
      <c r="M142" s="13">
        <v>0.6875</v>
      </c>
      <c r="N142" s="8" t="s">
        <v>41</v>
      </c>
      <c r="O142" s="14">
        <v>0</v>
      </c>
      <c r="P142" s="14">
        <v>0</v>
      </c>
      <c r="Q142" s="14">
        <v>1.5</v>
      </c>
      <c r="R142" s="8">
        <v>0</v>
      </c>
      <c r="S142" s="14">
        <v>0</v>
      </c>
      <c r="T142" s="14">
        <v>0</v>
      </c>
      <c r="U142" s="14">
        <v>0</v>
      </c>
      <c r="V142" s="14">
        <v>0</v>
      </c>
      <c r="W142" s="8">
        <v>0</v>
      </c>
      <c r="X142" s="14">
        <v>0</v>
      </c>
      <c r="Y142" s="14">
        <v>0</v>
      </c>
      <c r="Z142" s="14">
        <v>0</v>
      </c>
      <c r="AA142" s="14">
        <v>1.5</v>
      </c>
      <c r="AB142" s="8">
        <v>0</v>
      </c>
      <c r="AC142" s="14">
        <v>0</v>
      </c>
      <c r="AD142" s="3">
        <f t="shared" ref="AD142:AD205" si="4">(Y142+Z142+AA142)</f>
        <v>1.5</v>
      </c>
      <c r="AE142" s="14" t="s">
        <v>117</v>
      </c>
      <c r="AF142" s="3" t="s">
        <v>117</v>
      </c>
      <c r="AG142" s="14" t="s">
        <v>72</v>
      </c>
      <c r="AH142" s="14" t="s">
        <v>705</v>
      </c>
      <c r="AI142" s="14" t="s">
        <v>304</v>
      </c>
      <c r="AJ142" s="6">
        <f t="shared" ref="AJ142:AJ205" si="5">(Y142*80000)+(Z142*260*300)+(AA142*500*30)</f>
        <v>22500</v>
      </c>
      <c r="AK142" s="14" t="s">
        <v>305</v>
      </c>
    </row>
    <row r="143" spans="1:37" x14ac:dyDescent="0.35">
      <c r="A143" s="7" t="s">
        <v>706</v>
      </c>
      <c r="B143" s="8" t="s">
        <v>357</v>
      </c>
      <c r="C143" s="8" t="s">
        <v>447</v>
      </c>
      <c r="D143" s="54" t="s">
        <v>707</v>
      </c>
      <c r="E143" s="8">
        <v>536.4</v>
      </c>
      <c r="F143" s="8">
        <v>4039.5</v>
      </c>
      <c r="G143" s="8">
        <v>850</v>
      </c>
      <c r="H143" s="9">
        <v>41140</v>
      </c>
      <c r="I143" s="13">
        <v>0.67361111111111116</v>
      </c>
      <c r="J143" s="9" t="s">
        <v>318</v>
      </c>
      <c r="K143" s="10" t="s">
        <v>318</v>
      </c>
      <c r="L143" s="9">
        <v>41140</v>
      </c>
      <c r="M143" s="13">
        <v>0.8125</v>
      </c>
      <c r="N143" s="8" t="s">
        <v>62</v>
      </c>
      <c r="O143" s="14">
        <v>3</v>
      </c>
      <c r="P143" s="14">
        <v>1</v>
      </c>
      <c r="Q143" s="14">
        <v>0</v>
      </c>
      <c r="R143" s="8">
        <v>0</v>
      </c>
      <c r="S143" s="14">
        <v>0</v>
      </c>
      <c r="T143" s="14">
        <v>0</v>
      </c>
      <c r="U143" s="14">
        <v>0</v>
      </c>
      <c r="V143" s="14">
        <v>0</v>
      </c>
      <c r="W143" s="8">
        <v>0</v>
      </c>
      <c r="X143" s="14" t="s">
        <v>708</v>
      </c>
      <c r="Y143" s="14">
        <v>3</v>
      </c>
      <c r="Z143" s="14">
        <v>1</v>
      </c>
      <c r="AA143" s="14">
        <v>0</v>
      </c>
      <c r="AB143" s="8">
        <v>0</v>
      </c>
      <c r="AC143" s="14" t="s">
        <v>708</v>
      </c>
      <c r="AD143" s="3">
        <f t="shared" si="4"/>
        <v>4</v>
      </c>
      <c r="AE143" s="14" t="s">
        <v>117</v>
      </c>
      <c r="AF143" s="3" t="s">
        <v>117</v>
      </c>
      <c r="AG143" s="14" t="s">
        <v>175</v>
      </c>
      <c r="AH143" s="14"/>
      <c r="AI143" s="14" t="s">
        <v>175</v>
      </c>
      <c r="AJ143" s="6">
        <f t="shared" si="5"/>
        <v>318000</v>
      </c>
      <c r="AK143" s="14" t="s">
        <v>305</v>
      </c>
    </row>
    <row r="144" spans="1:37" x14ac:dyDescent="0.35">
      <c r="A144" s="7" t="s">
        <v>709</v>
      </c>
      <c r="B144" s="8" t="s">
        <v>564</v>
      </c>
      <c r="C144" s="8" t="s">
        <v>282</v>
      </c>
      <c r="D144" s="54" t="s">
        <v>683</v>
      </c>
      <c r="E144" s="8">
        <v>348.4</v>
      </c>
      <c r="F144" s="8">
        <v>634.1</v>
      </c>
      <c r="G144" s="8">
        <v>763</v>
      </c>
      <c r="H144" s="9">
        <v>41140</v>
      </c>
      <c r="I144" s="13">
        <v>0.8125</v>
      </c>
      <c r="J144" s="9">
        <v>41140</v>
      </c>
      <c r="K144" s="13">
        <v>0.81944444444444453</v>
      </c>
      <c r="L144" s="9">
        <v>41140</v>
      </c>
      <c r="M144" s="13">
        <v>0.91666666666666663</v>
      </c>
      <c r="N144" s="8" t="s">
        <v>484</v>
      </c>
      <c r="O144" s="14">
        <v>0</v>
      </c>
      <c r="P144" s="14">
        <v>1.5</v>
      </c>
      <c r="Q144" s="14">
        <v>0</v>
      </c>
      <c r="R144" s="8">
        <v>0</v>
      </c>
      <c r="S144" s="14">
        <v>0</v>
      </c>
      <c r="T144" s="14">
        <v>0</v>
      </c>
      <c r="U144" s="14">
        <v>0</v>
      </c>
      <c r="V144" s="14">
        <v>0</v>
      </c>
      <c r="W144" s="8">
        <v>0</v>
      </c>
      <c r="X144" s="14">
        <v>0</v>
      </c>
      <c r="Y144" s="14">
        <v>0</v>
      </c>
      <c r="Z144" s="14">
        <v>1.5</v>
      </c>
      <c r="AA144" s="14">
        <v>0</v>
      </c>
      <c r="AB144" s="8">
        <v>0</v>
      </c>
      <c r="AC144" s="14">
        <v>0</v>
      </c>
      <c r="AD144" s="3">
        <f t="shared" si="4"/>
        <v>1.5</v>
      </c>
      <c r="AE144" s="14" t="s">
        <v>117</v>
      </c>
      <c r="AF144" s="3" t="s">
        <v>117</v>
      </c>
      <c r="AG144" s="14" t="s">
        <v>72</v>
      </c>
      <c r="AH144" s="14" t="s">
        <v>710</v>
      </c>
      <c r="AI144" s="14" t="s">
        <v>473</v>
      </c>
      <c r="AJ144" s="6">
        <f t="shared" si="5"/>
        <v>117000</v>
      </c>
      <c r="AK144" s="14" t="s">
        <v>305</v>
      </c>
    </row>
    <row r="145" spans="1:37" x14ac:dyDescent="0.35">
      <c r="A145" s="7" t="s">
        <v>711</v>
      </c>
      <c r="B145" s="8" t="s">
        <v>301</v>
      </c>
      <c r="C145" s="8" t="s">
        <v>481</v>
      </c>
      <c r="D145" s="54" t="s">
        <v>712</v>
      </c>
      <c r="E145" s="8" t="s">
        <v>713</v>
      </c>
      <c r="F145" s="8" t="s">
        <v>714</v>
      </c>
      <c r="G145" s="8">
        <v>675</v>
      </c>
      <c r="H145" s="9">
        <v>41141</v>
      </c>
      <c r="I145" s="13">
        <v>0.6875</v>
      </c>
      <c r="J145" s="9">
        <v>41141</v>
      </c>
      <c r="K145" s="13">
        <v>0.69444444444444453</v>
      </c>
      <c r="L145" s="9">
        <v>41141</v>
      </c>
      <c r="M145" s="13">
        <v>0.8125</v>
      </c>
      <c r="N145" s="8" t="s">
        <v>165</v>
      </c>
      <c r="O145" s="14">
        <v>10</v>
      </c>
      <c r="P145" s="14">
        <v>0</v>
      </c>
      <c r="Q145" s="14">
        <v>5</v>
      </c>
      <c r="R145" s="8">
        <v>0</v>
      </c>
      <c r="S145" s="14">
        <v>0</v>
      </c>
      <c r="T145" s="14">
        <v>0</v>
      </c>
      <c r="U145" s="14">
        <v>0</v>
      </c>
      <c r="V145" s="14">
        <v>0</v>
      </c>
      <c r="W145" s="8">
        <v>0</v>
      </c>
      <c r="X145" s="14" t="s">
        <v>715</v>
      </c>
      <c r="Y145" s="14">
        <v>10</v>
      </c>
      <c r="Z145" s="14">
        <v>0</v>
      </c>
      <c r="AA145" s="14">
        <v>5</v>
      </c>
      <c r="AB145" s="8">
        <v>0</v>
      </c>
      <c r="AC145" s="14" t="s">
        <v>715</v>
      </c>
      <c r="AD145" s="3">
        <f t="shared" si="4"/>
        <v>15</v>
      </c>
      <c r="AE145" s="14" t="s">
        <v>117</v>
      </c>
      <c r="AF145" s="3" t="s">
        <v>117</v>
      </c>
      <c r="AG145" s="14" t="s">
        <v>57</v>
      </c>
      <c r="AH145" s="14" t="s">
        <v>599</v>
      </c>
      <c r="AI145" s="14" t="s">
        <v>304</v>
      </c>
      <c r="AJ145" s="6">
        <f t="shared" si="5"/>
        <v>875000</v>
      </c>
      <c r="AK145" s="14" t="s">
        <v>305</v>
      </c>
    </row>
    <row r="146" spans="1:37" x14ac:dyDescent="0.35">
      <c r="A146" s="7" t="s">
        <v>716</v>
      </c>
      <c r="B146" s="8" t="s">
        <v>564</v>
      </c>
      <c r="C146" s="8" t="s">
        <v>491</v>
      </c>
      <c r="D146" s="54" t="s">
        <v>717</v>
      </c>
      <c r="E146" s="8">
        <v>349.7</v>
      </c>
      <c r="F146" s="8">
        <v>648.9</v>
      </c>
      <c r="G146" s="8">
        <v>960</v>
      </c>
      <c r="H146" s="9">
        <v>41141</v>
      </c>
      <c r="I146" s="13">
        <v>0.875</v>
      </c>
      <c r="J146" s="9">
        <v>41141</v>
      </c>
      <c r="K146" s="13">
        <v>0.88194444444444453</v>
      </c>
      <c r="L146" s="9">
        <v>41141</v>
      </c>
      <c r="M146" s="13">
        <v>0.95833333333333337</v>
      </c>
      <c r="N146" s="8" t="s">
        <v>81</v>
      </c>
      <c r="O146" s="14">
        <v>0</v>
      </c>
      <c r="P146" s="14">
        <v>1</v>
      </c>
      <c r="Q146" s="14">
        <v>0</v>
      </c>
      <c r="R146" s="8">
        <v>0</v>
      </c>
      <c r="S146" s="14">
        <v>0</v>
      </c>
      <c r="T146" s="14">
        <v>0</v>
      </c>
      <c r="U146" s="14">
        <v>0</v>
      </c>
      <c r="V146" s="14">
        <v>0</v>
      </c>
      <c r="W146" s="8">
        <v>0</v>
      </c>
      <c r="X146" s="14" t="s">
        <v>718</v>
      </c>
      <c r="Y146" s="14">
        <v>0</v>
      </c>
      <c r="Z146" s="14">
        <v>1</v>
      </c>
      <c r="AA146" s="14">
        <v>0</v>
      </c>
      <c r="AB146" s="8">
        <v>0</v>
      </c>
      <c r="AC146" s="14" t="s">
        <v>718</v>
      </c>
      <c r="AD146" s="3">
        <f t="shared" si="4"/>
        <v>1</v>
      </c>
      <c r="AE146" s="14" t="s">
        <v>117</v>
      </c>
      <c r="AF146" s="3" t="s">
        <v>117</v>
      </c>
      <c r="AG146" s="14" t="s">
        <v>72</v>
      </c>
      <c r="AH146" s="14" t="s">
        <v>719</v>
      </c>
      <c r="AI146" s="14" t="s">
        <v>473</v>
      </c>
      <c r="AJ146" s="6">
        <f t="shared" si="5"/>
        <v>78000</v>
      </c>
      <c r="AK146" s="14" t="s">
        <v>305</v>
      </c>
    </row>
    <row r="147" spans="1:37" x14ac:dyDescent="0.35">
      <c r="A147" s="7" t="s">
        <v>720</v>
      </c>
      <c r="B147" s="8" t="s">
        <v>357</v>
      </c>
      <c r="C147" s="8" t="s">
        <v>357</v>
      </c>
      <c r="D147" s="54" t="s">
        <v>721</v>
      </c>
      <c r="E147" s="8">
        <v>549.70000000000005</v>
      </c>
      <c r="F147" s="8">
        <v>4048.9</v>
      </c>
      <c r="G147" s="8">
        <v>450</v>
      </c>
      <c r="H147" s="9">
        <v>41142</v>
      </c>
      <c r="I147" s="13">
        <v>0.67013888888888884</v>
      </c>
      <c r="J147" s="9">
        <v>41142</v>
      </c>
      <c r="K147" s="13">
        <v>0.67708333333333337</v>
      </c>
      <c r="L147" s="9">
        <v>41142</v>
      </c>
      <c r="M147" s="13">
        <v>0.77083333333333337</v>
      </c>
      <c r="N147" s="8" t="s">
        <v>484</v>
      </c>
      <c r="O147" s="14">
        <v>0</v>
      </c>
      <c r="P147" s="14">
        <v>1.5</v>
      </c>
      <c r="Q147" s="14">
        <v>0</v>
      </c>
      <c r="R147" s="8">
        <v>0</v>
      </c>
      <c r="S147" s="14">
        <v>0</v>
      </c>
      <c r="T147" s="14">
        <v>0</v>
      </c>
      <c r="U147" s="14">
        <v>0</v>
      </c>
      <c r="V147" s="14">
        <v>0</v>
      </c>
      <c r="W147" s="8">
        <v>0</v>
      </c>
      <c r="X147" s="14" t="s">
        <v>722</v>
      </c>
      <c r="Y147" s="14">
        <v>0</v>
      </c>
      <c r="Z147" s="14">
        <v>1.5</v>
      </c>
      <c r="AA147" s="14">
        <v>0</v>
      </c>
      <c r="AB147" s="8">
        <v>0</v>
      </c>
      <c r="AC147" s="14" t="s">
        <v>723</v>
      </c>
      <c r="AD147" s="3">
        <f t="shared" si="4"/>
        <v>1.5</v>
      </c>
      <c r="AE147" s="14" t="s">
        <v>117</v>
      </c>
      <c r="AF147" s="3" t="s">
        <v>117</v>
      </c>
      <c r="AG147" s="14" t="s">
        <v>57</v>
      </c>
      <c r="AH147" s="14"/>
      <c r="AI147" s="14" t="s">
        <v>304</v>
      </c>
      <c r="AJ147" s="6">
        <f t="shared" si="5"/>
        <v>117000</v>
      </c>
      <c r="AK147" s="14" t="s">
        <v>305</v>
      </c>
    </row>
    <row r="148" spans="1:37" x14ac:dyDescent="0.35">
      <c r="A148" s="7" t="s">
        <v>724</v>
      </c>
      <c r="B148" s="8" t="s">
        <v>357</v>
      </c>
      <c r="C148" s="8" t="s">
        <v>357</v>
      </c>
      <c r="D148" s="54" t="s">
        <v>725</v>
      </c>
      <c r="E148" s="8">
        <v>558.6</v>
      </c>
      <c r="F148" s="8">
        <v>4048.9</v>
      </c>
      <c r="G148" s="8">
        <v>800</v>
      </c>
      <c r="H148" s="9">
        <v>41143</v>
      </c>
      <c r="I148" s="13">
        <v>0.53125</v>
      </c>
      <c r="J148" s="9" t="s">
        <v>318</v>
      </c>
      <c r="K148" s="10" t="s">
        <v>318</v>
      </c>
      <c r="L148" s="9">
        <v>41144</v>
      </c>
      <c r="M148" s="13">
        <v>0.3125</v>
      </c>
      <c r="N148" s="8" t="s">
        <v>484</v>
      </c>
      <c r="O148" s="14">
        <v>0</v>
      </c>
      <c r="P148" s="14">
        <v>12</v>
      </c>
      <c r="Q148" s="14">
        <v>0</v>
      </c>
      <c r="R148" s="8">
        <v>0</v>
      </c>
      <c r="S148" s="14">
        <v>0</v>
      </c>
      <c r="T148" s="14">
        <v>0</v>
      </c>
      <c r="U148" s="14">
        <v>0</v>
      </c>
      <c r="V148" s="14">
        <v>0</v>
      </c>
      <c r="W148" s="8">
        <v>0</v>
      </c>
      <c r="X148" s="14" t="s">
        <v>726</v>
      </c>
      <c r="Y148" s="14">
        <v>0</v>
      </c>
      <c r="Z148" s="14">
        <v>12</v>
      </c>
      <c r="AA148" s="14">
        <v>0</v>
      </c>
      <c r="AB148" s="8">
        <v>0</v>
      </c>
      <c r="AC148" s="14" t="s">
        <v>727</v>
      </c>
      <c r="AD148" s="3">
        <f t="shared" si="4"/>
        <v>12</v>
      </c>
      <c r="AE148" s="14" t="s">
        <v>117</v>
      </c>
      <c r="AF148" s="3" t="s">
        <v>117</v>
      </c>
      <c r="AG148" s="14" t="s">
        <v>175</v>
      </c>
      <c r="AH148" s="14"/>
      <c r="AI148" s="14" t="s">
        <v>175</v>
      </c>
      <c r="AJ148" s="6">
        <f t="shared" si="5"/>
        <v>936000</v>
      </c>
      <c r="AK148" s="14" t="s">
        <v>305</v>
      </c>
    </row>
    <row r="149" spans="1:37" x14ac:dyDescent="0.35">
      <c r="A149" s="7" t="s">
        <v>728</v>
      </c>
      <c r="B149" s="8" t="s">
        <v>301</v>
      </c>
      <c r="C149" s="8" t="s">
        <v>481</v>
      </c>
      <c r="D149" s="54" t="s">
        <v>729</v>
      </c>
      <c r="E149" s="8" t="s">
        <v>730</v>
      </c>
      <c r="F149" s="8" t="s">
        <v>731</v>
      </c>
      <c r="G149" s="8">
        <v>769</v>
      </c>
      <c r="H149" s="9">
        <v>41143</v>
      </c>
      <c r="I149" s="13">
        <v>0.64583333333333337</v>
      </c>
      <c r="J149" s="9">
        <v>41143</v>
      </c>
      <c r="K149" s="13">
        <v>0.65625</v>
      </c>
      <c r="L149" s="9">
        <v>41143</v>
      </c>
      <c r="M149" s="13">
        <v>0.71875</v>
      </c>
      <c r="N149" s="8" t="s">
        <v>526</v>
      </c>
      <c r="O149" s="14">
        <v>1</v>
      </c>
      <c r="P149" s="14">
        <v>0</v>
      </c>
      <c r="Q149" s="14">
        <v>0</v>
      </c>
      <c r="R149" s="8">
        <v>0</v>
      </c>
      <c r="S149" s="14">
        <v>0</v>
      </c>
      <c r="T149" s="14">
        <v>0</v>
      </c>
      <c r="U149" s="14">
        <v>0</v>
      </c>
      <c r="V149" s="14">
        <v>0</v>
      </c>
      <c r="W149" s="8">
        <v>0</v>
      </c>
      <c r="X149" s="14">
        <v>0</v>
      </c>
      <c r="Y149" s="14">
        <v>1</v>
      </c>
      <c r="Z149" s="14">
        <v>0</v>
      </c>
      <c r="AA149" s="14">
        <v>0</v>
      </c>
      <c r="AB149" s="8">
        <v>0</v>
      </c>
      <c r="AC149" s="14">
        <v>0</v>
      </c>
      <c r="AD149" s="3">
        <f t="shared" si="4"/>
        <v>1</v>
      </c>
      <c r="AE149" s="14" t="s">
        <v>117</v>
      </c>
      <c r="AF149" s="3" t="s">
        <v>117</v>
      </c>
      <c r="AG149" s="14" t="s">
        <v>57</v>
      </c>
      <c r="AH149" s="14" t="s">
        <v>732</v>
      </c>
      <c r="AI149" s="14" t="s">
        <v>304</v>
      </c>
      <c r="AJ149" s="6">
        <f t="shared" si="5"/>
        <v>80000</v>
      </c>
      <c r="AK149" s="14" t="s">
        <v>305</v>
      </c>
    </row>
    <row r="150" spans="1:37" x14ac:dyDescent="0.35">
      <c r="A150" s="7" t="s">
        <v>733</v>
      </c>
      <c r="B150" s="8" t="s">
        <v>301</v>
      </c>
      <c r="C150" s="8" t="s">
        <v>301</v>
      </c>
      <c r="D150" s="54" t="s">
        <v>497</v>
      </c>
      <c r="E150" s="8" t="s">
        <v>640</v>
      </c>
      <c r="F150" s="8" t="s">
        <v>641</v>
      </c>
      <c r="G150" s="8">
        <v>885</v>
      </c>
      <c r="H150" s="9">
        <v>41143</v>
      </c>
      <c r="I150" s="13">
        <v>0.83333333333333337</v>
      </c>
      <c r="J150" s="9">
        <v>41143</v>
      </c>
      <c r="K150" s="13">
        <v>0.84027777777777779</v>
      </c>
      <c r="L150" s="9">
        <v>41143</v>
      </c>
      <c r="M150" s="13">
        <v>0.92708333333333337</v>
      </c>
      <c r="N150" s="8" t="s">
        <v>41</v>
      </c>
      <c r="O150" s="14">
        <v>0</v>
      </c>
      <c r="P150" s="14">
        <v>1</v>
      </c>
      <c r="Q150" s="14">
        <v>5</v>
      </c>
      <c r="R150" s="8">
        <v>0</v>
      </c>
      <c r="S150" s="14">
        <v>0</v>
      </c>
      <c r="T150" s="14">
        <v>0</v>
      </c>
      <c r="U150" s="14">
        <v>0</v>
      </c>
      <c r="V150" s="14">
        <v>0</v>
      </c>
      <c r="W150" s="8">
        <v>0</v>
      </c>
      <c r="X150" s="14">
        <v>0</v>
      </c>
      <c r="Y150" s="14">
        <v>0</v>
      </c>
      <c r="Z150" s="14">
        <v>1</v>
      </c>
      <c r="AA150" s="14">
        <v>5</v>
      </c>
      <c r="AB150" s="8">
        <v>0</v>
      </c>
      <c r="AC150" s="14">
        <v>0</v>
      </c>
      <c r="AD150" s="3">
        <f t="shared" si="4"/>
        <v>6</v>
      </c>
      <c r="AE150" s="14" t="s">
        <v>117</v>
      </c>
      <c r="AF150" s="3" t="s">
        <v>117</v>
      </c>
      <c r="AG150" s="14" t="s">
        <v>57</v>
      </c>
      <c r="AH150" s="14" t="s">
        <v>732</v>
      </c>
      <c r="AI150" s="14" t="s">
        <v>304</v>
      </c>
      <c r="AJ150" s="6">
        <f t="shared" si="5"/>
        <v>153000</v>
      </c>
      <c r="AK150" s="14" t="s">
        <v>305</v>
      </c>
    </row>
    <row r="151" spans="1:37" x14ac:dyDescent="0.35">
      <c r="A151" s="7" t="s">
        <v>734</v>
      </c>
      <c r="B151" s="8" t="s">
        <v>409</v>
      </c>
      <c r="C151" s="8" t="s">
        <v>475</v>
      </c>
      <c r="D151" s="54" t="s">
        <v>735</v>
      </c>
      <c r="E151" s="8">
        <v>3996.5</v>
      </c>
      <c r="F151" s="8">
        <v>595</v>
      </c>
      <c r="G151" s="8">
        <v>1070</v>
      </c>
      <c r="H151" s="9">
        <v>41143</v>
      </c>
      <c r="I151" s="13">
        <v>0.83333333333333337</v>
      </c>
      <c r="J151" s="9">
        <v>41143</v>
      </c>
      <c r="K151" s="13">
        <v>0.84027777777777779</v>
      </c>
      <c r="L151" s="9">
        <v>41143</v>
      </c>
      <c r="M151" s="13">
        <v>0.86458333333333337</v>
      </c>
      <c r="N151" s="8" t="s">
        <v>62</v>
      </c>
      <c r="O151" s="14">
        <v>0.3</v>
      </c>
      <c r="P151" s="14">
        <v>0</v>
      </c>
      <c r="Q151" s="14">
        <v>0</v>
      </c>
      <c r="R151" s="8">
        <v>0</v>
      </c>
      <c r="S151" s="14">
        <v>0</v>
      </c>
      <c r="T151" s="14">
        <v>0</v>
      </c>
      <c r="U151" s="14">
        <v>0</v>
      </c>
      <c r="V151" s="14">
        <v>0</v>
      </c>
      <c r="W151" s="8">
        <v>0</v>
      </c>
      <c r="X151" s="14">
        <v>0</v>
      </c>
      <c r="Y151" s="14">
        <v>0.3</v>
      </c>
      <c r="Z151" s="14">
        <v>0</v>
      </c>
      <c r="AA151" s="14">
        <v>0</v>
      </c>
      <c r="AB151" s="8">
        <v>0</v>
      </c>
      <c r="AC151" s="14">
        <v>0</v>
      </c>
      <c r="AD151" s="3">
        <f t="shared" si="4"/>
        <v>0.3</v>
      </c>
      <c r="AE151" s="14" t="s">
        <v>117</v>
      </c>
      <c r="AF151" s="3" t="s">
        <v>117</v>
      </c>
      <c r="AG151" s="14" t="s">
        <v>72</v>
      </c>
      <c r="AH151" s="14" t="s">
        <v>593</v>
      </c>
      <c r="AI151" s="14" t="s">
        <v>65</v>
      </c>
      <c r="AJ151" s="6">
        <f t="shared" si="5"/>
        <v>24000</v>
      </c>
      <c r="AK151" s="14" t="s">
        <v>305</v>
      </c>
    </row>
    <row r="152" spans="1:37" x14ac:dyDescent="0.35">
      <c r="A152" s="7" t="s">
        <v>736</v>
      </c>
      <c r="B152" s="8" t="s">
        <v>301</v>
      </c>
      <c r="C152" s="8" t="s">
        <v>481</v>
      </c>
      <c r="D152" s="54" t="s">
        <v>737</v>
      </c>
      <c r="E152" s="8" t="s">
        <v>730</v>
      </c>
      <c r="F152" s="8" t="s">
        <v>738</v>
      </c>
      <c r="G152" s="8">
        <v>769</v>
      </c>
      <c r="H152" s="9">
        <v>41144</v>
      </c>
      <c r="I152" s="13">
        <v>0.36458333333333331</v>
      </c>
      <c r="J152" s="9">
        <v>41144</v>
      </c>
      <c r="K152" s="13">
        <v>0.37152777777777773</v>
      </c>
      <c r="L152" s="9">
        <v>41144</v>
      </c>
      <c r="M152" s="13">
        <v>0.5</v>
      </c>
      <c r="N152" s="8" t="s">
        <v>165</v>
      </c>
      <c r="O152" s="14">
        <v>2.5</v>
      </c>
      <c r="P152" s="14">
        <v>0</v>
      </c>
      <c r="Q152" s="14">
        <v>0</v>
      </c>
      <c r="R152" s="8">
        <v>0</v>
      </c>
      <c r="S152" s="14">
        <v>0</v>
      </c>
      <c r="T152" s="14">
        <v>0</v>
      </c>
      <c r="U152" s="14">
        <v>0</v>
      </c>
      <c r="V152" s="14">
        <v>0</v>
      </c>
      <c r="W152" s="8">
        <v>0</v>
      </c>
      <c r="X152" s="14">
        <v>0</v>
      </c>
      <c r="Y152" s="14">
        <v>2.5</v>
      </c>
      <c r="Z152" s="14">
        <v>0</v>
      </c>
      <c r="AA152" s="14">
        <v>0</v>
      </c>
      <c r="AB152" s="8">
        <v>0</v>
      </c>
      <c r="AC152" s="14">
        <v>0</v>
      </c>
      <c r="AD152" s="3">
        <f t="shared" si="4"/>
        <v>2.5</v>
      </c>
      <c r="AE152" s="14" t="s">
        <v>117</v>
      </c>
      <c r="AF152" s="3" t="s">
        <v>117</v>
      </c>
      <c r="AG152" s="14" t="s">
        <v>72</v>
      </c>
      <c r="AH152" s="14" t="s">
        <v>732</v>
      </c>
      <c r="AI152" s="14" t="s">
        <v>304</v>
      </c>
      <c r="AJ152" s="6">
        <f t="shared" si="5"/>
        <v>200000</v>
      </c>
      <c r="AK152" s="14" t="s">
        <v>305</v>
      </c>
    </row>
    <row r="153" spans="1:37" x14ac:dyDescent="0.35">
      <c r="A153" s="7" t="s">
        <v>739</v>
      </c>
      <c r="B153" s="8" t="s">
        <v>301</v>
      </c>
      <c r="C153" s="8" t="s">
        <v>481</v>
      </c>
      <c r="D153" s="54" t="s">
        <v>737</v>
      </c>
      <c r="E153" s="8">
        <v>603</v>
      </c>
      <c r="F153" s="8">
        <v>345.7</v>
      </c>
      <c r="G153" s="8">
        <v>769</v>
      </c>
      <c r="H153" s="9">
        <v>41144</v>
      </c>
      <c r="I153" s="13">
        <v>0.4861111111111111</v>
      </c>
      <c r="J153" s="9">
        <v>41144</v>
      </c>
      <c r="K153" s="13">
        <v>0.49305555555555558</v>
      </c>
      <c r="L153" s="9">
        <v>41144</v>
      </c>
      <c r="M153" s="13">
        <v>0.53125</v>
      </c>
      <c r="N153" s="8" t="s">
        <v>526</v>
      </c>
      <c r="O153" s="14">
        <v>0.02</v>
      </c>
      <c r="P153" s="14">
        <v>0</v>
      </c>
      <c r="Q153" s="14">
        <v>0</v>
      </c>
      <c r="R153" s="8">
        <v>0</v>
      </c>
      <c r="S153" s="14">
        <v>0</v>
      </c>
      <c r="T153" s="14">
        <v>0</v>
      </c>
      <c r="U153" s="14">
        <v>0</v>
      </c>
      <c r="V153" s="14">
        <v>0</v>
      </c>
      <c r="W153" s="8">
        <v>0</v>
      </c>
      <c r="X153" s="14">
        <v>0</v>
      </c>
      <c r="Y153" s="14">
        <v>0.02</v>
      </c>
      <c r="Z153" s="14">
        <v>0</v>
      </c>
      <c r="AA153" s="14">
        <v>0</v>
      </c>
      <c r="AB153" s="8">
        <v>0</v>
      </c>
      <c r="AC153" s="14">
        <v>0</v>
      </c>
      <c r="AD153" s="3">
        <f t="shared" si="4"/>
        <v>0.02</v>
      </c>
      <c r="AE153" s="14" t="s">
        <v>117</v>
      </c>
      <c r="AF153" s="3" t="s">
        <v>117</v>
      </c>
      <c r="AG153" s="14" t="s">
        <v>72</v>
      </c>
      <c r="AH153" s="14" t="s">
        <v>732</v>
      </c>
      <c r="AI153" s="14" t="s">
        <v>65</v>
      </c>
      <c r="AJ153" s="6">
        <f t="shared" si="5"/>
        <v>1600</v>
      </c>
      <c r="AK153" s="14" t="s">
        <v>305</v>
      </c>
    </row>
    <row r="154" spans="1:37" x14ac:dyDescent="0.35">
      <c r="A154" s="7" t="s">
        <v>740</v>
      </c>
      <c r="B154" s="8" t="s">
        <v>312</v>
      </c>
      <c r="C154" s="8" t="s">
        <v>312</v>
      </c>
      <c r="D154" s="54" t="s">
        <v>741</v>
      </c>
      <c r="E154" s="8">
        <v>613</v>
      </c>
      <c r="F154" s="8">
        <v>314.89999999999998</v>
      </c>
      <c r="G154" s="8">
        <v>550</v>
      </c>
      <c r="H154" s="9">
        <v>41144</v>
      </c>
      <c r="I154" s="13">
        <v>0.4861111111111111</v>
      </c>
      <c r="J154" s="9">
        <v>41144</v>
      </c>
      <c r="K154" s="13">
        <v>0.49305555555555558</v>
      </c>
      <c r="L154" s="9">
        <v>41144</v>
      </c>
      <c r="M154" s="13">
        <v>0.51041666666666663</v>
      </c>
      <c r="N154" s="8" t="s">
        <v>62</v>
      </c>
      <c r="O154" s="14">
        <v>0.01</v>
      </c>
      <c r="P154" s="14">
        <v>0</v>
      </c>
      <c r="Q154" s="14">
        <v>0</v>
      </c>
      <c r="R154" s="8">
        <v>0</v>
      </c>
      <c r="S154" s="14">
        <v>0</v>
      </c>
      <c r="T154" s="14">
        <v>0</v>
      </c>
      <c r="U154" s="14">
        <v>0</v>
      </c>
      <c r="V154" s="14">
        <v>0</v>
      </c>
      <c r="W154" s="8">
        <v>0</v>
      </c>
      <c r="X154" s="14">
        <v>0</v>
      </c>
      <c r="Y154" s="14">
        <v>0.01</v>
      </c>
      <c r="Z154" s="14">
        <v>0</v>
      </c>
      <c r="AA154" s="14">
        <v>0</v>
      </c>
      <c r="AB154" s="8">
        <v>0</v>
      </c>
      <c r="AC154" s="14">
        <v>0</v>
      </c>
      <c r="AD154" s="3">
        <f t="shared" si="4"/>
        <v>0.01</v>
      </c>
      <c r="AE154" s="14" t="s">
        <v>117</v>
      </c>
      <c r="AF154" s="3" t="s">
        <v>117</v>
      </c>
      <c r="AG154" s="14" t="s">
        <v>72</v>
      </c>
      <c r="AH154" s="14" t="s">
        <v>732</v>
      </c>
      <c r="AI154" s="14" t="s">
        <v>304</v>
      </c>
      <c r="AJ154" s="6">
        <f t="shared" si="5"/>
        <v>800</v>
      </c>
      <c r="AK154" s="14" t="s">
        <v>305</v>
      </c>
    </row>
    <row r="155" spans="1:37" x14ac:dyDescent="0.35">
      <c r="A155" s="7" t="s">
        <v>742</v>
      </c>
      <c r="B155" s="8" t="s">
        <v>301</v>
      </c>
      <c r="C155" s="8" t="s">
        <v>481</v>
      </c>
      <c r="D155" s="54" t="s">
        <v>737</v>
      </c>
      <c r="E155" s="8" t="s">
        <v>730</v>
      </c>
      <c r="F155" s="8" t="s">
        <v>731</v>
      </c>
      <c r="G155" s="8">
        <v>769</v>
      </c>
      <c r="H155" s="9">
        <v>41144</v>
      </c>
      <c r="I155" s="13">
        <v>0.58333333333333337</v>
      </c>
      <c r="J155" s="9">
        <v>41144</v>
      </c>
      <c r="K155" s="13">
        <v>0.59027777777777779</v>
      </c>
      <c r="L155" s="9">
        <v>41144</v>
      </c>
      <c r="M155" s="13">
        <v>0.78472222222222221</v>
      </c>
      <c r="N155" s="8" t="s">
        <v>41</v>
      </c>
      <c r="O155" s="14">
        <v>2</v>
      </c>
      <c r="P155" s="14">
        <v>0</v>
      </c>
      <c r="Q155" s="14">
        <v>8</v>
      </c>
      <c r="R155" s="8">
        <v>0</v>
      </c>
      <c r="S155" s="14">
        <v>0</v>
      </c>
      <c r="T155" s="14">
        <v>0</v>
      </c>
      <c r="U155" s="14">
        <v>0</v>
      </c>
      <c r="V155" s="14">
        <v>0</v>
      </c>
      <c r="W155" s="8">
        <v>0</v>
      </c>
      <c r="X155" s="14">
        <v>0</v>
      </c>
      <c r="Y155" s="14">
        <v>2</v>
      </c>
      <c r="Z155" s="14">
        <v>0</v>
      </c>
      <c r="AA155" s="14">
        <v>8</v>
      </c>
      <c r="AB155" s="8">
        <v>0</v>
      </c>
      <c r="AC155" s="14">
        <v>0</v>
      </c>
      <c r="AD155" s="3">
        <f t="shared" si="4"/>
        <v>10</v>
      </c>
      <c r="AE155" s="14" t="s">
        <v>117</v>
      </c>
      <c r="AF155" s="3" t="s">
        <v>117</v>
      </c>
      <c r="AG155" s="14" t="s">
        <v>72</v>
      </c>
      <c r="AH155" s="14" t="s">
        <v>732</v>
      </c>
      <c r="AI155" s="14" t="s">
        <v>348</v>
      </c>
      <c r="AJ155" s="6">
        <f t="shared" si="5"/>
        <v>280000</v>
      </c>
      <c r="AK155" s="14" t="s">
        <v>305</v>
      </c>
    </row>
    <row r="156" spans="1:37" x14ac:dyDescent="0.35">
      <c r="A156" s="7" t="s">
        <v>743</v>
      </c>
      <c r="B156" s="8" t="s">
        <v>316</v>
      </c>
      <c r="C156" s="8" t="s">
        <v>510</v>
      </c>
      <c r="D156" s="54" t="s">
        <v>744</v>
      </c>
      <c r="E156" s="8">
        <v>570.1</v>
      </c>
      <c r="F156" s="8">
        <v>4040.2</v>
      </c>
      <c r="G156" s="8">
        <v>520</v>
      </c>
      <c r="H156" s="9">
        <v>41144</v>
      </c>
      <c r="I156" s="13">
        <v>0.59027777777777779</v>
      </c>
      <c r="J156" s="9">
        <v>41144</v>
      </c>
      <c r="K156" s="13">
        <v>0.59722222222222221</v>
      </c>
      <c r="L156" s="9">
        <v>41144</v>
      </c>
      <c r="M156" s="13">
        <v>0.73611111111111116</v>
      </c>
      <c r="N156" s="8" t="s">
        <v>484</v>
      </c>
      <c r="O156" s="14">
        <v>0</v>
      </c>
      <c r="P156" s="14">
        <v>40</v>
      </c>
      <c r="Q156" s="14">
        <v>0</v>
      </c>
      <c r="R156" s="8">
        <v>0</v>
      </c>
      <c r="S156" s="14">
        <v>0</v>
      </c>
      <c r="T156" s="14">
        <v>0</v>
      </c>
      <c r="U156" s="14">
        <v>0</v>
      </c>
      <c r="V156" s="14">
        <v>0</v>
      </c>
      <c r="W156" s="8">
        <v>0</v>
      </c>
      <c r="X156" s="14">
        <v>0</v>
      </c>
      <c r="Y156" s="14">
        <v>0</v>
      </c>
      <c r="Z156" s="14">
        <v>40</v>
      </c>
      <c r="AA156" s="14">
        <v>0</v>
      </c>
      <c r="AB156" s="8">
        <v>0</v>
      </c>
      <c r="AC156" s="14">
        <v>0</v>
      </c>
      <c r="AD156" s="3">
        <f t="shared" si="4"/>
        <v>40</v>
      </c>
      <c r="AE156" s="14" t="s">
        <v>117</v>
      </c>
      <c r="AF156" s="3" t="s">
        <v>117</v>
      </c>
      <c r="AG156" s="14" t="s">
        <v>57</v>
      </c>
      <c r="AH156" s="8" t="s">
        <v>462</v>
      </c>
      <c r="AI156" s="14" t="s">
        <v>304</v>
      </c>
      <c r="AJ156" s="6">
        <f t="shared" si="5"/>
        <v>3120000</v>
      </c>
      <c r="AK156" s="14" t="s">
        <v>305</v>
      </c>
    </row>
    <row r="157" spans="1:37" x14ac:dyDescent="0.35">
      <c r="A157" s="7" t="s">
        <v>745</v>
      </c>
      <c r="B157" s="8" t="s">
        <v>409</v>
      </c>
      <c r="C157" s="8" t="s">
        <v>475</v>
      </c>
      <c r="D157" s="54" t="s">
        <v>746</v>
      </c>
      <c r="E157" s="8">
        <v>3997</v>
      </c>
      <c r="F157" s="8">
        <v>594.5</v>
      </c>
      <c r="G157" s="8">
        <v>1100</v>
      </c>
      <c r="H157" s="9">
        <v>41144</v>
      </c>
      <c r="I157" s="13">
        <v>0.53472222222222221</v>
      </c>
      <c r="J157" s="9">
        <v>41144</v>
      </c>
      <c r="K157" s="13">
        <v>0.54166666666666663</v>
      </c>
      <c r="L157" s="9">
        <v>41144</v>
      </c>
      <c r="M157" s="13">
        <v>0.60763888888888895</v>
      </c>
      <c r="N157" s="8" t="s">
        <v>62</v>
      </c>
      <c r="O157" s="14">
        <v>0.5</v>
      </c>
      <c r="P157" s="14">
        <v>0</v>
      </c>
      <c r="Q157" s="14">
        <v>0</v>
      </c>
      <c r="R157" s="8">
        <v>0</v>
      </c>
      <c r="S157" s="14">
        <v>0</v>
      </c>
      <c r="T157" s="14">
        <v>0</v>
      </c>
      <c r="U157" s="14">
        <v>0</v>
      </c>
      <c r="V157" s="14">
        <v>0</v>
      </c>
      <c r="W157" s="8">
        <v>0</v>
      </c>
      <c r="X157" s="14">
        <v>0</v>
      </c>
      <c r="Y157" s="14">
        <v>0.5</v>
      </c>
      <c r="Z157" s="14">
        <v>0</v>
      </c>
      <c r="AA157" s="14">
        <v>0</v>
      </c>
      <c r="AB157" s="8">
        <v>0</v>
      </c>
      <c r="AC157" s="14">
        <v>0</v>
      </c>
      <c r="AD157" s="3">
        <f t="shared" si="4"/>
        <v>0.5</v>
      </c>
      <c r="AE157" s="14" t="s">
        <v>117</v>
      </c>
      <c r="AF157" s="3" t="s">
        <v>117</v>
      </c>
      <c r="AG157" s="14" t="s">
        <v>72</v>
      </c>
      <c r="AH157" s="8" t="s">
        <v>462</v>
      </c>
      <c r="AI157" s="14" t="s">
        <v>304</v>
      </c>
      <c r="AJ157" s="6">
        <f t="shared" si="5"/>
        <v>40000</v>
      </c>
      <c r="AK157" s="14" t="s">
        <v>305</v>
      </c>
    </row>
    <row r="158" spans="1:37" x14ac:dyDescent="0.35">
      <c r="A158" s="7" t="s">
        <v>747</v>
      </c>
      <c r="B158" s="8" t="s">
        <v>312</v>
      </c>
      <c r="C158" s="8" t="s">
        <v>312</v>
      </c>
      <c r="D158" s="54" t="s">
        <v>748</v>
      </c>
      <c r="E158" s="8" t="s">
        <v>749</v>
      </c>
      <c r="F158" s="12" t="s">
        <v>750</v>
      </c>
      <c r="G158" s="8">
        <v>840</v>
      </c>
      <c r="H158" s="9">
        <v>41144</v>
      </c>
      <c r="I158" s="13">
        <v>0.75694444444444453</v>
      </c>
      <c r="J158" s="9">
        <v>41144</v>
      </c>
      <c r="K158" s="13">
        <v>0.76388888888888884</v>
      </c>
      <c r="L158" s="9">
        <v>41145</v>
      </c>
      <c r="M158" s="13">
        <v>0.25</v>
      </c>
      <c r="N158" s="8" t="s">
        <v>81</v>
      </c>
      <c r="O158" s="14">
        <v>0</v>
      </c>
      <c r="P158" s="14">
        <v>5</v>
      </c>
      <c r="Q158" s="14">
        <v>0</v>
      </c>
      <c r="R158" s="8">
        <v>0</v>
      </c>
      <c r="S158" s="14">
        <v>0</v>
      </c>
      <c r="T158" s="14">
        <v>0</v>
      </c>
      <c r="U158" s="14">
        <v>0</v>
      </c>
      <c r="V158" s="14">
        <v>0</v>
      </c>
      <c r="W158" s="8">
        <v>0</v>
      </c>
      <c r="X158" s="14">
        <v>0</v>
      </c>
      <c r="Y158" s="14">
        <v>0</v>
      </c>
      <c r="Z158" s="14">
        <v>5</v>
      </c>
      <c r="AA158" s="14">
        <v>0</v>
      </c>
      <c r="AB158" s="8">
        <v>0</v>
      </c>
      <c r="AC158" s="14">
        <v>0</v>
      </c>
      <c r="AD158" s="3">
        <f t="shared" si="4"/>
        <v>5</v>
      </c>
      <c r="AE158" s="14" t="s">
        <v>117</v>
      </c>
      <c r="AF158" s="3" t="s">
        <v>117</v>
      </c>
      <c r="AG158" s="14" t="s">
        <v>57</v>
      </c>
      <c r="AH158" s="14" t="s">
        <v>751</v>
      </c>
      <c r="AI158" s="14" t="s">
        <v>304</v>
      </c>
      <c r="AJ158" s="6">
        <f t="shared" si="5"/>
        <v>390000</v>
      </c>
      <c r="AK158" s="14" t="s">
        <v>305</v>
      </c>
    </row>
    <row r="159" spans="1:37" x14ac:dyDescent="0.35">
      <c r="A159" s="7" t="s">
        <v>752</v>
      </c>
      <c r="B159" s="8" t="s">
        <v>301</v>
      </c>
      <c r="C159" s="8" t="s">
        <v>301</v>
      </c>
      <c r="D159" s="54" t="s">
        <v>656</v>
      </c>
      <c r="E159" s="8" t="s">
        <v>640</v>
      </c>
      <c r="F159" s="8">
        <v>348.5</v>
      </c>
      <c r="G159" s="8">
        <v>885</v>
      </c>
      <c r="H159" s="9">
        <v>41145</v>
      </c>
      <c r="I159" s="13">
        <v>0.54166666666666663</v>
      </c>
      <c r="J159" s="9">
        <v>41145</v>
      </c>
      <c r="K159" s="13">
        <v>0.54861111111111105</v>
      </c>
      <c r="L159" s="9">
        <v>41145</v>
      </c>
      <c r="M159" s="13">
        <v>0.58333333333333337</v>
      </c>
      <c r="N159" s="8" t="s">
        <v>41</v>
      </c>
      <c r="O159" s="14">
        <v>0</v>
      </c>
      <c r="P159" s="14">
        <v>0</v>
      </c>
      <c r="Q159" s="14">
        <v>1</v>
      </c>
      <c r="R159" s="8">
        <v>0</v>
      </c>
      <c r="S159" s="14">
        <v>0</v>
      </c>
      <c r="T159" s="14">
        <v>0</v>
      </c>
      <c r="U159" s="14">
        <v>0</v>
      </c>
      <c r="V159" s="14">
        <v>0</v>
      </c>
      <c r="W159" s="8">
        <v>0</v>
      </c>
      <c r="X159" s="14">
        <v>0</v>
      </c>
      <c r="Y159" s="14">
        <v>0</v>
      </c>
      <c r="Z159" s="14">
        <v>0</v>
      </c>
      <c r="AA159" s="14">
        <v>1</v>
      </c>
      <c r="AB159" s="8">
        <v>0</v>
      </c>
      <c r="AC159" s="14">
        <v>0</v>
      </c>
      <c r="AD159" s="3">
        <f t="shared" si="4"/>
        <v>1</v>
      </c>
      <c r="AE159" s="14" t="s">
        <v>117</v>
      </c>
      <c r="AF159" s="3" t="s">
        <v>117</v>
      </c>
      <c r="AG159" s="14" t="s">
        <v>72</v>
      </c>
      <c r="AH159" s="14" t="s">
        <v>753</v>
      </c>
      <c r="AI159" s="14" t="s">
        <v>304</v>
      </c>
      <c r="AJ159" s="6">
        <f t="shared" si="5"/>
        <v>15000</v>
      </c>
      <c r="AK159" s="14" t="s">
        <v>305</v>
      </c>
    </row>
    <row r="160" spans="1:37" x14ac:dyDescent="0.35">
      <c r="A160" s="7" t="s">
        <v>754</v>
      </c>
      <c r="B160" s="8" t="s">
        <v>312</v>
      </c>
      <c r="C160" s="8" t="s">
        <v>312</v>
      </c>
      <c r="D160" s="54" t="s">
        <v>419</v>
      </c>
      <c r="E160" s="8" t="s">
        <v>755</v>
      </c>
      <c r="F160" s="12" t="s">
        <v>756</v>
      </c>
      <c r="G160" s="8">
        <v>849</v>
      </c>
      <c r="H160" s="9">
        <v>41145</v>
      </c>
      <c r="I160" s="13">
        <v>0.58333333333333337</v>
      </c>
      <c r="J160" s="9">
        <v>41145</v>
      </c>
      <c r="K160" s="13">
        <v>0.59027777777777779</v>
      </c>
      <c r="L160" s="9">
        <v>41145</v>
      </c>
      <c r="M160" s="13">
        <v>0.95833333333333337</v>
      </c>
      <c r="N160" s="8" t="s">
        <v>40</v>
      </c>
      <c r="O160" s="14">
        <v>40</v>
      </c>
      <c r="P160" s="14">
        <v>70</v>
      </c>
      <c r="Q160" s="14">
        <v>0</v>
      </c>
      <c r="R160" s="8">
        <v>0</v>
      </c>
      <c r="S160" s="14">
        <v>0</v>
      </c>
      <c r="T160" s="14">
        <v>0</v>
      </c>
      <c r="U160" s="14">
        <v>0</v>
      </c>
      <c r="V160" s="14">
        <v>0</v>
      </c>
      <c r="W160" s="8">
        <v>0</v>
      </c>
      <c r="X160" s="14" t="s">
        <v>722</v>
      </c>
      <c r="Y160" s="14">
        <v>40</v>
      </c>
      <c r="Z160" s="14">
        <v>70</v>
      </c>
      <c r="AA160" s="14">
        <v>0</v>
      </c>
      <c r="AB160" s="8">
        <v>0</v>
      </c>
      <c r="AC160" s="14" t="s">
        <v>722</v>
      </c>
      <c r="AD160" s="3">
        <f t="shared" si="4"/>
        <v>110</v>
      </c>
      <c r="AE160" s="14" t="s">
        <v>117</v>
      </c>
      <c r="AF160" s="3" t="s">
        <v>117</v>
      </c>
      <c r="AG160" s="14" t="s">
        <v>57</v>
      </c>
      <c r="AH160" s="14" t="s">
        <v>751</v>
      </c>
      <c r="AI160" s="14" t="s">
        <v>304</v>
      </c>
      <c r="AJ160" s="6">
        <f t="shared" si="5"/>
        <v>8660000</v>
      </c>
      <c r="AK160" s="14" t="s">
        <v>305</v>
      </c>
    </row>
    <row r="161" spans="1:37" x14ac:dyDescent="0.35">
      <c r="A161" s="7" t="s">
        <v>757</v>
      </c>
      <c r="B161" s="8" t="s">
        <v>357</v>
      </c>
      <c r="C161" s="8" t="s">
        <v>362</v>
      </c>
      <c r="D161" s="54" t="s">
        <v>758</v>
      </c>
      <c r="E161" s="8">
        <v>550</v>
      </c>
      <c r="F161" s="8">
        <v>4042.9</v>
      </c>
      <c r="G161" s="8">
        <v>540</v>
      </c>
      <c r="H161" s="9">
        <v>41145</v>
      </c>
      <c r="I161" s="13">
        <v>0.58333333333333337</v>
      </c>
      <c r="J161" s="9">
        <v>41145</v>
      </c>
      <c r="K161" s="13">
        <v>0.59375</v>
      </c>
      <c r="L161" s="9">
        <v>41145</v>
      </c>
      <c r="M161" s="13">
        <v>0.62847222222222221</v>
      </c>
      <c r="N161" s="8" t="s">
        <v>41</v>
      </c>
      <c r="O161" s="14">
        <v>0</v>
      </c>
      <c r="P161" s="14">
        <v>0</v>
      </c>
      <c r="Q161" s="14">
        <v>0</v>
      </c>
      <c r="R161" s="8">
        <v>0</v>
      </c>
      <c r="S161" s="14">
        <v>0</v>
      </c>
      <c r="T161" s="14">
        <v>0</v>
      </c>
      <c r="U161" s="14">
        <v>0</v>
      </c>
      <c r="V161" s="14">
        <v>0.5</v>
      </c>
      <c r="W161" s="8">
        <v>0</v>
      </c>
      <c r="X161" s="14" t="s">
        <v>759</v>
      </c>
      <c r="Y161" s="14">
        <v>0</v>
      </c>
      <c r="Z161" s="14">
        <v>0</v>
      </c>
      <c r="AA161" s="14">
        <v>0.5</v>
      </c>
      <c r="AB161" s="8">
        <v>0</v>
      </c>
      <c r="AC161" s="14" t="s">
        <v>759</v>
      </c>
      <c r="AD161" s="3">
        <f t="shared" si="4"/>
        <v>0.5</v>
      </c>
      <c r="AE161" s="14" t="s">
        <v>117</v>
      </c>
      <c r="AF161" s="3" t="s">
        <v>117</v>
      </c>
      <c r="AG161" s="14" t="s">
        <v>57</v>
      </c>
      <c r="AH161" s="14"/>
      <c r="AI161" s="14" t="s">
        <v>304</v>
      </c>
      <c r="AJ161" s="6">
        <f t="shared" si="5"/>
        <v>7500</v>
      </c>
      <c r="AK161" s="14" t="s">
        <v>305</v>
      </c>
    </row>
    <row r="162" spans="1:37" x14ac:dyDescent="0.35">
      <c r="A162" s="7" t="s">
        <v>760</v>
      </c>
      <c r="B162" s="8" t="s">
        <v>286</v>
      </c>
      <c r="C162" s="8" t="s">
        <v>325</v>
      </c>
      <c r="D162" s="54" t="s">
        <v>761</v>
      </c>
      <c r="E162" s="8"/>
      <c r="F162" s="8"/>
      <c r="G162" s="8"/>
      <c r="H162" s="9">
        <v>41145</v>
      </c>
      <c r="I162" s="13">
        <v>0.625</v>
      </c>
      <c r="J162" s="9">
        <v>41145</v>
      </c>
      <c r="K162" s="13">
        <v>0.63194444444444442</v>
      </c>
      <c r="L162" s="9">
        <v>41145</v>
      </c>
      <c r="M162" s="13">
        <v>0.75</v>
      </c>
      <c r="N162" s="8" t="s">
        <v>62</v>
      </c>
      <c r="O162" s="14">
        <v>2</v>
      </c>
      <c r="P162" s="14">
        <v>0</v>
      </c>
      <c r="Q162" s="14">
        <v>0</v>
      </c>
      <c r="R162" s="8">
        <v>0</v>
      </c>
      <c r="S162" s="14">
        <v>0</v>
      </c>
      <c r="T162" s="14">
        <v>0</v>
      </c>
      <c r="U162" s="14">
        <v>0</v>
      </c>
      <c r="V162" s="14">
        <v>0</v>
      </c>
      <c r="W162" s="8">
        <v>0</v>
      </c>
      <c r="X162" s="14" t="s">
        <v>762</v>
      </c>
      <c r="Y162" s="14">
        <v>2</v>
      </c>
      <c r="Z162" s="14">
        <v>0</v>
      </c>
      <c r="AA162" s="14">
        <v>0</v>
      </c>
      <c r="AB162" s="8">
        <v>0</v>
      </c>
      <c r="AC162" s="14" t="s">
        <v>762</v>
      </c>
      <c r="AD162" s="3">
        <f t="shared" si="4"/>
        <v>2</v>
      </c>
      <c r="AE162" s="14" t="s">
        <v>117</v>
      </c>
      <c r="AF162" s="3" t="s">
        <v>117</v>
      </c>
      <c r="AG162" s="14" t="s">
        <v>57</v>
      </c>
      <c r="AH162" s="14"/>
      <c r="AI162" s="14" t="s">
        <v>304</v>
      </c>
      <c r="AJ162" s="6">
        <f t="shared" si="5"/>
        <v>160000</v>
      </c>
      <c r="AK162" s="14" t="s">
        <v>305</v>
      </c>
    </row>
    <row r="163" spans="1:37" x14ac:dyDescent="0.35">
      <c r="A163" s="7" t="s">
        <v>763</v>
      </c>
      <c r="B163" s="8" t="s">
        <v>564</v>
      </c>
      <c r="C163" s="8" t="s">
        <v>281</v>
      </c>
      <c r="D163" s="54" t="s">
        <v>93</v>
      </c>
      <c r="E163" s="8">
        <v>344</v>
      </c>
      <c r="F163" s="8">
        <v>632.5</v>
      </c>
      <c r="G163" s="8">
        <v>709</v>
      </c>
      <c r="H163" s="9">
        <v>41145</v>
      </c>
      <c r="I163" s="13">
        <v>0.65277777777777779</v>
      </c>
      <c r="J163" s="9">
        <v>41145</v>
      </c>
      <c r="K163" s="13">
        <v>0.65972222222222221</v>
      </c>
      <c r="L163" s="9">
        <v>41145</v>
      </c>
      <c r="M163" s="13">
        <v>0.85416666666666663</v>
      </c>
      <c r="N163" s="8" t="s">
        <v>62</v>
      </c>
      <c r="O163" s="14">
        <v>27</v>
      </c>
      <c r="P163" s="14">
        <v>0</v>
      </c>
      <c r="Q163" s="14">
        <v>0</v>
      </c>
      <c r="R163" s="8">
        <v>0</v>
      </c>
      <c r="S163" s="14">
        <v>0</v>
      </c>
      <c r="T163" s="14">
        <v>0</v>
      </c>
      <c r="U163" s="14">
        <v>0</v>
      </c>
      <c r="V163" s="14">
        <v>0</v>
      </c>
      <c r="W163" s="8">
        <v>0</v>
      </c>
      <c r="X163" s="14" t="s">
        <v>764</v>
      </c>
      <c r="Y163" s="14">
        <v>27</v>
      </c>
      <c r="Z163" s="14">
        <v>0</v>
      </c>
      <c r="AA163" s="14">
        <v>0</v>
      </c>
      <c r="AB163" s="8">
        <v>0</v>
      </c>
      <c r="AC163" s="14" t="s">
        <v>764</v>
      </c>
      <c r="AD163" s="3">
        <f t="shared" si="4"/>
        <v>27</v>
      </c>
      <c r="AE163" s="14" t="s">
        <v>117</v>
      </c>
      <c r="AF163" s="3" t="s">
        <v>117</v>
      </c>
      <c r="AG163" s="14" t="s">
        <v>72</v>
      </c>
      <c r="AH163" s="14" t="s">
        <v>765</v>
      </c>
      <c r="AI163" s="14" t="s">
        <v>304</v>
      </c>
      <c r="AJ163" s="6">
        <f t="shared" si="5"/>
        <v>2160000</v>
      </c>
      <c r="AK163" s="14" t="s">
        <v>305</v>
      </c>
    </row>
    <row r="164" spans="1:37" x14ac:dyDescent="0.35">
      <c r="A164" s="7" t="s">
        <v>766</v>
      </c>
      <c r="B164" s="8" t="s">
        <v>301</v>
      </c>
      <c r="C164" s="8" t="s">
        <v>481</v>
      </c>
      <c r="D164" s="54" t="s">
        <v>767</v>
      </c>
      <c r="E164" s="8">
        <v>603</v>
      </c>
      <c r="F164" s="8">
        <v>344.2</v>
      </c>
      <c r="G164" s="8">
        <v>675</v>
      </c>
      <c r="H164" s="9">
        <v>41145</v>
      </c>
      <c r="I164" s="13">
        <v>0.65972222222222221</v>
      </c>
      <c r="J164" s="9">
        <v>41145</v>
      </c>
      <c r="K164" s="13">
        <v>0.67013888888888884</v>
      </c>
      <c r="L164" s="9">
        <v>41145</v>
      </c>
      <c r="M164" s="13">
        <v>0.70486111111111116</v>
      </c>
      <c r="N164" s="8" t="s">
        <v>165</v>
      </c>
      <c r="O164" s="14">
        <v>0.1</v>
      </c>
      <c r="P164" s="14">
        <v>0</v>
      </c>
      <c r="Q164" s="14">
        <v>0</v>
      </c>
      <c r="R164" s="8">
        <v>0</v>
      </c>
      <c r="S164" s="14">
        <v>0</v>
      </c>
      <c r="T164" s="14">
        <v>0</v>
      </c>
      <c r="U164" s="14">
        <v>0</v>
      </c>
      <c r="V164" s="14">
        <v>0</v>
      </c>
      <c r="W164" s="8">
        <v>0</v>
      </c>
      <c r="X164" s="14">
        <v>0</v>
      </c>
      <c r="Y164" s="14">
        <v>0.1</v>
      </c>
      <c r="Z164" s="14">
        <v>0</v>
      </c>
      <c r="AA164" s="14">
        <v>0</v>
      </c>
      <c r="AB164" s="8">
        <v>0</v>
      </c>
      <c r="AC164" s="14">
        <v>0</v>
      </c>
      <c r="AD164" s="3">
        <f t="shared" si="4"/>
        <v>0.1</v>
      </c>
      <c r="AE164" s="14" t="s">
        <v>117</v>
      </c>
      <c r="AF164" s="3" t="s">
        <v>117</v>
      </c>
      <c r="AG164" s="14" t="s">
        <v>57</v>
      </c>
      <c r="AH164" s="14" t="s">
        <v>768</v>
      </c>
      <c r="AI164" s="14" t="s">
        <v>65</v>
      </c>
      <c r="AJ164" s="6">
        <f t="shared" si="5"/>
        <v>8000</v>
      </c>
      <c r="AK164" s="14" t="s">
        <v>305</v>
      </c>
    </row>
    <row r="165" spans="1:37" x14ac:dyDescent="0.35">
      <c r="A165" s="7" t="s">
        <v>769</v>
      </c>
      <c r="B165" s="8" t="s">
        <v>357</v>
      </c>
      <c r="C165" s="8" t="s">
        <v>316</v>
      </c>
      <c r="D165" s="54" t="s">
        <v>770</v>
      </c>
      <c r="E165" s="8">
        <v>560.79999999999995</v>
      </c>
      <c r="F165" s="8">
        <v>4049.2</v>
      </c>
      <c r="G165" s="8">
        <v>780</v>
      </c>
      <c r="H165" s="9">
        <v>41145</v>
      </c>
      <c r="I165" s="13">
        <v>0.79166666666666663</v>
      </c>
      <c r="J165" s="9" t="s">
        <v>318</v>
      </c>
      <c r="K165" s="10" t="s">
        <v>318</v>
      </c>
      <c r="L165" s="9">
        <v>41146</v>
      </c>
      <c r="M165" s="13">
        <v>0.32291666666666669</v>
      </c>
      <c r="N165" s="8" t="s">
        <v>484</v>
      </c>
      <c r="O165" s="14">
        <v>0</v>
      </c>
      <c r="P165" s="14">
        <v>5</v>
      </c>
      <c r="Q165" s="14">
        <v>0</v>
      </c>
      <c r="R165" s="8">
        <v>0</v>
      </c>
      <c r="S165" s="14">
        <v>0</v>
      </c>
      <c r="T165" s="14">
        <v>0</v>
      </c>
      <c r="U165" s="14">
        <v>0</v>
      </c>
      <c r="V165" s="14">
        <v>0</v>
      </c>
      <c r="W165" s="8">
        <v>0</v>
      </c>
      <c r="X165" s="14">
        <v>0</v>
      </c>
      <c r="Y165" s="14">
        <v>0</v>
      </c>
      <c r="Z165" s="14">
        <v>5</v>
      </c>
      <c r="AA165" s="14">
        <v>0</v>
      </c>
      <c r="AB165" s="8">
        <v>0</v>
      </c>
      <c r="AC165" s="14">
        <v>0</v>
      </c>
      <c r="AD165" s="3">
        <f t="shared" si="4"/>
        <v>5</v>
      </c>
      <c r="AE165" s="14" t="s">
        <v>117</v>
      </c>
      <c r="AF165" s="3" t="s">
        <v>117</v>
      </c>
      <c r="AG165" s="14" t="s">
        <v>175</v>
      </c>
      <c r="AH165" s="8" t="s">
        <v>486</v>
      </c>
      <c r="AI165" s="14" t="s">
        <v>175</v>
      </c>
      <c r="AJ165" s="6">
        <f t="shared" si="5"/>
        <v>390000</v>
      </c>
      <c r="AK165" s="14" t="s">
        <v>305</v>
      </c>
    </row>
    <row r="166" spans="1:37" x14ac:dyDescent="0.35">
      <c r="A166" s="7" t="s">
        <v>771</v>
      </c>
      <c r="B166" s="8" t="s">
        <v>301</v>
      </c>
      <c r="C166" s="8" t="s">
        <v>301</v>
      </c>
      <c r="D166" s="54" t="s">
        <v>772</v>
      </c>
      <c r="E166" s="8">
        <v>610.20000000000005</v>
      </c>
      <c r="F166" s="8">
        <v>348</v>
      </c>
      <c r="G166" s="8">
        <v>885</v>
      </c>
      <c r="H166" s="9">
        <v>41145</v>
      </c>
      <c r="I166" s="13">
        <v>0.92708333333333337</v>
      </c>
      <c r="J166" s="9">
        <v>41145</v>
      </c>
      <c r="K166" s="13">
        <v>0.93402777777777779</v>
      </c>
      <c r="L166" s="9">
        <v>41145</v>
      </c>
      <c r="M166" s="13">
        <v>0.95833333333333337</v>
      </c>
      <c r="N166" s="8" t="s">
        <v>40</v>
      </c>
      <c r="O166" s="14">
        <v>0</v>
      </c>
      <c r="P166" s="14">
        <v>0.1</v>
      </c>
      <c r="Q166" s="14">
        <v>0</v>
      </c>
      <c r="R166" s="8">
        <v>0</v>
      </c>
      <c r="S166" s="14">
        <v>0</v>
      </c>
      <c r="T166" s="14">
        <v>0</v>
      </c>
      <c r="U166" s="14">
        <v>0</v>
      </c>
      <c r="V166" s="14">
        <v>0</v>
      </c>
      <c r="W166" s="8">
        <v>0</v>
      </c>
      <c r="X166" s="14">
        <v>0</v>
      </c>
      <c r="Y166" s="14">
        <v>0</v>
      </c>
      <c r="Z166" s="14">
        <v>0.1</v>
      </c>
      <c r="AA166" s="14">
        <v>0</v>
      </c>
      <c r="AB166" s="8">
        <v>0</v>
      </c>
      <c r="AC166" s="14">
        <v>0</v>
      </c>
      <c r="AD166" s="3">
        <f t="shared" si="4"/>
        <v>0.1</v>
      </c>
      <c r="AE166" s="14" t="s">
        <v>117</v>
      </c>
      <c r="AF166" s="3" t="s">
        <v>117</v>
      </c>
      <c r="AG166" s="14" t="s">
        <v>57</v>
      </c>
      <c r="AH166" s="14" t="s">
        <v>773</v>
      </c>
      <c r="AI166" s="14" t="s">
        <v>65</v>
      </c>
      <c r="AJ166" s="6">
        <f t="shared" si="5"/>
        <v>7800</v>
      </c>
      <c r="AK166" s="14" t="s">
        <v>305</v>
      </c>
    </row>
    <row r="167" spans="1:37" x14ac:dyDescent="0.35">
      <c r="A167" s="7" t="s">
        <v>774</v>
      </c>
      <c r="B167" s="8" t="s">
        <v>564</v>
      </c>
      <c r="C167" s="8" t="s">
        <v>282</v>
      </c>
      <c r="D167" s="54" t="s">
        <v>93</v>
      </c>
      <c r="E167" s="8">
        <v>344.8</v>
      </c>
      <c r="F167" s="8">
        <v>633</v>
      </c>
      <c r="G167" s="8">
        <v>751</v>
      </c>
      <c r="H167" s="9">
        <v>41146</v>
      </c>
      <c r="I167" s="13">
        <v>0.38194444444444442</v>
      </c>
      <c r="J167" s="9">
        <v>41146</v>
      </c>
      <c r="K167" s="13">
        <v>0.3888888888888889</v>
      </c>
      <c r="L167" s="9">
        <v>41146</v>
      </c>
      <c r="M167" s="13">
        <v>0.83333333333333337</v>
      </c>
      <c r="N167" s="8" t="s">
        <v>62</v>
      </c>
      <c r="O167" s="14">
        <v>20</v>
      </c>
      <c r="P167" s="14">
        <v>0</v>
      </c>
      <c r="Q167" s="14">
        <v>5</v>
      </c>
      <c r="R167" s="8">
        <v>0</v>
      </c>
      <c r="S167" s="14">
        <v>0</v>
      </c>
      <c r="T167" s="14">
        <v>0</v>
      </c>
      <c r="U167" s="14">
        <v>0</v>
      </c>
      <c r="V167" s="14">
        <v>0</v>
      </c>
      <c r="W167" s="8">
        <v>0</v>
      </c>
      <c r="X167" s="14">
        <v>0</v>
      </c>
      <c r="Y167" s="14">
        <v>20</v>
      </c>
      <c r="Z167" s="14">
        <v>0</v>
      </c>
      <c r="AA167" s="14">
        <v>5</v>
      </c>
      <c r="AB167" s="8">
        <v>0</v>
      </c>
      <c r="AC167" s="14">
        <v>0</v>
      </c>
      <c r="AD167" s="3">
        <f t="shared" si="4"/>
        <v>25</v>
      </c>
      <c r="AE167" s="14" t="s">
        <v>117</v>
      </c>
      <c r="AF167" s="3" t="s">
        <v>117</v>
      </c>
      <c r="AG167" s="14" t="s">
        <v>72</v>
      </c>
      <c r="AH167" s="14" t="s">
        <v>775</v>
      </c>
      <c r="AI167" s="14" t="s">
        <v>348</v>
      </c>
      <c r="AJ167" s="6">
        <f t="shared" si="5"/>
        <v>1675000</v>
      </c>
      <c r="AK167" s="14" t="s">
        <v>305</v>
      </c>
    </row>
    <row r="168" spans="1:37" x14ac:dyDescent="0.35">
      <c r="A168" s="7" t="s">
        <v>776</v>
      </c>
      <c r="B168" s="8" t="s">
        <v>312</v>
      </c>
      <c r="C168" s="8" t="s">
        <v>312</v>
      </c>
      <c r="D168" s="54" t="s">
        <v>777</v>
      </c>
      <c r="E168" s="8">
        <v>619.5</v>
      </c>
      <c r="F168" s="8">
        <v>346</v>
      </c>
      <c r="G168" s="8">
        <v>776</v>
      </c>
      <c r="H168" s="9">
        <v>41146</v>
      </c>
      <c r="I168" s="13">
        <v>0.58333333333333337</v>
      </c>
      <c r="J168" s="9">
        <v>41146</v>
      </c>
      <c r="K168" s="13">
        <v>0.59027777777777779</v>
      </c>
      <c r="L168" s="9">
        <v>41146</v>
      </c>
      <c r="M168" s="13">
        <v>0.70833333333333337</v>
      </c>
      <c r="N168" s="8" t="s">
        <v>40</v>
      </c>
      <c r="O168" s="14">
        <v>0</v>
      </c>
      <c r="P168" s="14">
        <v>2</v>
      </c>
      <c r="Q168" s="14">
        <v>0</v>
      </c>
      <c r="R168" s="8">
        <v>0</v>
      </c>
      <c r="S168" s="14">
        <v>0</v>
      </c>
      <c r="T168" s="14">
        <v>0</v>
      </c>
      <c r="U168" s="14">
        <v>0</v>
      </c>
      <c r="V168" s="14">
        <v>0</v>
      </c>
      <c r="W168" s="8">
        <v>0</v>
      </c>
      <c r="X168" s="14">
        <v>0</v>
      </c>
      <c r="Y168" s="14">
        <v>0</v>
      </c>
      <c r="Z168" s="14">
        <v>2</v>
      </c>
      <c r="AA168" s="14">
        <v>0</v>
      </c>
      <c r="AB168" s="8">
        <v>0</v>
      </c>
      <c r="AC168" s="14">
        <v>0</v>
      </c>
      <c r="AD168" s="3">
        <f t="shared" si="4"/>
        <v>2</v>
      </c>
      <c r="AE168" s="14" t="s">
        <v>117</v>
      </c>
      <c r="AF168" s="3" t="s">
        <v>117</v>
      </c>
      <c r="AG168" s="14" t="s">
        <v>57</v>
      </c>
      <c r="AH168" s="14" t="s">
        <v>778</v>
      </c>
      <c r="AI168" s="14" t="s">
        <v>304</v>
      </c>
      <c r="AJ168" s="6">
        <f t="shared" si="5"/>
        <v>156000</v>
      </c>
      <c r="AK168" s="14" t="s">
        <v>305</v>
      </c>
    </row>
    <row r="169" spans="1:37" x14ac:dyDescent="0.35">
      <c r="A169" s="7" t="s">
        <v>779</v>
      </c>
      <c r="B169" s="8" t="s">
        <v>357</v>
      </c>
      <c r="C169" s="8" t="s">
        <v>780</v>
      </c>
      <c r="D169" s="54" t="s">
        <v>781</v>
      </c>
      <c r="E169" s="8">
        <v>545.20000000000005</v>
      </c>
      <c r="F169" s="8">
        <v>4035.4</v>
      </c>
      <c r="G169" s="8">
        <v>520</v>
      </c>
      <c r="H169" s="9">
        <v>41147</v>
      </c>
      <c r="I169" s="13">
        <v>0.46527777777777773</v>
      </c>
      <c r="J169" s="9">
        <v>41147</v>
      </c>
      <c r="K169" s="13">
        <v>0.48958333333333331</v>
      </c>
      <c r="L169" s="9">
        <v>41147</v>
      </c>
      <c r="M169" s="13">
        <v>0.64583333333333337</v>
      </c>
      <c r="N169" s="8" t="s">
        <v>62</v>
      </c>
      <c r="O169" s="14">
        <v>0</v>
      </c>
      <c r="P169" s="14">
        <v>0</v>
      </c>
      <c r="Q169" s="14">
        <v>0</v>
      </c>
      <c r="R169" s="8">
        <v>0</v>
      </c>
      <c r="S169" s="14">
        <v>0</v>
      </c>
      <c r="T169" s="14">
        <v>2</v>
      </c>
      <c r="U169" s="14">
        <v>0</v>
      </c>
      <c r="V169" s="14">
        <v>0</v>
      </c>
      <c r="W169" s="8">
        <v>0</v>
      </c>
      <c r="X169" s="14" t="s">
        <v>782</v>
      </c>
      <c r="Y169" s="14">
        <v>2</v>
      </c>
      <c r="Z169" s="14">
        <v>0</v>
      </c>
      <c r="AA169" s="14">
        <v>0</v>
      </c>
      <c r="AB169" s="8">
        <v>0</v>
      </c>
      <c r="AC169" s="14" t="s">
        <v>782</v>
      </c>
      <c r="AD169" s="3">
        <f t="shared" si="4"/>
        <v>2</v>
      </c>
      <c r="AE169" s="14" t="s">
        <v>117</v>
      </c>
      <c r="AF169" s="3" t="s">
        <v>117</v>
      </c>
      <c r="AG169" s="14" t="s">
        <v>57</v>
      </c>
      <c r="AH169" s="14"/>
      <c r="AI169" s="14" t="s">
        <v>304</v>
      </c>
      <c r="AJ169" s="6">
        <f t="shared" si="5"/>
        <v>160000</v>
      </c>
      <c r="AK169" s="14" t="s">
        <v>305</v>
      </c>
    </row>
    <row r="170" spans="1:37" x14ac:dyDescent="0.35">
      <c r="A170" s="7" t="s">
        <v>783</v>
      </c>
      <c r="B170" s="8" t="s">
        <v>320</v>
      </c>
      <c r="C170" s="8" t="s">
        <v>320</v>
      </c>
      <c r="D170" s="54" t="s">
        <v>784</v>
      </c>
      <c r="E170" s="8">
        <v>4004.6</v>
      </c>
      <c r="F170" s="8">
        <v>582.1</v>
      </c>
      <c r="G170" s="8">
        <v>765</v>
      </c>
      <c r="H170" s="9">
        <v>41147</v>
      </c>
      <c r="I170" s="13">
        <v>0.52083333333333337</v>
      </c>
      <c r="J170" s="9">
        <v>41147</v>
      </c>
      <c r="K170" s="13">
        <v>0.53125</v>
      </c>
      <c r="L170" s="9">
        <v>41147</v>
      </c>
      <c r="M170" s="13">
        <v>0.6875</v>
      </c>
      <c r="N170" s="8" t="s">
        <v>62</v>
      </c>
      <c r="O170" s="14">
        <v>3</v>
      </c>
      <c r="P170" s="14">
        <v>0</v>
      </c>
      <c r="Q170" s="14">
        <v>0</v>
      </c>
      <c r="R170" s="8">
        <v>0</v>
      </c>
      <c r="S170" s="14">
        <v>0</v>
      </c>
      <c r="T170" s="14">
        <v>0</v>
      </c>
      <c r="U170" s="14">
        <v>0</v>
      </c>
      <c r="V170" s="14">
        <v>0</v>
      </c>
      <c r="W170" s="8">
        <v>0</v>
      </c>
      <c r="X170" s="14">
        <v>0</v>
      </c>
      <c r="Y170" s="14">
        <v>3</v>
      </c>
      <c r="Z170" s="14">
        <v>0</v>
      </c>
      <c r="AA170" s="14">
        <v>0</v>
      </c>
      <c r="AB170" s="8">
        <v>0</v>
      </c>
      <c r="AC170" s="14">
        <v>0</v>
      </c>
      <c r="AD170" s="3">
        <f t="shared" si="4"/>
        <v>3</v>
      </c>
      <c r="AE170" s="14" t="s">
        <v>117</v>
      </c>
      <c r="AF170" s="3" t="s">
        <v>117</v>
      </c>
      <c r="AG170" s="14" t="s">
        <v>628</v>
      </c>
      <c r="AH170" s="14" t="s">
        <v>785</v>
      </c>
      <c r="AI170" s="14" t="s">
        <v>304</v>
      </c>
      <c r="AJ170" s="6">
        <f t="shared" si="5"/>
        <v>240000</v>
      </c>
      <c r="AK170" s="14" t="s">
        <v>305</v>
      </c>
    </row>
    <row r="171" spans="1:37" x14ac:dyDescent="0.35">
      <c r="A171" s="7" t="s">
        <v>786</v>
      </c>
      <c r="B171" s="8" t="s">
        <v>564</v>
      </c>
      <c r="C171" s="8" t="s">
        <v>282</v>
      </c>
      <c r="D171" s="54" t="s">
        <v>93</v>
      </c>
      <c r="E171" s="8">
        <v>343.7</v>
      </c>
      <c r="F171" s="8">
        <v>633</v>
      </c>
      <c r="G171" s="8">
        <v>626</v>
      </c>
      <c r="H171" s="9">
        <v>41147</v>
      </c>
      <c r="I171" s="13">
        <v>0.60416666666666663</v>
      </c>
      <c r="J171" s="9">
        <v>41147</v>
      </c>
      <c r="K171" s="13">
        <v>0.61111111111111105</v>
      </c>
      <c r="L171" s="9">
        <v>41147</v>
      </c>
      <c r="M171" s="13">
        <v>0.73958333333333337</v>
      </c>
      <c r="N171" s="8" t="s">
        <v>62</v>
      </c>
      <c r="O171" s="14">
        <v>10</v>
      </c>
      <c r="P171" s="14">
        <v>0</v>
      </c>
      <c r="Q171" s="14">
        <v>0</v>
      </c>
      <c r="R171" s="8">
        <v>0</v>
      </c>
      <c r="S171" s="14">
        <v>0</v>
      </c>
      <c r="T171" s="14">
        <v>0</v>
      </c>
      <c r="U171" s="14">
        <v>0</v>
      </c>
      <c r="V171" s="14">
        <v>0</v>
      </c>
      <c r="W171" s="8">
        <v>0</v>
      </c>
      <c r="X171" s="14">
        <v>0</v>
      </c>
      <c r="Y171" s="14">
        <v>10</v>
      </c>
      <c r="Z171" s="14">
        <v>0</v>
      </c>
      <c r="AA171" s="14">
        <v>0</v>
      </c>
      <c r="AB171" s="8">
        <v>0</v>
      </c>
      <c r="AC171" s="14">
        <v>0</v>
      </c>
      <c r="AD171" s="3">
        <f t="shared" si="4"/>
        <v>10</v>
      </c>
      <c r="AE171" s="14" t="s">
        <v>117</v>
      </c>
      <c r="AF171" s="3" t="s">
        <v>117</v>
      </c>
      <c r="AG171" s="14" t="s">
        <v>72</v>
      </c>
      <c r="AH171" s="14" t="s">
        <v>775</v>
      </c>
      <c r="AI171" s="14" t="s">
        <v>304</v>
      </c>
      <c r="AJ171" s="6">
        <f t="shared" si="5"/>
        <v>800000</v>
      </c>
      <c r="AK171" s="14" t="s">
        <v>305</v>
      </c>
    </row>
    <row r="172" spans="1:37" x14ac:dyDescent="0.35">
      <c r="A172" s="7" t="s">
        <v>787</v>
      </c>
      <c r="B172" s="8" t="s">
        <v>286</v>
      </c>
      <c r="C172" s="8" t="s">
        <v>325</v>
      </c>
      <c r="D172" s="54" t="s">
        <v>788</v>
      </c>
      <c r="E172" s="8">
        <v>594.70000000000005</v>
      </c>
      <c r="F172" s="8">
        <v>4007.7</v>
      </c>
      <c r="G172" s="8">
        <v>813</v>
      </c>
      <c r="H172" s="9">
        <v>41147</v>
      </c>
      <c r="I172" s="13">
        <v>0.66666666666666663</v>
      </c>
      <c r="J172" s="9">
        <v>41147</v>
      </c>
      <c r="K172" s="13">
        <v>0.67013888888888884</v>
      </c>
      <c r="L172" s="9">
        <v>41147</v>
      </c>
      <c r="M172" s="13">
        <v>0.82291666666666663</v>
      </c>
      <c r="N172" s="8" t="s">
        <v>62</v>
      </c>
      <c r="O172" s="14">
        <v>1.5</v>
      </c>
      <c r="P172" s="14">
        <v>0</v>
      </c>
      <c r="Q172" s="14">
        <v>0</v>
      </c>
      <c r="R172" s="8">
        <v>0</v>
      </c>
      <c r="S172" s="14">
        <v>0</v>
      </c>
      <c r="T172" s="14">
        <v>0</v>
      </c>
      <c r="U172" s="14">
        <v>0</v>
      </c>
      <c r="V172" s="14">
        <v>0</v>
      </c>
      <c r="W172" s="8">
        <v>0</v>
      </c>
      <c r="X172" s="14">
        <v>0</v>
      </c>
      <c r="Y172" s="14">
        <v>1.5</v>
      </c>
      <c r="Z172" s="14">
        <v>0</v>
      </c>
      <c r="AA172" s="14">
        <v>0</v>
      </c>
      <c r="AB172" s="8">
        <v>0</v>
      </c>
      <c r="AC172" s="14">
        <v>0</v>
      </c>
      <c r="AD172" s="3">
        <f t="shared" si="4"/>
        <v>1.5</v>
      </c>
      <c r="AE172" s="14" t="s">
        <v>117</v>
      </c>
      <c r="AF172" s="3" t="s">
        <v>117</v>
      </c>
      <c r="AG172" s="14" t="s">
        <v>57</v>
      </c>
      <c r="AH172" s="14" t="s">
        <v>789</v>
      </c>
      <c r="AI172" s="14" t="s">
        <v>304</v>
      </c>
      <c r="AJ172" s="6">
        <f t="shared" si="5"/>
        <v>120000</v>
      </c>
      <c r="AK172" s="14" t="s">
        <v>305</v>
      </c>
    </row>
    <row r="173" spans="1:37" x14ac:dyDescent="0.35">
      <c r="A173" s="7" t="s">
        <v>790</v>
      </c>
      <c r="B173" s="8" t="s">
        <v>320</v>
      </c>
      <c r="C173" s="8" t="s">
        <v>320</v>
      </c>
      <c r="D173" s="54" t="s">
        <v>791</v>
      </c>
      <c r="E173" s="8">
        <v>4005.3</v>
      </c>
      <c r="F173" s="8">
        <v>582.79999999999995</v>
      </c>
      <c r="G173" s="8">
        <v>785</v>
      </c>
      <c r="H173" s="9">
        <v>41147</v>
      </c>
      <c r="I173" s="13">
        <v>0.72916666666666663</v>
      </c>
      <c r="J173" s="9">
        <v>41147</v>
      </c>
      <c r="K173" s="13">
        <v>0.73611111111111116</v>
      </c>
      <c r="L173" s="9">
        <v>41147</v>
      </c>
      <c r="M173" s="13">
        <v>0.8125</v>
      </c>
      <c r="N173" s="8" t="s">
        <v>62</v>
      </c>
      <c r="O173" s="14">
        <v>1</v>
      </c>
      <c r="P173" s="14">
        <v>0</v>
      </c>
      <c r="Q173" s="14">
        <v>0</v>
      </c>
      <c r="R173" s="8">
        <v>0</v>
      </c>
      <c r="S173" s="14">
        <v>0</v>
      </c>
      <c r="T173" s="14">
        <v>0</v>
      </c>
      <c r="U173" s="14">
        <v>0</v>
      </c>
      <c r="V173" s="14">
        <v>0</v>
      </c>
      <c r="W173" s="8">
        <v>0</v>
      </c>
      <c r="X173" s="14">
        <v>0</v>
      </c>
      <c r="Y173" s="14">
        <v>1</v>
      </c>
      <c r="Z173" s="14">
        <v>0</v>
      </c>
      <c r="AA173" s="14">
        <v>0</v>
      </c>
      <c r="AB173" s="8">
        <v>0</v>
      </c>
      <c r="AC173" s="14">
        <v>0</v>
      </c>
      <c r="AD173" s="3">
        <f t="shared" si="4"/>
        <v>1</v>
      </c>
      <c r="AE173" s="14" t="s">
        <v>117</v>
      </c>
      <c r="AF173" s="3" t="s">
        <v>117</v>
      </c>
      <c r="AG173" s="14" t="s">
        <v>57</v>
      </c>
      <c r="AH173" s="14" t="s">
        <v>785</v>
      </c>
      <c r="AI173" s="14" t="s">
        <v>304</v>
      </c>
      <c r="AJ173" s="6">
        <f t="shared" si="5"/>
        <v>80000</v>
      </c>
      <c r="AK173" s="14" t="s">
        <v>305</v>
      </c>
    </row>
    <row r="174" spans="1:37" x14ac:dyDescent="0.35">
      <c r="A174" s="7" t="s">
        <v>792</v>
      </c>
      <c r="B174" s="8" t="s">
        <v>301</v>
      </c>
      <c r="C174" s="8" t="s">
        <v>481</v>
      </c>
      <c r="D174" s="54" t="s">
        <v>681</v>
      </c>
      <c r="E174" s="8">
        <v>603</v>
      </c>
      <c r="F174" s="8">
        <v>344.2</v>
      </c>
      <c r="G174" s="8">
        <v>675</v>
      </c>
      <c r="H174" s="9">
        <v>41147</v>
      </c>
      <c r="I174" s="13">
        <v>0.84375</v>
      </c>
      <c r="J174" s="9">
        <v>41147</v>
      </c>
      <c r="K174" s="13">
        <v>0.85069444444444453</v>
      </c>
      <c r="L174" s="9">
        <v>41147</v>
      </c>
      <c r="M174" s="13">
        <v>0.88194444444444453</v>
      </c>
      <c r="N174" s="8" t="s">
        <v>40</v>
      </c>
      <c r="O174" s="14">
        <v>0</v>
      </c>
      <c r="P174" s="14">
        <v>0.02</v>
      </c>
      <c r="Q174" s="14">
        <v>0</v>
      </c>
      <c r="R174" s="8">
        <v>0</v>
      </c>
      <c r="S174" s="14">
        <v>0</v>
      </c>
      <c r="T174" s="14">
        <v>0</v>
      </c>
      <c r="U174" s="14">
        <v>0</v>
      </c>
      <c r="V174" s="14">
        <v>0</v>
      </c>
      <c r="W174" s="8">
        <v>0</v>
      </c>
      <c r="X174" s="14">
        <v>0</v>
      </c>
      <c r="Y174" s="14">
        <v>0</v>
      </c>
      <c r="Z174" s="14">
        <v>0.02</v>
      </c>
      <c r="AA174" s="14">
        <v>0</v>
      </c>
      <c r="AB174" s="8">
        <v>0</v>
      </c>
      <c r="AC174" s="14">
        <v>0</v>
      </c>
      <c r="AD174" s="3">
        <f t="shared" si="4"/>
        <v>0.02</v>
      </c>
      <c r="AE174" s="14" t="s">
        <v>117</v>
      </c>
      <c r="AF174" s="3" t="s">
        <v>117</v>
      </c>
      <c r="AG174" s="14" t="s">
        <v>57</v>
      </c>
      <c r="AH174" s="14" t="s">
        <v>793</v>
      </c>
      <c r="AI174" s="14" t="s">
        <v>65</v>
      </c>
      <c r="AJ174" s="6">
        <f t="shared" si="5"/>
        <v>1560</v>
      </c>
      <c r="AK174" s="14" t="s">
        <v>305</v>
      </c>
    </row>
    <row r="175" spans="1:37" x14ac:dyDescent="0.35">
      <c r="A175" s="7" t="s">
        <v>794</v>
      </c>
      <c r="B175" s="8" t="s">
        <v>68</v>
      </c>
      <c r="C175" s="8" t="s">
        <v>68</v>
      </c>
      <c r="D175" s="54" t="s">
        <v>795</v>
      </c>
      <c r="E175" s="8">
        <v>4002</v>
      </c>
      <c r="F175" s="8">
        <v>559.5</v>
      </c>
      <c r="G175" s="8">
        <v>1050</v>
      </c>
      <c r="H175" s="9">
        <v>41148</v>
      </c>
      <c r="I175" s="13">
        <v>0.625</v>
      </c>
      <c r="J175" s="9">
        <v>41148</v>
      </c>
      <c r="K175" s="13">
        <v>0.63194444444444442</v>
      </c>
      <c r="L175" s="9">
        <v>41148</v>
      </c>
      <c r="M175" s="13">
        <v>0.86111111111111116</v>
      </c>
      <c r="N175" s="8" t="s">
        <v>62</v>
      </c>
      <c r="O175" s="14">
        <v>3</v>
      </c>
      <c r="P175" s="14">
        <v>2</v>
      </c>
      <c r="Q175" s="14">
        <v>0</v>
      </c>
      <c r="R175" s="8">
        <v>0</v>
      </c>
      <c r="S175" s="14">
        <v>0</v>
      </c>
      <c r="T175" s="14">
        <v>0</v>
      </c>
      <c r="U175" s="14">
        <v>0</v>
      </c>
      <c r="V175" s="14">
        <v>0</v>
      </c>
      <c r="W175" s="8">
        <v>0</v>
      </c>
      <c r="X175" s="14">
        <v>0</v>
      </c>
      <c r="Y175" s="14">
        <v>3</v>
      </c>
      <c r="Z175" s="14">
        <v>2</v>
      </c>
      <c r="AA175" s="14">
        <v>0</v>
      </c>
      <c r="AB175" s="8">
        <v>0</v>
      </c>
      <c r="AC175" s="14">
        <v>0</v>
      </c>
      <c r="AD175" s="3">
        <f t="shared" si="4"/>
        <v>5</v>
      </c>
      <c r="AE175" s="14" t="s">
        <v>117</v>
      </c>
      <c r="AF175" s="3" t="s">
        <v>117</v>
      </c>
      <c r="AG175" s="14" t="s">
        <v>57</v>
      </c>
      <c r="AH175" s="14" t="s">
        <v>796</v>
      </c>
      <c r="AI175" s="14" t="s">
        <v>304</v>
      </c>
      <c r="AJ175" s="6">
        <f t="shared" si="5"/>
        <v>396000</v>
      </c>
      <c r="AK175" s="14" t="s">
        <v>305</v>
      </c>
    </row>
    <row r="176" spans="1:37" x14ac:dyDescent="0.35">
      <c r="A176" s="7" t="s">
        <v>797</v>
      </c>
      <c r="B176" s="8" t="s">
        <v>320</v>
      </c>
      <c r="C176" s="8" t="s">
        <v>320</v>
      </c>
      <c r="D176" s="54" t="s">
        <v>798</v>
      </c>
      <c r="E176" s="8">
        <v>4005.2</v>
      </c>
      <c r="F176" s="8">
        <v>584.70000000000005</v>
      </c>
      <c r="G176" s="8">
        <v>706</v>
      </c>
      <c r="H176" s="9">
        <v>41149</v>
      </c>
      <c r="I176" s="13">
        <v>0.58333333333333337</v>
      </c>
      <c r="J176" s="9">
        <v>41149</v>
      </c>
      <c r="K176" s="13">
        <v>0.58680555555555558</v>
      </c>
      <c r="L176" s="9">
        <v>41149</v>
      </c>
      <c r="M176" s="13">
        <v>0.60416666666666663</v>
      </c>
      <c r="N176" s="8" t="s">
        <v>62</v>
      </c>
      <c r="O176" s="14">
        <v>1.4999999999999999E-2</v>
      </c>
      <c r="P176" s="14">
        <v>0</v>
      </c>
      <c r="Q176" s="14">
        <v>0</v>
      </c>
      <c r="R176" s="8">
        <v>0</v>
      </c>
      <c r="S176" s="14">
        <v>0</v>
      </c>
      <c r="T176" s="14">
        <v>0</v>
      </c>
      <c r="U176" s="14">
        <v>0</v>
      </c>
      <c r="V176" s="14">
        <v>0</v>
      </c>
      <c r="W176" s="8">
        <v>0</v>
      </c>
      <c r="X176" s="14">
        <v>0</v>
      </c>
      <c r="Y176" s="14">
        <v>1.4999999999999999E-2</v>
      </c>
      <c r="Z176" s="14">
        <v>0</v>
      </c>
      <c r="AA176" s="14">
        <v>0</v>
      </c>
      <c r="AB176" s="8">
        <v>0</v>
      </c>
      <c r="AC176" s="14">
        <v>0</v>
      </c>
      <c r="AD176" s="3">
        <f t="shared" si="4"/>
        <v>1.4999999999999999E-2</v>
      </c>
      <c r="AE176" s="14" t="s">
        <v>117</v>
      </c>
      <c r="AF176" s="3" t="s">
        <v>117</v>
      </c>
      <c r="AG176" s="14" t="s">
        <v>72</v>
      </c>
      <c r="AH176" s="14" t="s">
        <v>799</v>
      </c>
      <c r="AI176" s="14" t="s">
        <v>304</v>
      </c>
      <c r="AJ176" s="6">
        <f t="shared" si="5"/>
        <v>1200</v>
      </c>
      <c r="AK176" s="14" t="s">
        <v>305</v>
      </c>
    </row>
    <row r="177" spans="1:37" x14ac:dyDescent="0.35">
      <c r="A177" s="7" t="s">
        <v>800</v>
      </c>
      <c r="B177" s="8" t="s">
        <v>357</v>
      </c>
      <c r="C177" s="8" t="s">
        <v>689</v>
      </c>
      <c r="D177" s="54" t="s">
        <v>801</v>
      </c>
      <c r="E177" s="8">
        <v>546.79999999999995</v>
      </c>
      <c r="F177" s="8">
        <v>4050.6</v>
      </c>
      <c r="G177" s="8">
        <v>640</v>
      </c>
      <c r="H177" s="9">
        <v>41149</v>
      </c>
      <c r="I177" s="13">
        <v>0.67708333333333337</v>
      </c>
      <c r="J177" s="9">
        <v>41149</v>
      </c>
      <c r="K177" s="13">
        <v>0.6875</v>
      </c>
      <c r="L177" s="9">
        <v>41150</v>
      </c>
      <c r="M177" s="13">
        <v>0.39583333333333331</v>
      </c>
      <c r="N177" s="8" t="s">
        <v>484</v>
      </c>
      <c r="O177" s="14">
        <v>8</v>
      </c>
      <c r="P177" s="14">
        <v>24</v>
      </c>
      <c r="Q177" s="14">
        <v>0</v>
      </c>
      <c r="R177" s="8">
        <v>0</v>
      </c>
      <c r="S177" s="14">
        <v>0</v>
      </c>
      <c r="T177" s="14">
        <v>0</v>
      </c>
      <c r="U177" s="14">
        <v>0</v>
      </c>
      <c r="V177" s="14">
        <v>0</v>
      </c>
      <c r="W177" s="8">
        <v>0</v>
      </c>
      <c r="X177" s="14">
        <v>0</v>
      </c>
      <c r="Y177" s="14">
        <v>8</v>
      </c>
      <c r="Z177" s="14">
        <v>24</v>
      </c>
      <c r="AA177" s="14">
        <v>0</v>
      </c>
      <c r="AB177" s="8">
        <v>0</v>
      </c>
      <c r="AC177" s="14">
        <v>0</v>
      </c>
      <c r="AD177" s="3">
        <f t="shared" si="4"/>
        <v>32</v>
      </c>
      <c r="AE177" s="14" t="s">
        <v>117</v>
      </c>
      <c r="AF177" s="3" t="s">
        <v>117</v>
      </c>
      <c r="AG177" s="14" t="s">
        <v>57</v>
      </c>
      <c r="AH177" s="14"/>
      <c r="AI177" s="14" t="s">
        <v>304</v>
      </c>
      <c r="AJ177" s="6">
        <f t="shared" si="5"/>
        <v>2512000</v>
      </c>
      <c r="AK177" s="14" t="s">
        <v>305</v>
      </c>
    </row>
    <row r="178" spans="1:37" x14ac:dyDescent="0.35">
      <c r="A178" s="7" t="s">
        <v>802</v>
      </c>
      <c r="B178" s="8" t="s">
        <v>564</v>
      </c>
      <c r="C178" s="8" t="s">
        <v>491</v>
      </c>
      <c r="D178" s="54" t="s">
        <v>717</v>
      </c>
      <c r="E178" s="8">
        <v>349.8</v>
      </c>
      <c r="F178" s="8">
        <v>645.70000000000005</v>
      </c>
      <c r="G178" s="8">
        <v>1231</v>
      </c>
      <c r="H178" s="9">
        <v>41149</v>
      </c>
      <c r="I178" s="13">
        <v>0.65277777777777779</v>
      </c>
      <c r="J178" s="9">
        <v>41149</v>
      </c>
      <c r="K178" s="13">
        <v>0.66319444444444442</v>
      </c>
      <c r="L178" s="9">
        <v>41149</v>
      </c>
      <c r="M178" s="13">
        <v>0.90277777777777779</v>
      </c>
      <c r="N178" s="8" t="s">
        <v>81</v>
      </c>
      <c r="O178" s="14">
        <v>0</v>
      </c>
      <c r="P178" s="14">
        <v>10</v>
      </c>
      <c r="Q178" s="14">
        <v>5</v>
      </c>
      <c r="R178" s="8">
        <v>0</v>
      </c>
      <c r="S178" s="14">
        <v>0</v>
      </c>
      <c r="T178" s="14">
        <v>0</v>
      </c>
      <c r="U178" s="14">
        <v>0</v>
      </c>
      <c r="V178" s="14">
        <v>0</v>
      </c>
      <c r="W178" s="8">
        <v>0</v>
      </c>
      <c r="X178" s="14">
        <v>0</v>
      </c>
      <c r="Y178" s="14">
        <v>0</v>
      </c>
      <c r="Z178" s="14">
        <v>10</v>
      </c>
      <c r="AA178" s="14">
        <v>5</v>
      </c>
      <c r="AB178" s="8">
        <v>0</v>
      </c>
      <c r="AC178" s="14">
        <v>0</v>
      </c>
      <c r="AD178" s="3">
        <f t="shared" si="4"/>
        <v>15</v>
      </c>
      <c r="AE178" s="14" t="s">
        <v>117</v>
      </c>
      <c r="AF178" s="3" t="s">
        <v>117</v>
      </c>
      <c r="AG178" s="14" t="s">
        <v>72</v>
      </c>
      <c r="AH178" s="14" t="s">
        <v>574</v>
      </c>
      <c r="AI178" s="14" t="s">
        <v>473</v>
      </c>
      <c r="AJ178" s="6">
        <f t="shared" si="5"/>
        <v>855000</v>
      </c>
      <c r="AK178" s="14" t="s">
        <v>305</v>
      </c>
    </row>
    <row r="179" spans="1:37" x14ac:dyDescent="0.35">
      <c r="A179" s="7" t="s">
        <v>803</v>
      </c>
      <c r="B179" s="8" t="s">
        <v>286</v>
      </c>
      <c r="C179" s="8" t="s">
        <v>325</v>
      </c>
      <c r="D179" s="54" t="s">
        <v>804</v>
      </c>
      <c r="E179" s="8">
        <v>599.35</v>
      </c>
      <c r="F179" s="8">
        <v>4011.1</v>
      </c>
      <c r="G179" s="8">
        <v>715</v>
      </c>
      <c r="H179" s="9">
        <v>41150</v>
      </c>
      <c r="I179" s="13">
        <v>0.5625</v>
      </c>
      <c r="J179" s="9">
        <v>41150</v>
      </c>
      <c r="K179" s="13">
        <v>0.56944444444444442</v>
      </c>
      <c r="L179" s="9">
        <v>41150</v>
      </c>
      <c r="M179" s="13">
        <v>0.72916666666666663</v>
      </c>
      <c r="N179" s="8" t="s">
        <v>62</v>
      </c>
      <c r="O179" s="14">
        <v>3</v>
      </c>
      <c r="P179" s="14">
        <v>0</v>
      </c>
      <c r="Q179" s="14">
        <v>0</v>
      </c>
      <c r="R179" s="8">
        <v>0</v>
      </c>
      <c r="S179" s="14">
        <v>0</v>
      </c>
      <c r="T179" s="14">
        <v>0</v>
      </c>
      <c r="U179" s="14">
        <v>0</v>
      </c>
      <c r="V179" s="14">
        <v>0</v>
      </c>
      <c r="W179" s="8">
        <v>0</v>
      </c>
      <c r="X179" s="14">
        <v>0</v>
      </c>
      <c r="Y179" s="14">
        <v>3</v>
      </c>
      <c r="Z179" s="14">
        <v>0</v>
      </c>
      <c r="AA179" s="14">
        <v>0</v>
      </c>
      <c r="AB179" s="8">
        <v>0</v>
      </c>
      <c r="AC179" s="14">
        <v>0</v>
      </c>
      <c r="AD179" s="3">
        <f t="shared" si="4"/>
        <v>3</v>
      </c>
      <c r="AE179" s="14" t="s">
        <v>117</v>
      </c>
      <c r="AF179" s="3" t="s">
        <v>117</v>
      </c>
      <c r="AG179" s="14" t="s">
        <v>57</v>
      </c>
      <c r="AH179" s="14" t="s">
        <v>805</v>
      </c>
      <c r="AI179" s="14" t="s">
        <v>65</v>
      </c>
      <c r="AJ179" s="6">
        <f t="shared" si="5"/>
        <v>240000</v>
      </c>
      <c r="AK179" s="14" t="s">
        <v>305</v>
      </c>
    </row>
    <row r="180" spans="1:37" x14ac:dyDescent="0.35">
      <c r="A180" s="7" t="s">
        <v>806</v>
      </c>
      <c r="B180" s="8" t="s">
        <v>564</v>
      </c>
      <c r="C180" s="8" t="s">
        <v>282</v>
      </c>
      <c r="D180" s="54" t="s">
        <v>807</v>
      </c>
      <c r="E180" s="12">
        <v>609.4</v>
      </c>
      <c r="F180" s="8">
        <v>4029.9</v>
      </c>
      <c r="G180" s="8">
        <v>1014</v>
      </c>
      <c r="H180" s="9">
        <v>41150</v>
      </c>
      <c r="I180" s="13">
        <v>0.60416666666666663</v>
      </c>
      <c r="J180" s="9">
        <v>41150</v>
      </c>
      <c r="K180" s="13">
        <v>0.61111111111111105</v>
      </c>
      <c r="L180" s="9">
        <v>41150</v>
      </c>
      <c r="M180" s="13">
        <v>0.6875</v>
      </c>
      <c r="N180" s="8" t="s">
        <v>81</v>
      </c>
      <c r="O180" s="14">
        <v>0</v>
      </c>
      <c r="P180" s="14">
        <v>5</v>
      </c>
      <c r="Q180" s="14">
        <v>0</v>
      </c>
      <c r="R180" s="8">
        <v>0</v>
      </c>
      <c r="S180" s="14">
        <v>0</v>
      </c>
      <c r="T180" s="14">
        <v>0</v>
      </c>
      <c r="U180" s="14">
        <v>0</v>
      </c>
      <c r="V180" s="14">
        <v>0</v>
      </c>
      <c r="W180" s="8">
        <v>0</v>
      </c>
      <c r="X180" s="14" t="s">
        <v>808</v>
      </c>
      <c r="Y180" s="14">
        <v>0</v>
      </c>
      <c r="Z180" s="14">
        <v>5</v>
      </c>
      <c r="AA180" s="14">
        <v>0</v>
      </c>
      <c r="AB180" s="8">
        <v>0</v>
      </c>
      <c r="AC180" s="14" t="s">
        <v>808</v>
      </c>
      <c r="AD180" s="3">
        <f t="shared" si="4"/>
        <v>5</v>
      </c>
      <c r="AE180" s="14" t="s">
        <v>117</v>
      </c>
      <c r="AF180" s="3" t="s">
        <v>117</v>
      </c>
      <c r="AG180" s="14" t="s">
        <v>72</v>
      </c>
      <c r="AH180" s="14" t="s">
        <v>809</v>
      </c>
      <c r="AI180" s="14" t="s">
        <v>473</v>
      </c>
      <c r="AJ180" s="6">
        <f t="shared" si="5"/>
        <v>390000</v>
      </c>
      <c r="AK180" s="14" t="s">
        <v>305</v>
      </c>
    </row>
    <row r="181" spans="1:37" x14ac:dyDescent="0.35">
      <c r="A181" s="7" t="s">
        <v>810</v>
      </c>
      <c r="B181" s="8" t="s">
        <v>286</v>
      </c>
      <c r="C181" s="8" t="s">
        <v>287</v>
      </c>
      <c r="D181" s="54" t="s">
        <v>811</v>
      </c>
      <c r="E181" s="12">
        <v>604.45000000000005</v>
      </c>
      <c r="F181" s="8">
        <v>4028.8</v>
      </c>
      <c r="G181" s="8">
        <v>616</v>
      </c>
      <c r="H181" s="9">
        <v>41150</v>
      </c>
      <c r="I181" s="13">
        <v>0.63888888888888895</v>
      </c>
      <c r="J181" s="9">
        <v>41150</v>
      </c>
      <c r="K181" s="13">
        <v>0.64583333333333337</v>
      </c>
      <c r="L181" s="9">
        <v>41150</v>
      </c>
      <c r="M181" s="13">
        <v>0.80555555555555547</v>
      </c>
      <c r="N181" s="8" t="s">
        <v>41</v>
      </c>
      <c r="O181" s="14">
        <v>0</v>
      </c>
      <c r="P181" s="14">
        <v>0</v>
      </c>
      <c r="Q181" s="14">
        <v>0</v>
      </c>
      <c r="R181" s="8">
        <v>0</v>
      </c>
      <c r="S181" s="14">
        <v>0</v>
      </c>
      <c r="T181" s="14">
        <v>0.5</v>
      </c>
      <c r="U181" s="14">
        <v>0</v>
      </c>
      <c r="V181" s="14">
        <v>1</v>
      </c>
      <c r="W181" s="8">
        <v>0</v>
      </c>
      <c r="X181" s="14">
        <v>0</v>
      </c>
      <c r="Y181" s="14">
        <v>0.5</v>
      </c>
      <c r="Z181" s="14">
        <v>0</v>
      </c>
      <c r="AA181" s="14">
        <v>1</v>
      </c>
      <c r="AB181" s="8">
        <v>0</v>
      </c>
      <c r="AC181" s="14">
        <v>0</v>
      </c>
      <c r="AD181" s="3">
        <f t="shared" si="4"/>
        <v>1.5</v>
      </c>
      <c r="AE181" s="14" t="s">
        <v>117</v>
      </c>
      <c r="AF181" s="3" t="s">
        <v>117</v>
      </c>
      <c r="AG181" s="14" t="s">
        <v>57</v>
      </c>
      <c r="AH181" s="14" t="s">
        <v>809</v>
      </c>
      <c r="AI181" s="14" t="s">
        <v>304</v>
      </c>
      <c r="AJ181" s="6">
        <f t="shared" si="5"/>
        <v>55000</v>
      </c>
      <c r="AK181" s="14" t="s">
        <v>305</v>
      </c>
    </row>
    <row r="182" spans="1:37" x14ac:dyDescent="0.35">
      <c r="A182" s="7" t="s">
        <v>812</v>
      </c>
      <c r="B182" s="8" t="s">
        <v>68</v>
      </c>
      <c r="C182" s="8" t="s">
        <v>68</v>
      </c>
      <c r="D182" s="54" t="s">
        <v>813</v>
      </c>
      <c r="E182" s="8">
        <v>4002</v>
      </c>
      <c r="F182" s="8">
        <v>560</v>
      </c>
      <c r="G182" s="8">
        <v>1000</v>
      </c>
      <c r="H182" s="9">
        <v>41150</v>
      </c>
      <c r="I182" s="13">
        <v>0.77083333333333337</v>
      </c>
      <c r="J182" s="9">
        <v>41150</v>
      </c>
      <c r="K182" s="13">
        <v>0.77777777777777779</v>
      </c>
      <c r="L182" s="9">
        <v>41150</v>
      </c>
      <c r="M182" s="13">
        <v>0.79722222222222217</v>
      </c>
      <c r="N182" s="8" t="s">
        <v>62</v>
      </c>
      <c r="O182" s="14">
        <v>0.5</v>
      </c>
      <c r="P182" s="14">
        <v>0</v>
      </c>
      <c r="Q182" s="14">
        <v>0</v>
      </c>
      <c r="R182" s="8">
        <v>0</v>
      </c>
      <c r="S182" s="14">
        <v>0</v>
      </c>
      <c r="T182" s="14">
        <v>0</v>
      </c>
      <c r="U182" s="14">
        <v>0</v>
      </c>
      <c r="V182" s="14">
        <v>0</v>
      </c>
      <c r="W182" s="8">
        <v>0</v>
      </c>
      <c r="X182" s="14">
        <v>0</v>
      </c>
      <c r="Y182" s="14">
        <v>0.5</v>
      </c>
      <c r="Z182" s="14">
        <v>0</v>
      </c>
      <c r="AA182" s="14">
        <v>0</v>
      </c>
      <c r="AB182" s="8">
        <v>0</v>
      </c>
      <c r="AC182" s="14">
        <v>0</v>
      </c>
      <c r="AD182" s="3">
        <f t="shared" si="4"/>
        <v>0.5</v>
      </c>
      <c r="AE182" s="14" t="s">
        <v>117</v>
      </c>
      <c r="AF182" s="3" t="s">
        <v>117</v>
      </c>
      <c r="AG182" s="14" t="s">
        <v>57</v>
      </c>
      <c r="AH182" s="14" t="s">
        <v>613</v>
      </c>
      <c r="AI182" s="14" t="s">
        <v>304</v>
      </c>
      <c r="AJ182" s="6">
        <f t="shared" si="5"/>
        <v>40000</v>
      </c>
      <c r="AK182" s="14" t="s">
        <v>305</v>
      </c>
    </row>
    <row r="183" spans="1:37" x14ac:dyDescent="0.35">
      <c r="A183" s="7" t="s">
        <v>814</v>
      </c>
      <c r="B183" s="8" t="s">
        <v>286</v>
      </c>
      <c r="C183" s="8" t="s">
        <v>325</v>
      </c>
      <c r="D183" s="54" t="s">
        <v>815</v>
      </c>
      <c r="E183" s="8">
        <v>595.1</v>
      </c>
      <c r="F183" s="8">
        <v>4007.9</v>
      </c>
      <c r="G183" s="8">
        <v>813</v>
      </c>
      <c r="H183" s="9">
        <v>41151</v>
      </c>
      <c r="I183" s="13">
        <v>0.46875</v>
      </c>
      <c r="J183" s="9">
        <v>41151</v>
      </c>
      <c r="K183" s="13">
        <v>0.47569444444444442</v>
      </c>
      <c r="L183" s="9">
        <v>41151</v>
      </c>
      <c r="M183" s="13">
        <v>0.58333333333333337</v>
      </c>
      <c r="N183" s="8" t="s">
        <v>62</v>
      </c>
      <c r="O183" s="14">
        <v>0.8</v>
      </c>
      <c r="P183" s="14">
        <v>0</v>
      </c>
      <c r="Q183" s="14">
        <v>0</v>
      </c>
      <c r="R183" s="8">
        <v>0</v>
      </c>
      <c r="S183" s="14">
        <v>0</v>
      </c>
      <c r="T183" s="14">
        <v>0</v>
      </c>
      <c r="U183" s="14">
        <v>0</v>
      </c>
      <c r="V183" s="14">
        <v>0</v>
      </c>
      <c r="W183" s="8">
        <v>0</v>
      </c>
      <c r="X183" s="14">
        <v>0</v>
      </c>
      <c r="Y183" s="14">
        <v>0.8</v>
      </c>
      <c r="Z183" s="14">
        <v>0</v>
      </c>
      <c r="AA183" s="14">
        <v>0.2</v>
      </c>
      <c r="AB183" s="8">
        <v>0</v>
      </c>
      <c r="AC183" s="14">
        <v>0</v>
      </c>
      <c r="AD183" s="3">
        <f t="shared" si="4"/>
        <v>1</v>
      </c>
      <c r="AE183" s="14" t="s">
        <v>117</v>
      </c>
      <c r="AF183" s="3" t="s">
        <v>117</v>
      </c>
      <c r="AG183" s="14" t="s">
        <v>57</v>
      </c>
      <c r="AH183" s="14" t="s">
        <v>816</v>
      </c>
      <c r="AI183" s="14" t="s">
        <v>304</v>
      </c>
      <c r="AJ183" s="6">
        <f t="shared" si="5"/>
        <v>67000</v>
      </c>
      <c r="AK183" s="14" t="s">
        <v>305</v>
      </c>
    </row>
    <row r="184" spans="1:37" x14ac:dyDescent="0.35">
      <c r="A184" s="7" t="s">
        <v>817</v>
      </c>
      <c r="B184" s="8" t="s">
        <v>312</v>
      </c>
      <c r="C184" s="8" t="s">
        <v>312</v>
      </c>
      <c r="D184" s="54" t="s">
        <v>618</v>
      </c>
      <c r="E184" s="8">
        <v>617.9</v>
      </c>
      <c r="F184" s="8">
        <v>346.2</v>
      </c>
      <c r="G184" s="8">
        <v>775</v>
      </c>
      <c r="H184" s="9">
        <v>41151</v>
      </c>
      <c r="I184" s="13">
        <v>0.57986111111111105</v>
      </c>
      <c r="J184" s="9">
        <v>41151</v>
      </c>
      <c r="K184" s="13">
        <v>0.58333333333333337</v>
      </c>
      <c r="L184" s="9">
        <v>41151</v>
      </c>
      <c r="M184" s="13">
        <v>0.65277777777777779</v>
      </c>
      <c r="N184" s="8" t="s">
        <v>484</v>
      </c>
      <c r="O184" s="14">
        <v>0</v>
      </c>
      <c r="P184" s="14">
        <v>0.5</v>
      </c>
      <c r="Q184" s="14">
        <v>0</v>
      </c>
      <c r="R184" s="8">
        <v>0</v>
      </c>
      <c r="S184" s="14">
        <v>0</v>
      </c>
      <c r="T184" s="14">
        <v>0</v>
      </c>
      <c r="U184" s="14">
        <v>0</v>
      </c>
      <c r="V184" s="14">
        <v>0</v>
      </c>
      <c r="W184" s="8">
        <v>0</v>
      </c>
      <c r="X184" s="14">
        <v>0</v>
      </c>
      <c r="Y184" s="14">
        <v>0</v>
      </c>
      <c r="Z184" s="14">
        <v>0.5</v>
      </c>
      <c r="AA184" s="14">
        <v>0</v>
      </c>
      <c r="AB184" s="8">
        <v>0</v>
      </c>
      <c r="AC184" s="14">
        <v>0</v>
      </c>
      <c r="AD184" s="3">
        <f t="shared" si="4"/>
        <v>0.5</v>
      </c>
      <c r="AE184" s="14" t="s">
        <v>117</v>
      </c>
      <c r="AF184" s="3" t="s">
        <v>117</v>
      </c>
      <c r="AG184" s="14" t="s">
        <v>57</v>
      </c>
      <c r="AH184" s="14" t="s">
        <v>560</v>
      </c>
      <c r="AI184" s="14" t="s">
        <v>65</v>
      </c>
      <c r="AJ184" s="6">
        <f t="shared" si="5"/>
        <v>39000</v>
      </c>
      <c r="AK184" s="14" t="s">
        <v>305</v>
      </c>
    </row>
    <row r="185" spans="1:37" x14ac:dyDescent="0.35">
      <c r="A185" s="7" t="s">
        <v>818</v>
      </c>
      <c r="B185" s="8" t="s">
        <v>301</v>
      </c>
      <c r="C185" s="8" t="s">
        <v>301</v>
      </c>
      <c r="D185" s="54" t="s">
        <v>649</v>
      </c>
      <c r="E185" s="8" t="s">
        <v>640</v>
      </c>
      <c r="F185" s="8" t="s">
        <v>641</v>
      </c>
      <c r="G185" s="8">
        <v>885</v>
      </c>
      <c r="H185" s="9">
        <v>41151</v>
      </c>
      <c r="I185" s="13">
        <v>0.61458333333333337</v>
      </c>
      <c r="J185" s="9">
        <v>41151</v>
      </c>
      <c r="K185" s="13">
        <v>0.62152777777777779</v>
      </c>
      <c r="L185" s="9">
        <v>41151</v>
      </c>
      <c r="M185" s="13">
        <v>0.79166666666666663</v>
      </c>
      <c r="N185" s="8" t="s">
        <v>41</v>
      </c>
      <c r="O185" s="14">
        <v>2</v>
      </c>
      <c r="P185" s="14">
        <v>3</v>
      </c>
      <c r="Q185" s="14">
        <v>10</v>
      </c>
      <c r="R185" s="8">
        <v>0</v>
      </c>
      <c r="S185" s="14">
        <v>0</v>
      </c>
      <c r="T185" s="14">
        <v>0</v>
      </c>
      <c r="U185" s="14">
        <v>0</v>
      </c>
      <c r="V185" s="14">
        <v>0</v>
      </c>
      <c r="W185" s="8">
        <v>0</v>
      </c>
      <c r="X185" s="14">
        <v>0</v>
      </c>
      <c r="Y185" s="14">
        <v>2</v>
      </c>
      <c r="Z185" s="14">
        <v>3</v>
      </c>
      <c r="AA185" s="14">
        <v>10</v>
      </c>
      <c r="AB185" s="8">
        <v>0</v>
      </c>
      <c r="AC185" s="14">
        <v>0</v>
      </c>
      <c r="AD185" s="3">
        <f t="shared" si="4"/>
        <v>15</v>
      </c>
      <c r="AE185" s="14" t="s">
        <v>117</v>
      </c>
      <c r="AF185" s="3" t="s">
        <v>117</v>
      </c>
      <c r="AG185" s="14" t="s">
        <v>57</v>
      </c>
      <c r="AH185" s="14" t="s">
        <v>819</v>
      </c>
      <c r="AI185" s="14" t="s">
        <v>304</v>
      </c>
      <c r="AJ185" s="6">
        <f t="shared" si="5"/>
        <v>544000</v>
      </c>
      <c r="AK185" s="14" t="s">
        <v>305</v>
      </c>
    </row>
    <row r="186" spans="1:37" x14ac:dyDescent="0.35">
      <c r="A186" s="7" t="s">
        <v>820</v>
      </c>
      <c r="B186" s="8" t="s">
        <v>312</v>
      </c>
      <c r="C186" s="8" t="s">
        <v>312</v>
      </c>
      <c r="D186" s="54" t="s">
        <v>618</v>
      </c>
      <c r="E186" s="8">
        <v>617.9</v>
      </c>
      <c r="F186" s="8">
        <v>346.2</v>
      </c>
      <c r="G186" s="8">
        <v>775</v>
      </c>
      <c r="H186" s="9">
        <v>41153</v>
      </c>
      <c r="I186" s="10" t="s">
        <v>821</v>
      </c>
      <c r="J186" s="9">
        <v>41153</v>
      </c>
      <c r="K186" s="10">
        <v>0.67013888888888884</v>
      </c>
      <c r="L186" s="9">
        <v>41153</v>
      </c>
      <c r="M186" s="10" t="s">
        <v>822</v>
      </c>
      <c r="N186" s="8" t="s">
        <v>81</v>
      </c>
      <c r="O186" s="18">
        <v>0</v>
      </c>
      <c r="P186" s="18">
        <v>0.5</v>
      </c>
      <c r="Q186" s="8">
        <v>0</v>
      </c>
      <c r="R186" s="8">
        <v>0</v>
      </c>
      <c r="S186" s="14">
        <v>0</v>
      </c>
      <c r="T186" s="14">
        <v>0</v>
      </c>
      <c r="U186" s="14">
        <v>0</v>
      </c>
      <c r="V186" s="14">
        <v>0</v>
      </c>
      <c r="W186" s="8">
        <v>0</v>
      </c>
      <c r="X186" s="14">
        <v>0</v>
      </c>
      <c r="Y186" s="8">
        <v>0</v>
      </c>
      <c r="Z186" s="8">
        <v>0.5</v>
      </c>
      <c r="AA186" s="8">
        <v>0</v>
      </c>
      <c r="AB186" s="8">
        <v>0</v>
      </c>
      <c r="AC186" s="14">
        <v>0</v>
      </c>
      <c r="AD186" s="3">
        <f t="shared" si="4"/>
        <v>0.5</v>
      </c>
      <c r="AE186" s="14" t="s">
        <v>117</v>
      </c>
      <c r="AF186" s="3" t="s">
        <v>117</v>
      </c>
      <c r="AG186" s="8" t="s">
        <v>57</v>
      </c>
      <c r="AH186" s="8" t="s">
        <v>303</v>
      </c>
      <c r="AI186" s="14" t="s">
        <v>304</v>
      </c>
      <c r="AJ186" s="6">
        <f t="shared" si="5"/>
        <v>39000</v>
      </c>
      <c r="AK186" s="8" t="s">
        <v>305</v>
      </c>
    </row>
    <row r="187" spans="1:37" x14ac:dyDescent="0.35">
      <c r="A187" s="7" t="s">
        <v>823</v>
      </c>
      <c r="B187" s="8" t="s">
        <v>409</v>
      </c>
      <c r="C187" s="8" t="s">
        <v>824</v>
      </c>
      <c r="D187" s="54" t="s">
        <v>825</v>
      </c>
      <c r="E187" s="8">
        <v>3985.4</v>
      </c>
      <c r="F187" s="8">
        <v>588</v>
      </c>
      <c r="G187" s="8"/>
      <c r="H187" s="9">
        <v>41154</v>
      </c>
      <c r="I187" s="10">
        <v>0.72916666666666663</v>
      </c>
      <c r="J187" s="9">
        <v>41154</v>
      </c>
      <c r="K187" s="10">
        <v>0.74097222222222225</v>
      </c>
      <c r="L187" s="9">
        <v>41154</v>
      </c>
      <c r="M187" s="10">
        <v>0.8125</v>
      </c>
      <c r="N187" s="8" t="s">
        <v>62</v>
      </c>
      <c r="O187" s="8">
        <v>1</v>
      </c>
      <c r="P187" s="8">
        <v>0</v>
      </c>
      <c r="Q187" s="8">
        <v>0</v>
      </c>
      <c r="R187" s="8">
        <v>0</v>
      </c>
      <c r="S187" s="14">
        <v>0</v>
      </c>
      <c r="T187" s="14">
        <v>0</v>
      </c>
      <c r="U187" s="14">
        <v>0</v>
      </c>
      <c r="V187" s="14">
        <v>0</v>
      </c>
      <c r="W187" s="8">
        <v>0</v>
      </c>
      <c r="X187" s="14">
        <v>0</v>
      </c>
      <c r="Y187" s="8">
        <v>1</v>
      </c>
      <c r="Z187" s="8">
        <v>0</v>
      </c>
      <c r="AA187" s="8">
        <v>0</v>
      </c>
      <c r="AB187" s="8">
        <v>0</v>
      </c>
      <c r="AC187" s="14">
        <v>0</v>
      </c>
      <c r="AD187" s="3">
        <f t="shared" si="4"/>
        <v>1</v>
      </c>
      <c r="AE187" s="14" t="s">
        <v>117</v>
      </c>
      <c r="AF187" s="3" t="s">
        <v>117</v>
      </c>
      <c r="AG187" s="8" t="s">
        <v>72</v>
      </c>
      <c r="AH187" s="8" t="s">
        <v>826</v>
      </c>
      <c r="AI187" s="14" t="s">
        <v>65</v>
      </c>
      <c r="AJ187" s="6">
        <f t="shared" si="5"/>
        <v>80000</v>
      </c>
      <c r="AK187" s="8" t="s">
        <v>305</v>
      </c>
    </row>
    <row r="188" spans="1:37" x14ac:dyDescent="0.35">
      <c r="A188" s="7" t="s">
        <v>827</v>
      </c>
      <c r="B188" s="8" t="s">
        <v>409</v>
      </c>
      <c r="C188" s="8" t="s">
        <v>626</v>
      </c>
      <c r="D188" s="54" t="s">
        <v>828</v>
      </c>
      <c r="E188" s="8">
        <v>3987</v>
      </c>
      <c r="F188" s="8">
        <v>581.5</v>
      </c>
      <c r="G188" s="8"/>
      <c r="H188" s="9">
        <v>41156</v>
      </c>
      <c r="I188" s="10" t="s">
        <v>829</v>
      </c>
      <c r="J188" s="9">
        <v>41156</v>
      </c>
      <c r="K188" s="10" t="s">
        <v>830</v>
      </c>
      <c r="L188" s="9">
        <v>41156</v>
      </c>
      <c r="M188" s="10" t="s">
        <v>831</v>
      </c>
      <c r="N188" s="8" t="s">
        <v>62</v>
      </c>
      <c r="O188" s="8">
        <v>0.25</v>
      </c>
      <c r="P188" s="8">
        <v>0</v>
      </c>
      <c r="Q188" s="8">
        <v>0</v>
      </c>
      <c r="R188" s="8">
        <v>0</v>
      </c>
      <c r="S188" s="14">
        <v>0</v>
      </c>
      <c r="T188" s="14">
        <v>0</v>
      </c>
      <c r="U188" s="14">
        <v>0</v>
      </c>
      <c r="V188" s="14">
        <v>0</v>
      </c>
      <c r="W188" s="8">
        <v>0</v>
      </c>
      <c r="X188" s="14">
        <v>0</v>
      </c>
      <c r="Y188" s="8">
        <v>0.25</v>
      </c>
      <c r="Z188" s="8">
        <v>0</v>
      </c>
      <c r="AA188" s="8">
        <v>0</v>
      </c>
      <c r="AB188" s="8">
        <v>0</v>
      </c>
      <c r="AC188" s="14">
        <v>0</v>
      </c>
      <c r="AD188" s="3">
        <f t="shared" si="4"/>
        <v>0.25</v>
      </c>
      <c r="AE188" s="14" t="s">
        <v>117</v>
      </c>
      <c r="AF188" s="3" t="s">
        <v>117</v>
      </c>
      <c r="AG188" s="8" t="s">
        <v>72</v>
      </c>
      <c r="AH188" s="8" t="s">
        <v>832</v>
      </c>
      <c r="AI188" s="14" t="s">
        <v>65</v>
      </c>
      <c r="AJ188" s="6">
        <f t="shared" si="5"/>
        <v>20000</v>
      </c>
      <c r="AK188" s="8" t="s">
        <v>305</v>
      </c>
    </row>
    <row r="189" spans="1:37" x14ac:dyDescent="0.35">
      <c r="A189" s="7" t="s">
        <v>833</v>
      </c>
      <c r="B189" s="8" t="s">
        <v>312</v>
      </c>
      <c r="C189" s="8" t="s">
        <v>313</v>
      </c>
      <c r="D189" s="54" t="s">
        <v>124</v>
      </c>
      <c r="E189" s="8">
        <v>612.5</v>
      </c>
      <c r="F189" s="8">
        <v>345</v>
      </c>
      <c r="G189" s="8">
        <v>575</v>
      </c>
      <c r="H189" s="9">
        <v>41156</v>
      </c>
      <c r="I189" s="10" t="s">
        <v>834</v>
      </c>
      <c r="J189" s="9">
        <v>41156</v>
      </c>
      <c r="K189" s="10" t="s">
        <v>835</v>
      </c>
      <c r="L189" s="9">
        <v>41156</v>
      </c>
      <c r="M189" s="10" t="s">
        <v>836</v>
      </c>
      <c r="N189" s="8" t="s">
        <v>484</v>
      </c>
      <c r="O189" s="8">
        <v>0</v>
      </c>
      <c r="P189" s="8">
        <v>0.02</v>
      </c>
      <c r="Q189" s="8">
        <v>0</v>
      </c>
      <c r="R189" s="8">
        <v>0</v>
      </c>
      <c r="S189" s="14">
        <v>0</v>
      </c>
      <c r="T189" s="14">
        <v>0</v>
      </c>
      <c r="U189" s="14">
        <v>0</v>
      </c>
      <c r="V189" s="14">
        <v>0</v>
      </c>
      <c r="W189" s="8">
        <v>0</v>
      </c>
      <c r="X189" s="14">
        <v>0</v>
      </c>
      <c r="Y189" s="8">
        <v>0</v>
      </c>
      <c r="Z189" s="8">
        <v>0.02</v>
      </c>
      <c r="AA189" s="8">
        <v>0</v>
      </c>
      <c r="AB189" s="8">
        <v>0</v>
      </c>
      <c r="AC189" s="14">
        <v>0</v>
      </c>
      <c r="AD189" s="3">
        <f t="shared" si="4"/>
        <v>0.02</v>
      </c>
      <c r="AE189" s="14" t="s">
        <v>117</v>
      </c>
      <c r="AF189" s="3" t="s">
        <v>117</v>
      </c>
      <c r="AG189" s="8" t="s">
        <v>57</v>
      </c>
      <c r="AH189" s="8" t="s">
        <v>303</v>
      </c>
      <c r="AI189" s="14" t="s">
        <v>304</v>
      </c>
      <c r="AJ189" s="6">
        <f t="shared" si="5"/>
        <v>1560</v>
      </c>
      <c r="AK189" s="8" t="s">
        <v>305</v>
      </c>
    </row>
    <row r="190" spans="1:37" x14ac:dyDescent="0.35">
      <c r="A190" s="7" t="s">
        <v>837</v>
      </c>
      <c r="B190" s="8" t="s">
        <v>344</v>
      </c>
      <c r="C190" s="8" t="s">
        <v>344</v>
      </c>
      <c r="D190" s="54" t="s">
        <v>838</v>
      </c>
      <c r="E190" s="8">
        <v>3991</v>
      </c>
      <c r="F190" s="8">
        <v>561</v>
      </c>
      <c r="G190" s="8">
        <v>1044</v>
      </c>
      <c r="H190" s="9">
        <v>41161</v>
      </c>
      <c r="I190" s="13">
        <v>0.625</v>
      </c>
      <c r="J190" s="9">
        <v>41161</v>
      </c>
      <c r="K190" s="13">
        <v>0.63472222222222219</v>
      </c>
      <c r="L190" s="9">
        <v>41161</v>
      </c>
      <c r="M190" s="13">
        <v>0.66319444444444442</v>
      </c>
      <c r="N190" s="8" t="s">
        <v>62</v>
      </c>
      <c r="O190" s="8">
        <v>0</v>
      </c>
      <c r="P190" s="8">
        <v>0</v>
      </c>
      <c r="Q190" s="8">
        <v>0</v>
      </c>
      <c r="R190" s="8">
        <v>0</v>
      </c>
      <c r="S190" s="14">
        <v>0</v>
      </c>
      <c r="T190" s="8">
        <v>0.5</v>
      </c>
      <c r="U190" s="14">
        <v>0</v>
      </c>
      <c r="V190" s="14">
        <v>0</v>
      </c>
      <c r="W190" s="8">
        <v>0</v>
      </c>
      <c r="X190" s="14">
        <v>0</v>
      </c>
      <c r="Y190" s="8">
        <v>0.5</v>
      </c>
      <c r="Z190" s="8"/>
      <c r="AA190" s="8">
        <v>0</v>
      </c>
      <c r="AB190" s="8">
        <v>0</v>
      </c>
      <c r="AC190" s="14">
        <v>0</v>
      </c>
      <c r="AD190" s="3">
        <f t="shared" si="4"/>
        <v>0.5</v>
      </c>
      <c r="AE190" s="14" t="s">
        <v>117</v>
      </c>
      <c r="AF190" s="3" t="s">
        <v>117</v>
      </c>
      <c r="AG190" s="14" t="s">
        <v>57</v>
      </c>
      <c r="AH190" s="8" t="s">
        <v>832</v>
      </c>
      <c r="AI190" s="14" t="s">
        <v>304</v>
      </c>
      <c r="AJ190" s="6">
        <f t="shared" si="5"/>
        <v>40000</v>
      </c>
      <c r="AK190" s="8" t="s">
        <v>305</v>
      </c>
    </row>
    <row r="191" spans="1:37" x14ac:dyDescent="0.35">
      <c r="A191" s="7" t="s">
        <v>839</v>
      </c>
      <c r="B191" s="8" t="s">
        <v>312</v>
      </c>
      <c r="C191" s="8" t="s">
        <v>313</v>
      </c>
      <c r="D191" s="54" t="s">
        <v>124</v>
      </c>
      <c r="E191" s="8">
        <v>611.9</v>
      </c>
      <c r="F191" s="8">
        <v>346.6</v>
      </c>
      <c r="G191" s="8">
        <v>600</v>
      </c>
      <c r="H191" s="9">
        <v>41161</v>
      </c>
      <c r="I191" s="13">
        <v>0.61805555555555558</v>
      </c>
      <c r="J191" s="9">
        <v>41161</v>
      </c>
      <c r="K191" s="13">
        <v>0.62986111111111109</v>
      </c>
      <c r="L191" s="9">
        <v>41161</v>
      </c>
      <c r="M191" s="13">
        <v>0.65277777777777779</v>
      </c>
      <c r="N191" s="8" t="s">
        <v>81</v>
      </c>
      <c r="O191" s="8">
        <v>0</v>
      </c>
      <c r="P191" s="8">
        <v>0.02</v>
      </c>
      <c r="Q191" s="8">
        <v>0</v>
      </c>
      <c r="R191" s="8">
        <v>0</v>
      </c>
      <c r="S191" s="14">
        <v>0</v>
      </c>
      <c r="T191" s="8">
        <v>0</v>
      </c>
      <c r="U191" s="14">
        <v>0</v>
      </c>
      <c r="V191" s="14">
        <v>0</v>
      </c>
      <c r="W191" s="8">
        <v>0</v>
      </c>
      <c r="X191" s="14">
        <v>0</v>
      </c>
      <c r="Y191" s="8">
        <v>0</v>
      </c>
      <c r="Z191" s="8">
        <v>0.02</v>
      </c>
      <c r="AA191" s="8">
        <v>0</v>
      </c>
      <c r="AB191" s="8">
        <v>0</v>
      </c>
      <c r="AC191" s="14">
        <v>0</v>
      </c>
      <c r="AD191" s="3">
        <f t="shared" si="4"/>
        <v>0.02</v>
      </c>
      <c r="AE191" s="14" t="s">
        <v>117</v>
      </c>
      <c r="AF191" s="3" t="s">
        <v>117</v>
      </c>
      <c r="AG191" s="8" t="s">
        <v>57</v>
      </c>
      <c r="AH191" s="8" t="s">
        <v>303</v>
      </c>
      <c r="AI191" s="14" t="s">
        <v>304</v>
      </c>
      <c r="AJ191" s="6">
        <f t="shared" si="5"/>
        <v>1560</v>
      </c>
      <c r="AK191" s="8" t="s">
        <v>305</v>
      </c>
    </row>
    <row r="192" spans="1:37" x14ac:dyDescent="0.35">
      <c r="A192" s="7" t="s">
        <v>840</v>
      </c>
      <c r="B192" s="8" t="s">
        <v>312</v>
      </c>
      <c r="C192" s="8" t="s">
        <v>313</v>
      </c>
      <c r="D192" s="54" t="s">
        <v>124</v>
      </c>
      <c r="E192" s="8">
        <v>611.9</v>
      </c>
      <c r="F192" s="8">
        <v>346.6</v>
      </c>
      <c r="G192" s="8">
        <v>600</v>
      </c>
      <c r="H192" s="9">
        <v>41162</v>
      </c>
      <c r="I192" s="13">
        <v>0.60416666666666663</v>
      </c>
      <c r="J192" s="9">
        <v>41162</v>
      </c>
      <c r="K192" s="13">
        <v>0.61944444444444446</v>
      </c>
      <c r="L192" s="9">
        <v>41162</v>
      </c>
      <c r="M192" s="13">
        <v>0.73958333333333337</v>
      </c>
      <c r="N192" s="8" t="s">
        <v>841</v>
      </c>
      <c r="O192" s="8">
        <v>1</v>
      </c>
      <c r="P192" s="8">
        <v>2</v>
      </c>
      <c r="Q192" s="8">
        <v>0</v>
      </c>
      <c r="R192" s="8">
        <v>0</v>
      </c>
      <c r="S192" s="14">
        <v>0</v>
      </c>
      <c r="T192" s="8">
        <v>0</v>
      </c>
      <c r="U192" s="14">
        <v>0</v>
      </c>
      <c r="V192" s="14">
        <v>0</v>
      </c>
      <c r="W192" s="8">
        <v>0</v>
      </c>
      <c r="X192" s="8" t="s">
        <v>842</v>
      </c>
      <c r="Y192" s="8">
        <v>1</v>
      </c>
      <c r="Z192" s="8">
        <v>2</v>
      </c>
      <c r="AA192" s="8">
        <v>0</v>
      </c>
      <c r="AB192" s="8">
        <v>0</v>
      </c>
      <c r="AC192" s="8" t="s">
        <v>842</v>
      </c>
      <c r="AD192" s="3">
        <f t="shared" si="4"/>
        <v>3</v>
      </c>
      <c r="AE192" s="14" t="s">
        <v>117</v>
      </c>
      <c r="AF192" s="3" t="s">
        <v>117</v>
      </c>
      <c r="AG192" s="8" t="s">
        <v>57</v>
      </c>
      <c r="AH192" s="8" t="s">
        <v>303</v>
      </c>
      <c r="AI192" s="14" t="s">
        <v>304</v>
      </c>
      <c r="AJ192" s="6">
        <f t="shared" si="5"/>
        <v>236000</v>
      </c>
      <c r="AK192" s="8" t="s">
        <v>305</v>
      </c>
    </row>
    <row r="193" spans="1:37" x14ac:dyDescent="0.35">
      <c r="A193" s="7" t="s">
        <v>843</v>
      </c>
      <c r="B193" s="8" t="s">
        <v>301</v>
      </c>
      <c r="C193" s="8" t="s">
        <v>301</v>
      </c>
      <c r="D193" s="54" t="s">
        <v>302</v>
      </c>
      <c r="E193" s="8">
        <v>607</v>
      </c>
      <c r="F193" s="8">
        <v>345</v>
      </c>
      <c r="G193" s="8">
        <v>530</v>
      </c>
      <c r="H193" s="9">
        <v>41167</v>
      </c>
      <c r="I193" s="13">
        <v>0.54166666666666663</v>
      </c>
      <c r="J193" s="9">
        <v>41167</v>
      </c>
      <c r="K193" s="13">
        <v>0.55208333333333337</v>
      </c>
      <c r="L193" s="9">
        <v>41167</v>
      </c>
      <c r="M193" s="13">
        <v>0.56597222222222221</v>
      </c>
      <c r="N193" s="8" t="s">
        <v>844</v>
      </c>
      <c r="O193" s="8">
        <v>0.05</v>
      </c>
      <c r="P193" s="8">
        <v>0</v>
      </c>
      <c r="Q193" s="8">
        <v>0</v>
      </c>
      <c r="R193" s="8">
        <v>0</v>
      </c>
      <c r="S193" s="14">
        <v>0</v>
      </c>
      <c r="T193" s="8">
        <v>0</v>
      </c>
      <c r="U193" s="14">
        <v>0</v>
      </c>
      <c r="V193" s="14">
        <v>0</v>
      </c>
      <c r="W193" s="8">
        <v>0</v>
      </c>
      <c r="X193" s="8">
        <v>0</v>
      </c>
      <c r="Y193" s="8">
        <v>0.05</v>
      </c>
      <c r="Z193" s="8">
        <v>0</v>
      </c>
      <c r="AA193" s="8">
        <v>0</v>
      </c>
      <c r="AB193" s="8">
        <v>0</v>
      </c>
      <c r="AC193" s="8">
        <v>0</v>
      </c>
      <c r="AD193" s="3">
        <f t="shared" si="4"/>
        <v>0.05</v>
      </c>
      <c r="AE193" s="14" t="s">
        <v>117</v>
      </c>
      <c r="AF193" s="3" t="s">
        <v>117</v>
      </c>
      <c r="AG193" s="14" t="s">
        <v>57</v>
      </c>
      <c r="AH193" s="8"/>
      <c r="AI193" s="14" t="s">
        <v>304</v>
      </c>
      <c r="AJ193" s="6">
        <f t="shared" si="5"/>
        <v>4000</v>
      </c>
      <c r="AK193" s="8" t="s">
        <v>305</v>
      </c>
    </row>
    <row r="194" spans="1:37" x14ac:dyDescent="0.35">
      <c r="A194" s="7" t="s">
        <v>845</v>
      </c>
      <c r="B194" s="8" t="s">
        <v>301</v>
      </c>
      <c r="C194" s="8" t="s">
        <v>481</v>
      </c>
      <c r="D194" s="54" t="s">
        <v>257</v>
      </c>
      <c r="E194" s="8">
        <v>603</v>
      </c>
      <c r="F194" s="8">
        <v>4040.2</v>
      </c>
      <c r="G194" s="8">
        <v>520</v>
      </c>
      <c r="H194" s="9">
        <v>41169</v>
      </c>
      <c r="I194" s="13">
        <v>0.53472222222222221</v>
      </c>
      <c r="J194" s="9">
        <v>41169</v>
      </c>
      <c r="K194" s="13">
        <v>0.55555555555555558</v>
      </c>
      <c r="L194" s="9">
        <v>41169</v>
      </c>
      <c r="M194" s="13">
        <v>0.72916666666666663</v>
      </c>
      <c r="N194" s="8" t="s">
        <v>484</v>
      </c>
      <c r="O194" s="8">
        <v>0</v>
      </c>
      <c r="P194" s="8">
        <v>4</v>
      </c>
      <c r="Q194" s="8">
        <v>0</v>
      </c>
      <c r="R194" s="8">
        <v>0</v>
      </c>
      <c r="S194" s="14">
        <v>0</v>
      </c>
      <c r="T194" s="8">
        <v>0</v>
      </c>
      <c r="U194" s="14">
        <v>0</v>
      </c>
      <c r="V194" s="14">
        <v>0</v>
      </c>
      <c r="W194" s="8">
        <v>0</v>
      </c>
      <c r="X194" s="8">
        <v>0</v>
      </c>
      <c r="Y194" s="8">
        <v>0</v>
      </c>
      <c r="Z194" s="8">
        <v>4</v>
      </c>
      <c r="AA194" s="8">
        <v>0</v>
      </c>
      <c r="AB194" s="8">
        <v>0</v>
      </c>
      <c r="AC194" s="8">
        <v>0</v>
      </c>
      <c r="AD194" s="3">
        <f t="shared" si="4"/>
        <v>4</v>
      </c>
      <c r="AE194" s="14" t="s">
        <v>117</v>
      </c>
      <c r="AF194" s="3" t="s">
        <v>117</v>
      </c>
      <c r="AG194" s="14" t="s">
        <v>57</v>
      </c>
      <c r="AH194" s="8"/>
      <c r="AI194" s="14" t="s">
        <v>304</v>
      </c>
      <c r="AJ194" s="6">
        <f t="shared" si="5"/>
        <v>312000</v>
      </c>
      <c r="AK194" s="8" t="s">
        <v>305</v>
      </c>
    </row>
    <row r="195" spans="1:37" x14ac:dyDescent="0.35">
      <c r="A195" s="7" t="s">
        <v>846</v>
      </c>
      <c r="B195" s="8" t="s">
        <v>281</v>
      </c>
      <c r="C195" s="8" t="s">
        <v>847</v>
      </c>
      <c r="D195" s="54" t="s">
        <v>848</v>
      </c>
      <c r="E195" s="8">
        <v>340.4</v>
      </c>
      <c r="F195" s="8">
        <v>635.6</v>
      </c>
      <c r="G195" s="8">
        <v>1200</v>
      </c>
      <c r="H195" s="9">
        <v>41169</v>
      </c>
      <c r="I195" s="13">
        <v>0.57291666666666663</v>
      </c>
      <c r="J195" s="9">
        <v>41169</v>
      </c>
      <c r="K195" s="13">
        <v>0.62361111111111112</v>
      </c>
      <c r="L195" s="9">
        <v>41169</v>
      </c>
      <c r="M195" s="13">
        <v>0.66666666666666663</v>
      </c>
      <c r="N195" s="8" t="s">
        <v>62</v>
      </c>
      <c r="O195" s="8">
        <v>0.5</v>
      </c>
      <c r="P195" s="8">
        <v>0</v>
      </c>
      <c r="Q195" s="8">
        <v>0</v>
      </c>
      <c r="R195" s="8">
        <v>0</v>
      </c>
      <c r="S195" s="14">
        <v>0</v>
      </c>
      <c r="T195" s="8">
        <v>0</v>
      </c>
      <c r="U195" s="14">
        <v>0</v>
      </c>
      <c r="V195" s="14">
        <v>0</v>
      </c>
      <c r="W195" s="8">
        <v>0</v>
      </c>
      <c r="X195" s="12" t="s">
        <v>849</v>
      </c>
      <c r="Y195" s="8">
        <v>0.5</v>
      </c>
      <c r="Z195" s="8">
        <v>0</v>
      </c>
      <c r="AA195" s="8">
        <v>0</v>
      </c>
      <c r="AB195" s="8">
        <v>0</v>
      </c>
      <c r="AC195" s="8" t="s">
        <v>849</v>
      </c>
      <c r="AD195" s="3">
        <f t="shared" si="4"/>
        <v>0.5</v>
      </c>
      <c r="AE195" s="14" t="s">
        <v>117</v>
      </c>
      <c r="AF195" s="3" t="s">
        <v>117</v>
      </c>
      <c r="AG195" s="14" t="s">
        <v>72</v>
      </c>
      <c r="AH195" s="14" t="s">
        <v>574</v>
      </c>
      <c r="AI195" s="14" t="s">
        <v>304</v>
      </c>
      <c r="AJ195" s="6">
        <f t="shared" si="5"/>
        <v>40000</v>
      </c>
      <c r="AK195" s="8" t="s">
        <v>305</v>
      </c>
    </row>
    <row r="196" spans="1:37" x14ac:dyDescent="0.35">
      <c r="A196" s="7" t="s">
        <v>850</v>
      </c>
      <c r="B196" s="8" t="s">
        <v>301</v>
      </c>
      <c r="C196" s="8" t="s">
        <v>301</v>
      </c>
      <c r="D196" s="54" t="s">
        <v>302</v>
      </c>
      <c r="E196" s="8">
        <v>607</v>
      </c>
      <c r="F196" s="8">
        <v>345</v>
      </c>
      <c r="G196" s="8">
        <v>530</v>
      </c>
      <c r="H196" s="9">
        <v>41170</v>
      </c>
      <c r="I196" s="13">
        <v>0.57638888888888895</v>
      </c>
      <c r="J196" s="9">
        <v>41170</v>
      </c>
      <c r="K196" s="13">
        <v>0.59375</v>
      </c>
      <c r="L196" s="9">
        <v>41170</v>
      </c>
      <c r="M196" s="13">
        <v>0.66666666666666663</v>
      </c>
      <c r="N196" s="8" t="s">
        <v>851</v>
      </c>
      <c r="O196" s="8">
        <v>0</v>
      </c>
      <c r="P196" s="8">
        <v>1</v>
      </c>
      <c r="Q196" s="8">
        <v>0</v>
      </c>
      <c r="R196" s="8">
        <v>0</v>
      </c>
      <c r="S196" s="14">
        <v>0</v>
      </c>
      <c r="T196" s="8">
        <v>0</v>
      </c>
      <c r="U196" s="14">
        <v>0</v>
      </c>
      <c r="V196" s="14">
        <v>0</v>
      </c>
      <c r="W196" s="8">
        <v>0</v>
      </c>
      <c r="X196" s="8" t="s">
        <v>852</v>
      </c>
      <c r="Y196" s="8">
        <v>0</v>
      </c>
      <c r="Z196" s="8">
        <v>1</v>
      </c>
      <c r="AA196" s="8">
        <v>0</v>
      </c>
      <c r="AB196" s="8">
        <v>0</v>
      </c>
      <c r="AC196" s="8" t="s">
        <v>852</v>
      </c>
      <c r="AD196" s="3">
        <f t="shared" si="4"/>
        <v>1</v>
      </c>
      <c r="AE196" s="14" t="s">
        <v>117</v>
      </c>
      <c r="AF196" s="3" t="s">
        <v>117</v>
      </c>
      <c r="AG196" s="14" t="s">
        <v>57</v>
      </c>
      <c r="AH196" s="8"/>
      <c r="AI196" s="14" t="s">
        <v>304</v>
      </c>
      <c r="AJ196" s="6">
        <f t="shared" si="5"/>
        <v>78000</v>
      </c>
      <c r="AK196" s="8" t="s">
        <v>305</v>
      </c>
    </row>
    <row r="197" spans="1:37" x14ac:dyDescent="0.35">
      <c r="A197" s="7" t="s">
        <v>853</v>
      </c>
      <c r="B197" s="8" t="s">
        <v>301</v>
      </c>
      <c r="C197" s="8" t="s">
        <v>481</v>
      </c>
      <c r="D197" s="54" t="s">
        <v>854</v>
      </c>
      <c r="E197" s="8">
        <v>603</v>
      </c>
      <c r="F197" s="8">
        <v>344.2</v>
      </c>
      <c r="G197" s="8">
        <v>675</v>
      </c>
      <c r="H197" s="9">
        <v>41170</v>
      </c>
      <c r="I197" s="13">
        <v>0.625</v>
      </c>
      <c r="J197" s="9">
        <v>41170</v>
      </c>
      <c r="K197" s="13">
        <v>0.63680555555555551</v>
      </c>
      <c r="L197" s="9">
        <v>41170</v>
      </c>
      <c r="M197" s="13">
        <v>0.70138888888888884</v>
      </c>
      <c r="N197" s="8" t="s">
        <v>851</v>
      </c>
      <c r="O197" s="8">
        <v>0</v>
      </c>
      <c r="P197" s="8">
        <v>5</v>
      </c>
      <c r="Q197" s="8">
        <v>0</v>
      </c>
      <c r="R197" s="8">
        <v>0</v>
      </c>
      <c r="S197" s="14">
        <v>0</v>
      </c>
      <c r="T197" s="8">
        <v>0</v>
      </c>
      <c r="U197" s="14">
        <v>0</v>
      </c>
      <c r="V197" s="14">
        <v>0</v>
      </c>
      <c r="W197" s="8">
        <v>0</v>
      </c>
      <c r="X197" s="8">
        <v>0</v>
      </c>
      <c r="Y197" s="8">
        <v>0</v>
      </c>
      <c r="Z197" s="8">
        <v>5</v>
      </c>
      <c r="AA197" s="8">
        <v>0</v>
      </c>
      <c r="AB197" s="8">
        <v>0</v>
      </c>
      <c r="AC197" s="8">
        <v>0</v>
      </c>
      <c r="AD197" s="3">
        <f t="shared" si="4"/>
        <v>5</v>
      </c>
      <c r="AE197" s="14" t="s">
        <v>117</v>
      </c>
      <c r="AF197" s="3" t="s">
        <v>117</v>
      </c>
      <c r="AG197" s="14" t="s">
        <v>57</v>
      </c>
      <c r="AH197" s="8"/>
      <c r="AI197" s="14" t="s">
        <v>304</v>
      </c>
      <c r="AJ197" s="6">
        <f t="shared" si="5"/>
        <v>390000</v>
      </c>
      <c r="AK197" s="8" t="s">
        <v>305</v>
      </c>
    </row>
    <row r="198" spans="1:37" x14ac:dyDescent="0.35">
      <c r="A198" s="7" t="s">
        <v>855</v>
      </c>
      <c r="B198" s="8" t="s">
        <v>344</v>
      </c>
      <c r="C198" s="8" t="s">
        <v>344</v>
      </c>
      <c r="D198" s="54" t="s">
        <v>856</v>
      </c>
      <c r="E198" s="8">
        <v>4000</v>
      </c>
      <c r="F198" s="8">
        <v>556</v>
      </c>
      <c r="G198" s="8">
        <v>1261</v>
      </c>
      <c r="H198" s="9">
        <v>41170</v>
      </c>
      <c r="I198" s="13">
        <v>0.63888888888888895</v>
      </c>
      <c r="J198" s="9">
        <v>41170</v>
      </c>
      <c r="K198" s="13">
        <v>0.64930555555555558</v>
      </c>
      <c r="L198" s="9">
        <v>41170</v>
      </c>
      <c r="M198" s="13">
        <v>0.67708333333333337</v>
      </c>
      <c r="N198" s="8" t="s">
        <v>62</v>
      </c>
      <c r="O198" s="8">
        <v>0</v>
      </c>
      <c r="P198" s="8">
        <v>0</v>
      </c>
      <c r="Q198" s="8">
        <v>0</v>
      </c>
      <c r="R198" s="8">
        <v>0</v>
      </c>
      <c r="S198" s="14">
        <v>0</v>
      </c>
      <c r="T198" s="8">
        <v>1.5</v>
      </c>
      <c r="U198" s="14">
        <v>0</v>
      </c>
      <c r="V198" s="14">
        <v>0</v>
      </c>
      <c r="W198" s="8">
        <v>0</v>
      </c>
      <c r="X198" s="8">
        <v>0</v>
      </c>
      <c r="Y198" s="8">
        <v>1.5</v>
      </c>
      <c r="Z198" s="8">
        <v>0</v>
      </c>
      <c r="AA198" s="8">
        <v>0</v>
      </c>
      <c r="AB198" s="8">
        <v>0</v>
      </c>
      <c r="AC198" s="8">
        <v>0</v>
      </c>
      <c r="AD198" s="3">
        <f t="shared" si="4"/>
        <v>1.5</v>
      </c>
      <c r="AE198" s="14" t="s">
        <v>117</v>
      </c>
      <c r="AF198" s="3" t="s">
        <v>117</v>
      </c>
      <c r="AG198" s="14" t="s">
        <v>57</v>
      </c>
      <c r="AH198" s="14" t="s">
        <v>613</v>
      </c>
      <c r="AI198" s="14" t="s">
        <v>304</v>
      </c>
      <c r="AJ198" s="6">
        <f t="shared" si="5"/>
        <v>120000</v>
      </c>
      <c r="AK198" s="8" t="s">
        <v>305</v>
      </c>
    </row>
    <row r="199" spans="1:37" x14ac:dyDescent="0.35">
      <c r="A199" s="7" t="s">
        <v>857</v>
      </c>
      <c r="B199" s="8" t="s">
        <v>357</v>
      </c>
      <c r="C199" s="8" t="s">
        <v>447</v>
      </c>
      <c r="D199" s="54" t="s">
        <v>858</v>
      </c>
      <c r="E199" s="8">
        <v>540.4</v>
      </c>
      <c r="F199" s="8">
        <v>4036.2</v>
      </c>
      <c r="G199" s="8">
        <v>850</v>
      </c>
      <c r="H199" s="9">
        <v>41172</v>
      </c>
      <c r="I199" s="13">
        <v>0.66666666666666663</v>
      </c>
      <c r="J199" s="9">
        <v>41172</v>
      </c>
      <c r="K199" s="13">
        <v>0.68402777777777779</v>
      </c>
      <c r="L199" s="9">
        <v>41172</v>
      </c>
      <c r="M199" s="13">
        <v>0.79166666666666663</v>
      </c>
      <c r="N199" s="8" t="s">
        <v>62</v>
      </c>
      <c r="O199" s="8">
        <v>0</v>
      </c>
      <c r="P199" s="8">
        <v>0</v>
      </c>
      <c r="Q199" s="8">
        <v>0</v>
      </c>
      <c r="R199" s="8">
        <v>0</v>
      </c>
      <c r="S199" s="14">
        <v>0</v>
      </c>
      <c r="T199" s="8">
        <v>10</v>
      </c>
      <c r="U199" s="14">
        <v>0</v>
      </c>
      <c r="V199" s="14">
        <v>0</v>
      </c>
      <c r="W199" s="8">
        <v>0</v>
      </c>
      <c r="X199" s="8">
        <v>0</v>
      </c>
      <c r="Y199" s="8">
        <v>10</v>
      </c>
      <c r="Z199" s="8">
        <v>0</v>
      </c>
      <c r="AA199" s="8">
        <v>0</v>
      </c>
      <c r="AB199" s="8">
        <v>0</v>
      </c>
      <c r="AC199" s="8">
        <v>0</v>
      </c>
      <c r="AD199" s="3">
        <f t="shared" si="4"/>
        <v>10</v>
      </c>
      <c r="AE199" s="14" t="s">
        <v>117</v>
      </c>
      <c r="AF199" s="3" t="s">
        <v>117</v>
      </c>
      <c r="AG199" s="14" t="s">
        <v>57</v>
      </c>
      <c r="AH199" s="8"/>
      <c r="AI199" s="14" t="s">
        <v>304</v>
      </c>
      <c r="AJ199" s="6">
        <f t="shared" si="5"/>
        <v>800000</v>
      </c>
      <c r="AK199" s="8" t="s">
        <v>305</v>
      </c>
    </row>
    <row r="200" spans="1:37" x14ac:dyDescent="0.35">
      <c r="A200" s="7" t="s">
        <v>859</v>
      </c>
      <c r="B200" s="8" t="s">
        <v>357</v>
      </c>
      <c r="C200" s="8" t="s">
        <v>357</v>
      </c>
      <c r="D200" s="54" t="s">
        <v>860</v>
      </c>
      <c r="E200" s="49">
        <v>4049</v>
      </c>
      <c r="F200" s="49">
        <v>553.20000000000005</v>
      </c>
      <c r="G200" s="49">
        <v>628</v>
      </c>
      <c r="H200" s="9">
        <v>41173</v>
      </c>
      <c r="I200" s="50">
        <v>0.47222222222222227</v>
      </c>
      <c r="J200" s="9">
        <v>41173</v>
      </c>
      <c r="K200" s="50">
        <v>0.48333333333333334</v>
      </c>
      <c r="L200" s="9">
        <v>41173</v>
      </c>
      <c r="M200" s="50">
        <v>0.70833333333333337</v>
      </c>
      <c r="N200" s="8" t="s">
        <v>62</v>
      </c>
      <c r="O200" s="8">
        <v>0</v>
      </c>
      <c r="P200" s="8">
        <v>0</v>
      </c>
      <c r="Q200" s="8">
        <v>0</v>
      </c>
      <c r="R200" s="8">
        <v>0</v>
      </c>
      <c r="S200" s="14">
        <v>0</v>
      </c>
      <c r="T200" s="49">
        <v>5</v>
      </c>
      <c r="U200" s="14">
        <v>0</v>
      </c>
      <c r="V200" s="14">
        <v>0</v>
      </c>
      <c r="W200" s="8">
        <v>0</v>
      </c>
      <c r="X200" s="8">
        <v>0</v>
      </c>
      <c r="Y200" s="49">
        <v>5</v>
      </c>
      <c r="Z200" s="8">
        <v>0</v>
      </c>
      <c r="AA200" s="8">
        <v>0</v>
      </c>
      <c r="AB200" s="8">
        <v>0</v>
      </c>
      <c r="AC200" s="8">
        <v>0</v>
      </c>
      <c r="AD200" s="3">
        <f t="shared" si="4"/>
        <v>5</v>
      </c>
      <c r="AE200" s="14" t="s">
        <v>117</v>
      </c>
      <c r="AF200" s="3" t="s">
        <v>117</v>
      </c>
      <c r="AG200" s="14" t="s">
        <v>57</v>
      </c>
      <c r="AH200" s="49"/>
      <c r="AI200" s="14" t="s">
        <v>304</v>
      </c>
      <c r="AJ200" s="6">
        <f t="shared" si="5"/>
        <v>400000</v>
      </c>
      <c r="AK200" s="8" t="s">
        <v>305</v>
      </c>
    </row>
    <row r="201" spans="1:37" x14ac:dyDescent="0.35">
      <c r="A201" s="7" t="s">
        <v>861</v>
      </c>
      <c r="B201" s="12" t="s">
        <v>68</v>
      </c>
      <c r="C201" s="12" t="s">
        <v>68</v>
      </c>
      <c r="D201" s="55" t="s">
        <v>862</v>
      </c>
      <c r="E201" s="12">
        <v>4000</v>
      </c>
      <c r="F201" s="12">
        <v>556</v>
      </c>
      <c r="G201" s="12">
        <v>1261</v>
      </c>
      <c r="H201" s="9">
        <v>41173</v>
      </c>
      <c r="I201" s="19">
        <v>0.61458333333333337</v>
      </c>
      <c r="J201" s="9">
        <v>41173</v>
      </c>
      <c r="K201" s="19">
        <v>0.62847222222222221</v>
      </c>
      <c r="L201" s="9">
        <v>41173</v>
      </c>
      <c r="M201" s="19">
        <v>0.64583333333333337</v>
      </c>
      <c r="N201" s="8" t="s">
        <v>62</v>
      </c>
      <c r="O201" s="12">
        <v>0.5</v>
      </c>
      <c r="P201" s="8">
        <v>0</v>
      </c>
      <c r="Q201" s="8">
        <v>0</v>
      </c>
      <c r="R201" s="8">
        <v>0</v>
      </c>
      <c r="S201" s="14">
        <v>0</v>
      </c>
      <c r="T201" s="12">
        <v>0</v>
      </c>
      <c r="U201" s="14">
        <v>0</v>
      </c>
      <c r="V201" s="14">
        <v>0</v>
      </c>
      <c r="W201" s="8">
        <v>0</v>
      </c>
      <c r="X201" s="8">
        <v>0</v>
      </c>
      <c r="Y201" s="12">
        <v>0.5</v>
      </c>
      <c r="Z201" s="8">
        <v>0</v>
      </c>
      <c r="AA201" s="8">
        <v>0</v>
      </c>
      <c r="AB201" s="8">
        <v>0</v>
      </c>
      <c r="AC201" s="8">
        <v>0</v>
      </c>
      <c r="AD201" s="3">
        <f t="shared" si="4"/>
        <v>0.5</v>
      </c>
      <c r="AE201" s="14" t="s">
        <v>117</v>
      </c>
      <c r="AF201" s="3" t="s">
        <v>117</v>
      </c>
      <c r="AG201" s="14" t="s">
        <v>57</v>
      </c>
      <c r="AH201" s="14" t="s">
        <v>613</v>
      </c>
      <c r="AI201" s="14" t="s">
        <v>304</v>
      </c>
      <c r="AJ201" s="6">
        <f t="shared" si="5"/>
        <v>40000</v>
      </c>
      <c r="AK201" s="8" t="s">
        <v>305</v>
      </c>
    </row>
    <row r="202" spans="1:37" x14ac:dyDescent="0.35">
      <c r="A202" s="7" t="s">
        <v>863</v>
      </c>
      <c r="B202" s="12" t="s">
        <v>301</v>
      </c>
      <c r="C202" s="12" t="s">
        <v>301</v>
      </c>
      <c r="D202" s="55" t="s">
        <v>253</v>
      </c>
      <c r="E202" s="12">
        <v>607</v>
      </c>
      <c r="F202" s="12">
        <v>345</v>
      </c>
      <c r="G202" s="12">
        <v>530</v>
      </c>
      <c r="H202" s="9">
        <v>41173</v>
      </c>
      <c r="I202" s="19">
        <v>0.80208333333333337</v>
      </c>
      <c r="J202" s="9">
        <v>41173</v>
      </c>
      <c r="K202" s="19">
        <v>0.81597222222222221</v>
      </c>
      <c r="L202" s="9">
        <v>41173</v>
      </c>
      <c r="M202" s="19">
        <v>0.875</v>
      </c>
      <c r="N202" s="8" t="s">
        <v>844</v>
      </c>
      <c r="O202" s="12">
        <v>1</v>
      </c>
      <c r="P202" s="8">
        <v>0</v>
      </c>
      <c r="Q202" s="8">
        <v>0</v>
      </c>
      <c r="R202" s="8">
        <v>0</v>
      </c>
      <c r="S202" s="14">
        <v>0</v>
      </c>
      <c r="T202" s="12">
        <v>0</v>
      </c>
      <c r="U202" s="14">
        <v>0</v>
      </c>
      <c r="V202" s="14">
        <v>0</v>
      </c>
      <c r="W202" s="8">
        <v>0</v>
      </c>
      <c r="X202" s="8">
        <v>0</v>
      </c>
      <c r="Y202" s="12">
        <v>1</v>
      </c>
      <c r="Z202" s="8">
        <v>0</v>
      </c>
      <c r="AA202" s="8">
        <v>0</v>
      </c>
      <c r="AB202" s="8">
        <v>0</v>
      </c>
      <c r="AC202" s="8">
        <v>0</v>
      </c>
      <c r="AD202" s="3">
        <f t="shared" si="4"/>
        <v>1</v>
      </c>
      <c r="AE202" s="14" t="s">
        <v>117</v>
      </c>
      <c r="AF202" s="3" t="s">
        <v>117</v>
      </c>
      <c r="AG202" s="14" t="s">
        <v>57</v>
      </c>
      <c r="AH202" s="12"/>
      <c r="AI202" s="14" t="s">
        <v>304</v>
      </c>
      <c r="AJ202" s="6">
        <f t="shared" si="5"/>
        <v>80000</v>
      </c>
      <c r="AK202" s="8" t="s">
        <v>305</v>
      </c>
    </row>
    <row r="203" spans="1:37" x14ac:dyDescent="0.35">
      <c r="A203" s="7" t="s">
        <v>864</v>
      </c>
      <c r="B203" s="8" t="s">
        <v>357</v>
      </c>
      <c r="C203" s="12" t="s">
        <v>447</v>
      </c>
      <c r="D203" s="55" t="s">
        <v>865</v>
      </c>
      <c r="E203" s="12">
        <v>540.4</v>
      </c>
      <c r="F203" s="12">
        <v>4036.2</v>
      </c>
      <c r="G203" s="12">
        <v>850</v>
      </c>
      <c r="H203" s="9">
        <v>41174</v>
      </c>
      <c r="I203" s="19">
        <v>0.47916666666666669</v>
      </c>
      <c r="J203" s="9">
        <v>41174</v>
      </c>
      <c r="K203" s="19">
        <v>0.49583333333333335</v>
      </c>
      <c r="L203" s="9">
        <v>41174</v>
      </c>
      <c r="M203" s="19">
        <v>0.58333333333333337</v>
      </c>
      <c r="N203" s="12" t="s">
        <v>62</v>
      </c>
      <c r="O203" s="12">
        <v>0</v>
      </c>
      <c r="P203" s="8">
        <v>0</v>
      </c>
      <c r="Q203" s="8">
        <v>0</v>
      </c>
      <c r="R203" s="8">
        <v>0</v>
      </c>
      <c r="S203" s="14">
        <v>0</v>
      </c>
      <c r="T203" s="12">
        <v>2</v>
      </c>
      <c r="U203" s="14">
        <v>0</v>
      </c>
      <c r="V203" s="14">
        <v>0</v>
      </c>
      <c r="W203" s="8">
        <v>0</v>
      </c>
      <c r="X203" s="8">
        <v>0</v>
      </c>
      <c r="Y203" s="12">
        <v>2</v>
      </c>
      <c r="Z203" s="8">
        <v>0</v>
      </c>
      <c r="AA203" s="8">
        <v>0</v>
      </c>
      <c r="AB203" s="8">
        <v>0</v>
      </c>
      <c r="AC203" s="8">
        <v>0</v>
      </c>
      <c r="AD203" s="3">
        <f t="shared" si="4"/>
        <v>2</v>
      </c>
      <c r="AE203" s="14" t="s">
        <v>117</v>
      </c>
      <c r="AF203" s="3" t="s">
        <v>117</v>
      </c>
      <c r="AG203" s="14" t="s">
        <v>57</v>
      </c>
      <c r="AH203" s="12"/>
      <c r="AI203" s="14" t="s">
        <v>304</v>
      </c>
      <c r="AJ203" s="6">
        <f t="shared" si="5"/>
        <v>160000</v>
      </c>
      <c r="AK203" s="8" t="s">
        <v>305</v>
      </c>
    </row>
    <row r="204" spans="1:37" x14ac:dyDescent="0.35">
      <c r="A204" s="7" t="s">
        <v>866</v>
      </c>
      <c r="B204" s="8" t="s">
        <v>357</v>
      </c>
      <c r="C204" s="12" t="s">
        <v>447</v>
      </c>
      <c r="D204" s="55" t="s">
        <v>867</v>
      </c>
      <c r="E204" s="12">
        <v>540.20000000000005</v>
      </c>
      <c r="F204" s="12">
        <v>4030.2</v>
      </c>
      <c r="G204" s="12">
        <v>851</v>
      </c>
      <c r="H204" s="9">
        <v>41174</v>
      </c>
      <c r="I204" s="19">
        <v>0.55208333333333337</v>
      </c>
      <c r="J204" s="9">
        <v>41174</v>
      </c>
      <c r="K204" s="19">
        <v>0.56458333333333333</v>
      </c>
      <c r="L204" s="9">
        <v>41174</v>
      </c>
      <c r="M204" s="19">
        <v>0.66666666666666663</v>
      </c>
      <c r="N204" s="12" t="s">
        <v>62</v>
      </c>
      <c r="O204" s="12">
        <v>0</v>
      </c>
      <c r="P204" s="8">
        <v>0</v>
      </c>
      <c r="Q204" s="8">
        <v>0</v>
      </c>
      <c r="R204" s="8">
        <v>0</v>
      </c>
      <c r="S204" s="14">
        <v>0</v>
      </c>
      <c r="T204" s="12">
        <v>8</v>
      </c>
      <c r="U204" s="14">
        <v>0</v>
      </c>
      <c r="V204" s="14">
        <v>0</v>
      </c>
      <c r="W204" s="8">
        <v>0</v>
      </c>
      <c r="X204" s="8" t="s">
        <v>842</v>
      </c>
      <c r="Y204" s="12">
        <v>8</v>
      </c>
      <c r="Z204" s="8">
        <v>0</v>
      </c>
      <c r="AA204" s="8">
        <v>0</v>
      </c>
      <c r="AB204" s="8">
        <v>0</v>
      </c>
      <c r="AC204" s="8" t="s">
        <v>852</v>
      </c>
      <c r="AD204" s="3">
        <f t="shared" si="4"/>
        <v>8</v>
      </c>
      <c r="AE204" s="14" t="s">
        <v>117</v>
      </c>
      <c r="AF204" s="3" t="s">
        <v>117</v>
      </c>
      <c r="AG204" s="14" t="s">
        <v>57</v>
      </c>
      <c r="AH204" s="12"/>
      <c r="AI204" s="14" t="s">
        <v>304</v>
      </c>
      <c r="AJ204" s="6">
        <f t="shared" si="5"/>
        <v>640000</v>
      </c>
      <c r="AK204" s="8" t="s">
        <v>305</v>
      </c>
    </row>
    <row r="205" spans="1:37" x14ac:dyDescent="0.35">
      <c r="A205" s="7" t="s">
        <v>868</v>
      </c>
      <c r="B205" s="12" t="s">
        <v>281</v>
      </c>
      <c r="C205" s="12" t="s">
        <v>282</v>
      </c>
      <c r="D205" s="54" t="s">
        <v>807</v>
      </c>
      <c r="E205" s="12">
        <v>608.9</v>
      </c>
      <c r="F205" s="12">
        <v>4030.2</v>
      </c>
      <c r="G205" s="12">
        <v>1014</v>
      </c>
      <c r="H205" s="9">
        <v>41174</v>
      </c>
      <c r="I205" s="19">
        <v>0.59375</v>
      </c>
      <c r="J205" s="9">
        <v>41174</v>
      </c>
      <c r="K205" s="19">
        <v>0.61041666666666672</v>
      </c>
      <c r="L205" s="9">
        <v>41174</v>
      </c>
      <c r="M205" s="19">
        <v>0.76736111111111116</v>
      </c>
      <c r="N205" s="12" t="s">
        <v>41</v>
      </c>
      <c r="O205" s="12">
        <v>0</v>
      </c>
      <c r="P205" s="12">
        <v>5</v>
      </c>
      <c r="Q205" s="8">
        <v>0</v>
      </c>
      <c r="R205" s="8">
        <v>0</v>
      </c>
      <c r="S205" s="14">
        <v>0</v>
      </c>
      <c r="T205" s="12">
        <v>0</v>
      </c>
      <c r="U205" s="14">
        <v>0</v>
      </c>
      <c r="V205" s="12">
        <v>15</v>
      </c>
      <c r="W205" s="8">
        <v>0</v>
      </c>
      <c r="X205" s="8" t="s">
        <v>869</v>
      </c>
      <c r="Y205" s="12">
        <v>0</v>
      </c>
      <c r="Z205" s="12">
        <v>5</v>
      </c>
      <c r="AA205" s="12">
        <v>15</v>
      </c>
      <c r="AB205" s="8">
        <v>0</v>
      </c>
      <c r="AC205" s="8" t="s">
        <v>869</v>
      </c>
      <c r="AD205" s="3">
        <f t="shared" si="4"/>
        <v>20</v>
      </c>
      <c r="AE205" s="14" t="s">
        <v>117</v>
      </c>
      <c r="AF205" s="3" t="s">
        <v>117</v>
      </c>
      <c r="AG205" s="14" t="s">
        <v>72</v>
      </c>
      <c r="AH205" s="14" t="s">
        <v>574</v>
      </c>
      <c r="AI205" s="14" t="s">
        <v>473</v>
      </c>
      <c r="AJ205" s="6">
        <f t="shared" si="5"/>
        <v>615000</v>
      </c>
      <c r="AK205" s="8" t="s">
        <v>305</v>
      </c>
    </row>
    <row r="206" spans="1:37" x14ac:dyDescent="0.35">
      <c r="A206" s="7" t="s">
        <v>870</v>
      </c>
      <c r="B206" s="20" t="s">
        <v>316</v>
      </c>
      <c r="C206" s="20" t="s">
        <v>510</v>
      </c>
      <c r="D206" s="54" t="s">
        <v>871</v>
      </c>
      <c r="E206" s="20">
        <v>404.3</v>
      </c>
      <c r="F206" s="20">
        <v>560</v>
      </c>
      <c r="G206" s="20">
        <v>572</v>
      </c>
      <c r="H206" s="21">
        <v>41175</v>
      </c>
      <c r="I206" s="13">
        <v>0.59722222222222221</v>
      </c>
      <c r="J206" s="21">
        <v>41175</v>
      </c>
      <c r="K206" s="13">
        <v>0.61805555555555558</v>
      </c>
      <c r="L206" s="21">
        <v>41175</v>
      </c>
      <c r="M206" s="13">
        <v>0.78125</v>
      </c>
      <c r="N206" s="8" t="s">
        <v>81</v>
      </c>
      <c r="O206" s="20">
        <v>0</v>
      </c>
      <c r="P206" s="20">
        <v>2.5</v>
      </c>
      <c r="Q206" s="22">
        <v>0</v>
      </c>
      <c r="R206" s="22">
        <v>0</v>
      </c>
      <c r="S206" s="14">
        <v>0</v>
      </c>
      <c r="T206" s="20">
        <v>0</v>
      </c>
      <c r="U206" s="23">
        <v>0</v>
      </c>
      <c r="V206" s="20">
        <v>0</v>
      </c>
      <c r="W206" s="22">
        <v>0</v>
      </c>
      <c r="X206" s="20" t="s">
        <v>872</v>
      </c>
      <c r="Y206" s="20">
        <v>0</v>
      </c>
      <c r="Z206" s="20">
        <v>2.5</v>
      </c>
      <c r="AA206" s="20">
        <v>0</v>
      </c>
      <c r="AB206" s="22">
        <v>0</v>
      </c>
      <c r="AC206" s="20" t="s">
        <v>872</v>
      </c>
      <c r="AD206" s="3">
        <f t="shared" ref="AD206:AD226" si="6">(Y206+Z206+AA206)</f>
        <v>2.5</v>
      </c>
      <c r="AE206" s="14" t="s">
        <v>117</v>
      </c>
      <c r="AF206" s="3" t="s">
        <v>117</v>
      </c>
      <c r="AG206" s="14" t="s">
        <v>57</v>
      </c>
      <c r="AH206" s="8" t="s">
        <v>486</v>
      </c>
      <c r="AI206" s="14" t="s">
        <v>304</v>
      </c>
      <c r="AJ206" s="6">
        <f t="shared" ref="AJ206:AJ225" si="7">(Y206*80000)+(Z206*260*300)+(AA206*500*30)</f>
        <v>195000</v>
      </c>
      <c r="AK206" s="14" t="s">
        <v>305</v>
      </c>
    </row>
    <row r="207" spans="1:37" x14ac:dyDescent="0.35">
      <c r="A207" s="7" t="s">
        <v>873</v>
      </c>
      <c r="B207" s="20" t="s">
        <v>281</v>
      </c>
      <c r="C207" s="20" t="s">
        <v>282</v>
      </c>
      <c r="D207" s="54" t="s">
        <v>874</v>
      </c>
      <c r="E207" s="20">
        <v>614.1</v>
      </c>
      <c r="F207" s="20">
        <v>4033.4</v>
      </c>
      <c r="G207" s="20">
        <v>1150</v>
      </c>
      <c r="H207" s="9">
        <v>41175</v>
      </c>
      <c r="I207" s="19">
        <v>0.71180555555555547</v>
      </c>
      <c r="J207" s="9">
        <v>41175</v>
      </c>
      <c r="K207" s="19">
        <v>0.7284722222222223</v>
      </c>
      <c r="L207" s="9">
        <v>41175</v>
      </c>
      <c r="M207" s="19">
        <v>0.78472222222222221</v>
      </c>
      <c r="N207" s="8" t="s">
        <v>81</v>
      </c>
      <c r="O207" s="20">
        <v>0</v>
      </c>
      <c r="P207" s="20">
        <v>3</v>
      </c>
      <c r="Q207" s="20">
        <v>0</v>
      </c>
      <c r="R207" s="20">
        <v>0</v>
      </c>
      <c r="S207" s="14">
        <v>0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  <c r="Z207" s="20">
        <v>3</v>
      </c>
      <c r="AA207" s="20">
        <v>0</v>
      </c>
      <c r="AB207" s="20">
        <v>0</v>
      </c>
      <c r="AC207" s="20">
        <v>0</v>
      </c>
      <c r="AD207" s="3">
        <f t="shared" si="6"/>
        <v>3</v>
      </c>
      <c r="AE207" s="14" t="s">
        <v>117</v>
      </c>
      <c r="AF207" s="3" t="s">
        <v>117</v>
      </c>
      <c r="AG207" s="14" t="s">
        <v>57</v>
      </c>
      <c r="AH207" s="14" t="s">
        <v>809</v>
      </c>
      <c r="AI207" s="14" t="s">
        <v>304</v>
      </c>
      <c r="AJ207" s="6">
        <f t="shared" si="7"/>
        <v>234000</v>
      </c>
      <c r="AK207" s="14" t="s">
        <v>305</v>
      </c>
    </row>
    <row r="208" spans="1:37" x14ac:dyDescent="0.35">
      <c r="A208" s="7" t="s">
        <v>875</v>
      </c>
      <c r="B208" s="20" t="s">
        <v>357</v>
      </c>
      <c r="C208" s="20" t="s">
        <v>447</v>
      </c>
      <c r="D208" s="54" t="s">
        <v>860</v>
      </c>
      <c r="E208" s="20">
        <v>540.4</v>
      </c>
      <c r="F208" s="20">
        <v>436.2</v>
      </c>
      <c r="G208" s="20">
        <v>850</v>
      </c>
      <c r="H208" s="9">
        <v>41176</v>
      </c>
      <c r="I208" s="19">
        <v>0.55555555555555558</v>
      </c>
      <c r="J208" s="9">
        <v>41176</v>
      </c>
      <c r="K208" s="19">
        <v>0.57777777777777783</v>
      </c>
      <c r="L208" s="9">
        <v>41176</v>
      </c>
      <c r="M208" s="19">
        <v>0.64583333333333337</v>
      </c>
      <c r="N208" s="12" t="s">
        <v>62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2</v>
      </c>
      <c r="U208" s="20">
        <v>0</v>
      </c>
      <c r="V208" s="20">
        <v>0</v>
      </c>
      <c r="W208" s="20">
        <v>0</v>
      </c>
      <c r="X208" s="20">
        <v>0</v>
      </c>
      <c r="Y208" s="20">
        <v>2</v>
      </c>
      <c r="Z208" s="20">
        <v>0</v>
      </c>
      <c r="AA208" s="20">
        <v>0</v>
      </c>
      <c r="AB208" s="20">
        <v>0</v>
      </c>
      <c r="AC208" s="20">
        <v>0</v>
      </c>
      <c r="AD208" s="3">
        <f t="shared" si="6"/>
        <v>2</v>
      </c>
      <c r="AE208" s="14" t="s">
        <v>117</v>
      </c>
      <c r="AF208" s="3" t="s">
        <v>117</v>
      </c>
      <c r="AG208" s="20" t="s">
        <v>72</v>
      </c>
      <c r="AH208" s="20"/>
      <c r="AI208" s="14" t="s">
        <v>304</v>
      </c>
      <c r="AJ208" s="6">
        <f t="shared" si="7"/>
        <v>160000</v>
      </c>
      <c r="AK208" s="14" t="s">
        <v>305</v>
      </c>
    </row>
    <row r="209" spans="1:37" x14ac:dyDescent="0.35">
      <c r="A209" s="7" t="s">
        <v>876</v>
      </c>
      <c r="B209" s="20" t="s">
        <v>626</v>
      </c>
      <c r="C209" s="20" t="s">
        <v>626</v>
      </c>
      <c r="D209" s="56" t="s">
        <v>877</v>
      </c>
      <c r="E209" s="20">
        <v>3999</v>
      </c>
      <c r="F209" s="20">
        <v>557</v>
      </c>
      <c r="G209" s="20">
        <v>813</v>
      </c>
      <c r="H209" s="9">
        <v>41176</v>
      </c>
      <c r="I209" s="19">
        <v>0.58472222222222225</v>
      </c>
      <c r="J209" s="9">
        <v>41176</v>
      </c>
      <c r="K209" s="19">
        <v>0.60763888888888895</v>
      </c>
      <c r="L209" s="9">
        <v>41176</v>
      </c>
      <c r="M209" s="19">
        <v>0.6875</v>
      </c>
      <c r="N209" s="12" t="s">
        <v>62</v>
      </c>
      <c r="O209" s="20">
        <v>0.5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0.5</v>
      </c>
      <c r="Z209" s="20">
        <v>0</v>
      </c>
      <c r="AA209" s="20">
        <v>0</v>
      </c>
      <c r="AB209" s="20">
        <v>0</v>
      </c>
      <c r="AC209" s="20">
        <v>0</v>
      </c>
      <c r="AD209" s="3">
        <f t="shared" si="6"/>
        <v>0.5</v>
      </c>
      <c r="AE209" s="14" t="s">
        <v>117</v>
      </c>
      <c r="AF209" s="3" t="s">
        <v>117</v>
      </c>
      <c r="AG209" s="20" t="s">
        <v>72</v>
      </c>
      <c r="AH209" s="14" t="s">
        <v>574</v>
      </c>
      <c r="AI209" s="14" t="s">
        <v>304</v>
      </c>
      <c r="AJ209" s="6">
        <f t="shared" si="7"/>
        <v>40000</v>
      </c>
      <c r="AK209" s="14" t="s">
        <v>305</v>
      </c>
    </row>
    <row r="210" spans="1:37" x14ac:dyDescent="0.35">
      <c r="A210" s="7" t="s">
        <v>878</v>
      </c>
      <c r="B210" s="20" t="s">
        <v>281</v>
      </c>
      <c r="C210" s="20" t="s">
        <v>282</v>
      </c>
      <c r="D210" s="56" t="s">
        <v>879</v>
      </c>
      <c r="E210" s="12">
        <v>608.4</v>
      </c>
      <c r="F210" s="8">
        <v>4020.9</v>
      </c>
      <c r="G210" s="8">
        <v>1020</v>
      </c>
      <c r="H210" s="9">
        <v>41178</v>
      </c>
      <c r="I210" s="19">
        <v>0.62847222222222221</v>
      </c>
      <c r="J210" s="9">
        <v>41178</v>
      </c>
      <c r="K210" s="19">
        <v>0.63194444444444442</v>
      </c>
      <c r="L210" s="9">
        <v>41178</v>
      </c>
      <c r="M210" s="19">
        <v>0.72916666666666663</v>
      </c>
      <c r="N210" s="8" t="s">
        <v>81</v>
      </c>
      <c r="O210" s="20">
        <v>0</v>
      </c>
      <c r="P210" s="20">
        <v>0</v>
      </c>
      <c r="Q210" s="20">
        <v>0</v>
      </c>
      <c r="R210" s="14">
        <v>0</v>
      </c>
      <c r="S210" s="14">
        <v>0</v>
      </c>
      <c r="T210" s="20">
        <v>0</v>
      </c>
      <c r="U210" s="20">
        <v>1</v>
      </c>
      <c r="V210" s="20">
        <v>0.5</v>
      </c>
      <c r="W210" s="20">
        <v>0</v>
      </c>
      <c r="X210" s="20">
        <v>0</v>
      </c>
      <c r="Y210" s="24">
        <v>0</v>
      </c>
      <c r="Z210" s="24">
        <v>1</v>
      </c>
      <c r="AA210" s="24">
        <v>0.5</v>
      </c>
      <c r="AB210" s="20">
        <v>0</v>
      </c>
      <c r="AC210" s="20">
        <v>0</v>
      </c>
      <c r="AD210" s="3">
        <f t="shared" si="6"/>
        <v>1.5</v>
      </c>
      <c r="AE210" s="14" t="s">
        <v>117</v>
      </c>
      <c r="AF210" s="3" t="s">
        <v>117</v>
      </c>
      <c r="AG210" s="14" t="s">
        <v>72</v>
      </c>
      <c r="AH210" s="14" t="s">
        <v>809</v>
      </c>
      <c r="AI210" s="14" t="s">
        <v>304</v>
      </c>
      <c r="AJ210" s="6">
        <f t="shared" si="7"/>
        <v>85500</v>
      </c>
      <c r="AK210" s="14" t="s">
        <v>305</v>
      </c>
    </row>
    <row r="211" spans="1:37" x14ac:dyDescent="0.35">
      <c r="A211" s="7" t="s">
        <v>880</v>
      </c>
      <c r="B211" s="20" t="s">
        <v>312</v>
      </c>
      <c r="C211" s="20" t="s">
        <v>313</v>
      </c>
      <c r="D211" s="56" t="s">
        <v>881</v>
      </c>
      <c r="E211" s="8">
        <v>615.20000000000005</v>
      </c>
      <c r="F211" s="8">
        <v>348.2</v>
      </c>
      <c r="G211" s="8">
        <v>675</v>
      </c>
      <c r="H211" s="9">
        <v>41178</v>
      </c>
      <c r="I211" s="19">
        <v>0.875</v>
      </c>
      <c r="J211" s="9">
        <v>41178</v>
      </c>
      <c r="K211" s="19">
        <v>0.88194444444444453</v>
      </c>
      <c r="L211" s="9">
        <v>41179</v>
      </c>
      <c r="M211" s="19">
        <v>0</v>
      </c>
      <c r="N211" s="8" t="s">
        <v>81</v>
      </c>
      <c r="O211" s="20">
        <v>0</v>
      </c>
      <c r="P211" s="20">
        <v>2</v>
      </c>
      <c r="Q211" s="20">
        <v>4</v>
      </c>
      <c r="R211" s="14">
        <v>0</v>
      </c>
      <c r="S211" s="14">
        <v>0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2</v>
      </c>
      <c r="AA211" s="20">
        <v>4</v>
      </c>
      <c r="AB211" s="20">
        <v>0</v>
      </c>
      <c r="AC211" s="20">
        <v>0</v>
      </c>
      <c r="AD211" s="3">
        <f t="shared" si="6"/>
        <v>6</v>
      </c>
      <c r="AE211" s="14" t="s">
        <v>117</v>
      </c>
      <c r="AF211" s="3" t="s">
        <v>117</v>
      </c>
      <c r="AG211" s="8">
        <f>SUBTOTAL(9,O211:AF211)</f>
        <v>18</v>
      </c>
      <c r="AH211" s="14" t="s">
        <v>560</v>
      </c>
      <c r="AI211" s="14" t="s">
        <v>304</v>
      </c>
      <c r="AJ211" s="6">
        <f t="shared" si="7"/>
        <v>216000</v>
      </c>
      <c r="AK211" s="14" t="s">
        <v>305</v>
      </c>
    </row>
    <row r="212" spans="1:37" x14ac:dyDescent="0.35">
      <c r="A212" s="7" t="s">
        <v>882</v>
      </c>
      <c r="B212" s="20" t="s">
        <v>281</v>
      </c>
      <c r="C212" s="20" t="s">
        <v>282</v>
      </c>
      <c r="D212" s="56" t="s">
        <v>883</v>
      </c>
      <c r="E212" s="12">
        <v>607.6</v>
      </c>
      <c r="F212" s="8">
        <v>4030.9</v>
      </c>
      <c r="G212" s="8">
        <v>1008</v>
      </c>
      <c r="H212" s="9">
        <v>41180</v>
      </c>
      <c r="I212" s="19">
        <v>0.44791666666666669</v>
      </c>
      <c r="J212" s="9">
        <v>41180</v>
      </c>
      <c r="K212" s="19">
        <v>0.45833333333333331</v>
      </c>
      <c r="L212" s="9">
        <v>41180</v>
      </c>
      <c r="M212" s="19">
        <v>0.5625</v>
      </c>
      <c r="N212" s="8" t="s">
        <v>81</v>
      </c>
      <c r="O212" s="20">
        <v>0</v>
      </c>
      <c r="P212" s="20">
        <v>0</v>
      </c>
      <c r="Q212" s="20">
        <v>0</v>
      </c>
      <c r="R212" s="14">
        <v>0</v>
      </c>
      <c r="S212" s="14">
        <v>0</v>
      </c>
      <c r="T212" s="20">
        <v>0</v>
      </c>
      <c r="U212" s="20">
        <v>1.5</v>
      </c>
      <c r="V212" s="20">
        <v>0</v>
      </c>
      <c r="W212" s="20">
        <v>0</v>
      </c>
      <c r="X212" s="20">
        <v>0</v>
      </c>
      <c r="Y212" s="20">
        <v>0</v>
      </c>
      <c r="Z212" s="20">
        <v>1.5</v>
      </c>
      <c r="AA212" s="20">
        <v>0</v>
      </c>
      <c r="AB212" s="20">
        <v>0</v>
      </c>
      <c r="AC212" s="20">
        <v>0</v>
      </c>
      <c r="AD212" s="3">
        <f t="shared" si="6"/>
        <v>1.5</v>
      </c>
      <c r="AE212" s="14" t="s">
        <v>117</v>
      </c>
      <c r="AF212" s="3" t="s">
        <v>117</v>
      </c>
      <c r="AG212" s="14" t="s">
        <v>72</v>
      </c>
      <c r="AH212" s="14" t="s">
        <v>705</v>
      </c>
      <c r="AI212" s="14" t="s">
        <v>304</v>
      </c>
      <c r="AJ212" s="6">
        <f t="shared" si="7"/>
        <v>117000</v>
      </c>
      <c r="AK212" s="14" t="s">
        <v>305</v>
      </c>
    </row>
    <row r="213" spans="1:37" x14ac:dyDescent="0.35">
      <c r="A213" s="7" t="s">
        <v>884</v>
      </c>
      <c r="B213" s="20" t="s">
        <v>68</v>
      </c>
      <c r="C213" s="20" t="s">
        <v>68</v>
      </c>
      <c r="D213" s="56" t="s">
        <v>885</v>
      </c>
      <c r="E213" s="8">
        <v>4002</v>
      </c>
      <c r="F213" s="8">
        <v>560</v>
      </c>
      <c r="G213" s="8">
        <v>1000</v>
      </c>
      <c r="H213" s="9">
        <v>41180</v>
      </c>
      <c r="I213" s="19">
        <v>0.77083333333333337</v>
      </c>
      <c r="J213" s="9">
        <v>41180</v>
      </c>
      <c r="K213" s="19">
        <v>0.77777777777777779</v>
      </c>
      <c r="L213" s="9">
        <v>41180</v>
      </c>
      <c r="M213" s="19">
        <v>0.79166666666666663</v>
      </c>
      <c r="N213" s="12" t="s">
        <v>62</v>
      </c>
      <c r="O213" s="20">
        <v>0.5</v>
      </c>
      <c r="P213" s="20">
        <v>0</v>
      </c>
      <c r="Q213" s="20">
        <v>0</v>
      </c>
      <c r="R213" s="14">
        <v>0</v>
      </c>
      <c r="S213" s="14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0.5</v>
      </c>
      <c r="Z213" s="20">
        <v>0</v>
      </c>
      <c r="AA213" s="20">
        <v>0</v>
      </c>
      <c r="AB213" s="20">
        <v>0</v>
      </c>
      <c r="AC213" s="20">
        <v>0</v>
      </c>
      <c r="AD213" s="3">
        <f t="shared" si="6"/>
        <v>0.5</v>
      </c>
      <c r="AE213" s="14" t="s">
        <v>117</v>
      </c>
      <c r="AF213" s="3" t="s">
        <v>117</v>
      </c>
      <c r="AG213" s="14" t="s">
        <v>57</v>
      </c>
      <c r="AH213" s="14" t="s">
        <v>796</v>
      </c>
      <c r="AI213" s="14" t="s">
        <v>304</v>
      </c>
      <c r="AJ213" s="6">
        <f t="shared" si="7"/>
        <v>40000</v>
      </c>
      <c r="AK213" s="14" t="s">
        <v>305</v>
      </c>
    </row>
    <row r="214" spans="1:37" x14ac:dyDescent="0.35">
      <c r="A214" s="7" t="s">
        <v>886</v>
      </c>
      <c r="B214" s="20" t="s">
        <v>316</v>
      </c>
      <c r="C214" s="20" t="s">
        <v>887</v>
      </c>
      <c r="D214" s="56" t="s">
        <v>888</v>
      </c>
      <c r="E214" s="8">
        <v>772.6</v>
      </c>
      <c r="F214" s="8">
        <v>4241.2</v>
      </c>
      <c r="G214" s="8">
        <v>850</v>
      </c>
      <c r="H214" s="9">
        <v>41181</v>
      </c>
      <c r="I214" s="19">
        <v>0.58333333333333337</v>
      </c>
      <c r="J214" s="9">
        <v>41181</v>
      </c>
      <c r="K214" s="19">
        <v>0.59375</v>
      </c>
      <c r="L214" s="9">
        <v>41181</v>
      </c>
      <c r="M214" s="19">
        <v>0.73611111111111116</v>
      </c>
      <c r="N214" s="12" t="s">
        <v>62</v>
      </c>
      <c r="O214" s="20">
        <v>0</v>
      </c>
      <c r="P214" s="20">
        <v>0</v>
      </c>
      <c r="Q214" s="20">
        <v>0</v>
      </c>
      <c r="R214" s="25">
        <v>0</v>
      </c>
      <c r="S214" s="8">
        <v>0</v>
      </c>
      <c r="T214" s="20">
        <v>3</v>
      </c>
      <c r="U214" s="20">
        <v>0</v>
      </c>
      <c r="V214" s="20">
        <v>0</v>
      </c>
      <c r="W214" s="20">
        <v>0</v>
      </c>
      <c r="X214" s="8" t="s">
        <v>889</v>
      </c>
      <c r="Y214" s="20">
        <v>3</v>
      </c>
      <c r="Z214" s="20">
        <v>0</v>
      </c>
      <c r="AA214" s="20">
        <v>0</v>
      </c>
      <c r="AB214" s="20">
        <v>0</v>
      </c>
      <c r="AC214" s="8" t="s">
        <v>889</v>
      </c>
      <c r="AD214" s="3">
        <f t="shared" si="6"/>
        <v>3</v>
      </c>
      <c r="AE214" s="14" t="s">
        <v>117</v>
      </c>
      <c r="AF214" s="3" t="s">
        <v>117</v>
      </c>
      <c r="AG214" s="14" t="s">
        <v>57</v>
      </c>
      <c r="AH214" s="8" t="s">
        <v>379</v>
      </c>
      <c r="AI214" s="14" t="s">
        <v>304</v>
      </c>
      <c r="AJ214" s="6">
        <f t="shared" si="7"/>
        <v>240000</v>
      </c>
      <c r="AK214" s="14" t="s">
        <v>305</v>
      </c>
    </row>
    <row r="215" spans="1:37" x14ac:dyDescent="0.35">
      <c r="A215" s="7" t="s">
        <v>890</v>
      </c>
      <c r="B215" s="12" t="s">
        <v>281</v>
      </c>
      <c r="C215" s="12" t="s">
        <v>282</v>
      </c>
      <c r="D215" s="54" t="s">
        <v>807</v>
      </c>
      <c r="E215" s="12">
        <v>608.9</v>
      </c>
      <c r="F215" s="12">
        <v>4030.2</v>
      </c>
      <c r="G215" s="12">
        <v>1014</v>
      </c>
      <c r="H215" s="9">
        <v>41184</v>
      </c>
      <c r="I215" s="19">
        <v>0.52777777777777779</v>
      </c>
      <c r="J215" s="9">
        <v>41184</v>
      </c>
      <c r="K215" s="19">
        <v>0.53819444444444442</v>
      </c>
      <c r="L215" s="9">
        <v>41184</v>
      </c>
      <c r="M215" s="19">
        <v>0.78125</v>
      </c>
      <c r="N215" s="12" t="s">
        <v>41</v>
      </c>
      <c r="O215" s="20">
        <v>0</v>
      </c>
      <c r="P215" s="20">
        <v>1</v>
      </c>
      <c r="Q215" s="20">
        <v>4</v>
      </c>
      <c r="R215" s="25">
        <v>0</v>
      </c>
      <c r="S215" s="8">
        <v>0</v>
      </c>
      <c r="T215" s="20">
        <v>0</v>
      </c>
      <c r="U215" s="20">
        <v>0</v>
      </c>
      <c r="V215" s="20">
        <v>0</v>
      </c>
      <c r="W215" s="20">
        <v>0</v>
      </c>
      <c r="X215" s="8">
        <v>0</v>
      </c>
      <c r="Y215" s="20">
        <v>0</v>
      </c>
      <c r="Z215" s="20">
        <v>1</v>
      </c>
      <c r="AA215" s="20">
        <v>4</v>
      </c>
      <c r="AB215" s="20">
        <v>0</v>
      </c>
      <c r="AC215" s="8">
        <v>0</v>
      </c>
      <c r="AD215" s="3">
        <f t="shared" si="6"/>
        <v>5</v>
      </c>
      <c r="AE215" s="14" t="s">
        <v>117</v>
      </c>
      <c r="AF215" s="3" t="s">
        <v>117</v>
      </c>
      <c r="AG215" s="14" t="s">
        <v>72</v>
      </c>
      <c r="AH215" s="14" t="s">
        <v>891</v>
      </c>
      <c r="AI215" s="14" t="s">
        <v>304</v>
      </c>
      <c r="AJ215" s="6">
        <f t="shared" si="7"/>
        <v>138000</v>
      </c>
      <c r="AK215" s="14" t="s">
        <v>305</v>
      </c>
    </row>
    <row r="216" spans="1:37" x14ac:dyDescent="0.35">
      <c r="A216" s="7" t="s">
        <v>892</v>
      </c>
      <c r="B216" s="8" t="s">
        <v>68</v>
      </c>
      <c r="C216" s="8" t="s">
        <v>345</v>
      </c>
      <c r="D216" s="56" t="s">
        <v>893</v>
      </c>
      <c r="E216" s="8"/>
      <c r="F216" s="8"/>
      <c r="G216" s="8"/>
      <c r="H216" s="9">
        <v>41184</v>
      </c>
      <c r="I216" s="19">
        <v>0.61458333333333337</v>
      </c>
      <c r="J216" s="9">
        <v>41184</v>
      </c>
      <c r="K216" s="19">
        <v>0.62152777777777779</v>
      </c>
      <c r="L216" s="9">
        <v>41184</v>
      </c>
      <c r="M216" s="19">
        <v>0.66666666666666663</v>
      </c>
      <c r="N216" s="8" t="s">
        <v>81</v>
      </c>
      <c r="O216" s="20">
        <v>0</v>
      </c>
      <c r="P216" s="20">
        <v>0.5</v>
      </c>
      <c r="Q216" s="20">
        <v>0</v>
      </c>
      <c r="R216" s="25">
        <v>0</v>
      </c>
      <c r="S216" s="8">
        <v>0</v>
      </c>
      <c r="T216" s="20">
        <v>0</v>
      </c>
      <c r="U216" s="20">
        <v>0</v>
      </c>
      <c r="V216" s="20">
        <v>0</v>
      </c>
      <c r="W216" s="20">
        <v>0</v>
      </c>
      <c r="X216" s="8">
        <v>0</v>
      </c>
      <c r="Y216" s="20">
        <v>0</v>
      </c>
      <c r="Z216" s="20">
        <v>0.5</v>
      </c>
      <c r="AA216" s="20">
        <v>0</v>
      </c>
      <c r="AB216" s="20">
        <v>0</v>
      </c>
      <c r="AC216" s="8">
        <v>0</v>
      </c>
      <c r="AD216" s="3">
        <f t="shared" si="6"/>
        <v>0.5</v>
      </c>
      <c r="AE216" s="14" t="s">
        <v>117</v>
      </c>
      <c r="AF216" s="3" t="s">
        <v>117</v>
      </c>
      <c r="AG216" s="14" t="s">
        <v>57</v>
      </c>
      <c r="AH216" s="14" t="s">
        <v>894</v>
      </c>
      <c r="AI216" s="14" t="s">
        <v>304</v>
      </c>
      <c r="AJ216" s="26">
        <f t="shared" si="7"/>
        <v>39000</v>
      </c>
      <c r="AK216" s="14" t="s">
        <v>305</v>
      </c>
    </row>
    <row r="217" spans="1:37" x14ac:dyDescent="0.35">
      <c r="A217" s="7" t="s">
        <v>895</v>
      </c>
      <c r="B217" s="8" t="s">
        <v>68</v>
      </c>
      <c r="C217" s="20" t="s">
        <v>896</v>
      </c>
      <c r="D217" s="56" t="s">
        <v>897</v>
      </c>
      <c r="E217" s="8"/>
      <c r="F217" s="8"/>
      <c r="G217" s="8"/>
      <c r="H217" s="9">
        <v>41184</v>
      </c>
      <c r="I217" s="19">
        <v>0.63888888888888895</v>
      </c>
      <c r="J217" s="9">
        <v>41184</v>
      </c>
      <c r="K217" s="19">
        <v>0.64583333333333337</v>
      </c>
      <c r="L217" s="9">
        <v>41184</v>
      </c>
      <c r="M217" s="19">
        <v>0.65625</v>
      </c>
      <c r="N217" s="8" t="s">
        <v>70</v>
      </c>
      <c r="O217" s="20">
        <v>0</v>
      </c>
      <c r="P217" s="20">
        <v>0</v>
      </c>
      <c r="Q217" s="20">
        <v>0</v>
      </c>
      <c r="R217" s="25">
        <v>0</v>
      </c>
      <c r="S217" s="8">
        <v>0</v>
      </c>
      <c r="T217" s="20">
        <v>0</v>
      </c>
      <c r="U217" s="20">
        <v>0.25</v>
      </c>
      <c r="V217" s="20">
        <v>0</v>
      </c>
      <c r="W217" s="20">
        <v>0</v>
      </c>
      <c r="X217" s="8">
        <v>0</v>
      </c>
      <c r="Y217" s="20">
        <v>0</v>
      </c>
      <c r="Z217" s="20">
        <v>0.25</v>
      </c>
      <c r="AA217" s="20">
        <v>0</v>
      </c>
      <c r="AB217" s="20">
        <v>0</v>
      </c>
      <c r="AC217" s="8">
        <v>0</v>
      </c>
      <c r="AD217" s="3">
        <v>0.25</v>
      </c>
      <c r="AE217" s="14" t="s">
        <v>117</v>
      </c>
      <c r="AF217" s="3" t="s">
        <v>117</v>
      </c>
      <c r="AG217" s="14" t="s">
        <v>57</v>
      </c>
      <c r="AH217" s="14" t="s">
        <v>894</v>
      </c>
      <c r="AI217" s="14" t="s">
        <v>304</v>
      </c>
      <c r="AJ217" s="26">
        <f t="shared" si="7"/>
        <v>19500</v>
      </c>
      <c r="AK217" s="14" t="s">
        <v>305</v>
      </c>
    </row>
    <row r="218" spans="1:37" x14ac:dyDescent="0.35">
      <c r="A218" s="7" t="s">
        <v>898</v>
      </c>
      <c r="B218" s="20" t="s">
        <v>301</v>
      </c>
      <c r="C218" s="20" t="s">
        <v>481</v>
      </c>
      <c r="D218" s="56" t="s">
        <v>899</v>
      </c>
      <c r="E218" s="8"/>
      <c r="F218" s="8"/>
      <c r="G218" s="8"/>
      <c r="H218" s="9">
        <v>41187</v>
      </c>
      <c r="I218" s="19">
        <v>0.73611111111111116</v>
      </c>
      <c r="J218" s="9">
        <v>41187</v>
      </c>
      <c r="K218" s="19">
        <v>0.74305555555555547</v>
      </c>
      <c r="L218" s="9">
        <v>41187</v>
      </c>
      <c r="M218" s="19">
        <v>0.80555555555555547</v>
      </c>
      <c r="N218" s="12" t="s">
        <v>41</v>
      </c>
      <c r="O218" s="20">
        <v>5</v>
      </c>
      <c r="P218" s="20">
        <v>0</v>
      </c>
      <c r="Q218" s="20">
        <v>3</v>
      </c>
      <c r="R218" s="25">
        <v>0</v>
      </c>
      <c r="S218" s="8">
        <v>0</v>
      </c>
      <c r="T218" s="20">
        <v>0</v>
      </c>
      <c r="U218" s="20">
        <v>0</v>
      </c>
      <c r="V218" s="20">
        <v>0</v>
      </c>
      <c r="W218" s="20">
        <v>0</v>
      </c>
      <c r="X218" s="8">
        <v>0</v>
      </c>
      <c r="Y218" s="20">
        <v>5</v>
      </c>
      <c r="Z218" s="20">
        <v>0</v>
      </c>
      <c r="AA218" s="20">
        <v>3</v>
      </c>
      <c r="AB218" s="20">
        <v>0</v>
      </c>
      <c r="AC218" s="8">
        <v>0</v>
      </c>
      <c r="AD218" s="3">
        <v>8</v>
      </c>
      <c r="AE218" s="14" t="s">
        <v>117</v>
      </c>
      <c r="AF218" s="3" t="s">
        <v>117</v>
      </c>
      <c r="AG218" s="14" t="s">
        <v>57</v>
      </c>
      <c r="AH218" s="14" t="s">
        <v>891</v>
      </c>
      <c r="AI218" s="14" t="s">
        <v>304</v>
      </c>
      <c r="AJ218" s="26">
        <f t="shared" si="7"/>
        <v>445000</v>
      </c>
      <c r="AK218" s="14" t="s">
        <v>305</v>
      </c>
    </row>
    <row r="219" spans="1:37" x14ac:dyDescent="0.35">
      <c r="A219" s="7" t="s">
        <v>900</v>
      </c>
      <c r="B219" s="8" t="s">
        <v>68</v>
      </c>
      <c r="C219" s="8" t="s">
        <v>345</v>
      </c>
      <c r="D219" s="56" t="s">
        <v>901</v>
      </c>
      <c r="E219" s="8"/>
      <c r="F219" s="8"/>
      <c r="G219" s="8"/>
      <c r="H219" s="9">
        <v>41187</v>
      </c>
      <c r="I219" s="19">
        <v>0.8125</v>
      </c>
      <c r="J219" s="9">
        <v>41187</v>
      </c>
      <c r="K219" s="19">
        <v>0.81597222222222221</v>
      </c>
      <c r="L219" s="9">
        <v>41187</v>
      </c>
      <c r="M219" s="19">
        <v>0.8125</v>
      </c>
      <c r="N219" s="12" t="s">
        <v>62</v>
      </c>
      <c r="O219" s="20">
        <v>0.5</v>
      </c>
      <c r="P219" s="20">
        <v>0</v>
      </c>
      <c r="Q219" s="20">
        <v>0</v>
      </c>
      <c r="R219" s="25">
        <v>0</v>
      </c>
      <c r="S219" s="8">
        <v>0</v>
      </c>
      <c r="T219" s="20">
        <v>0</v>
      </c>
      <c r="U219" s="20">
        <v>0</v>
      </c>
      <c r="V219" s="20">
        <v>0</v>
      </c>
      <c r="W219" s="20">
        <v>0</v>
      </c>
      <c r="X219" s="8">
        <v>0</v>
      </c>
      <c r="Y219" s="20">
        <v>0.5</v>
      </c>
      <c r="Z219" s="20">
        <v>0</v>
      </c>
      <c r="AA219" s="20">
        <v>0</v>
      </c>
      <c r="AB219" s="20">
        <v>0</v>
      </c>
      <c r="AC219" s="8">
        <v>0</v>
      </c>
      <c r="AD219" s="3">
        <v>0.5</v>
      </c>
      <c r="AE219" s="14" t="s">
        <v>117</v>
      </c>
      <c r="AF219" s="3" t="s">
        <v>117</v>
      </c>
      <c r="AG219" s="14" t="s">
        <v>57</v>
      </c>
      <c r="AH219" s="14" t="s">
        <v>894</v>
      </c>
      <c r="AI219" s="14" t="s">
        <v>304</v>
      </c>
      <c r="AJ219" s="26">
        <f t="shared" si="7"/>
        <v>40000</v>
      </c>
      <c r="AK219" s="14" t="s">
        <v>305</v>
      </c>
    </row>
    <row r="220" spans="1:37" x14ac:dyDescent="0.35">
      <c r="A220" s="7" t="s">
        <v>902</v>
      </c>
      <c r="B220" s="20" t="s">
        <v>281</v>
      </c>
      <c r="C220" s="20" t="s">
        <v>491</v>
      </c>
      <c r="D220" s="56" t="s">
        <v>903</v>
      </c>
      <c r="E220" s="8"/>
      <c r="F220" s="8"/>
      <c r="G220" s="8"/>
      <c r="H220" s="9">
        <v>41189</v>
      </c>
      <c r="I220" s="19">
        <v>0.61111111111111105</v>
      </c>
      <c r="J220" s="9">
        <v>41189</v>
      </c>
      <c r="K220" s="19">
        <v>0.62152777777777779</v>
      </c>
      <c r="L220" s="9">
        <v>41189</v>
      </c>
      <c r="M220" s="19">
        <v>0.82291666666666663</v>
      </c>
      <c r="N220" s="8" t="s">
        <v>81</v>
      </c>
      <c r="O220" s="20">
        <v>0</v>
      </c>
      <c r="P220" s="20">
        <v>7</v>
      </c>
      <c r="Q220" s="20">
        <v>3</v>
      </c>
      <c r="R220" s="25">
        <v>0</v>
      </c>
      <c r="S220" s="8">
        <v>0</v>
      </c>
      <c r="T220" s="20">
        <v>0</v>
      </c>
      <c r="U220" s="20">
        <v>0</v>
      </c>
      <c r="V220" s="20">
        <v>0</v>
      </c>
      <c r="W220" s="20">
        <v>0</v>
      </c>
      <c r="X220" s="8">
        <v>0</v>
      </c>
      <c r="Y220" s="20">
        <v>0</v>
      </c>
      <c r="Z220" s="20">
        <v>7</v>
      </c>
      <c r="AA220" s="20">
        <v>3</v>
      </c>
      <c r="AB220" s="20">
        <v>0</v>
      </c>
      <c r="AC220" s="8">
        <v>0</v>
      </c>
      <c r="AD220" s="3">
        <v>10</v>
      </c>
      <c r="AE220" s="14" t="s">
        <v>117</v>
      </c>
      <c r="AF220" s="3" t="s">
        <v>117</v>
      </c>
      <c r="AG220" s="14" t="s">
        <v>72</v>
      </c>
      <c r="AH220" s="14" t="s">
        <v>891</v>
      </c>
      <c r="AI220" s="14" t="s">
        <v>473</v>
      </c>
      <c r="AJ220" s="26">
        <f t="shared" si="7"/>
        <v>591000</v>
      </c>
      <c r="AK220" s="14" t="s">
        <v>305</v>
      </c>
    </row>
    <row r="221" spans="1:37" x14ac:dyDescent="0.35">
      <c r="A221" s="7" t="s">
        <v>904</v>
      </c>
      <c r="B221" s="20" t="s">
        <v>357</v>
      </c>
      <c r="C221" s="20" t="s">
        <v>362</v>
      </c>
      <c r="D221" s="56" t="s">
        <v>905</v>
      </c>
      <c r="E221" s="8">
        <v>547.1</v>
      </c>
      <c r="F221" s="8">
        <v>4041.6</v>
      </c>
      <c r="G221" s="8">
        <v>800</v>
      </c>
      <c r="H221" s="9">
        <v>41189</v>
      </c>
      <c r="I221" s="19">
        <v>0.66666666666666663</v>
      </c>
      <c r="J221" s="9">
        <v>41189</v>
      </c>
      <c r="K221" s="19">
        <v>0.67361111111111116</v>
      </c>
      <c r="L221" s="9">
        <v>41189</v>
      </c>
      <c r="M221" s="19">
        <v>0.73958333333333337</v>
      </c>
      <c r="N221" s="12" t="s">
        <v>62</v>
      </c>
      <c r="O221" s="20">
        <v>0</v>
      </c>
      <c r="P221" s="20">
        <v>0</v>
      </c>
      <c r="Q221" s="20">
        <v>0</v>
      </c>
      <c r="R221" s="25">
        <v>0</v>
      </c>
      <c r="S221" s="8">
        <v>0</v>
      </c>
      <c r="T221" s="20">
        <v>1.5</v>
      </c>
      <c r="U221" s="20">
        <v>0</v>
      </c>
      <c r="V221" s="20">
        <v>0</v>
      </c>
      <c r="W221" s="20">
        <v>0</v>
      </c>
      <c r="X221" s="8">
        <v>0</v>
      </c>
      <c r="Y221" s="20">
        <v>1.5</v>
      </c>
      <c r="Z221" s="20">
        <v>0</v>
      </c>
      <c r="AA221" s="20">
        <v>0</v>
      </c>
      <c r="AB221" s="20">
        <v>0</v>
      </c>
      <c r="AC221" s="8">
        <v>0</v>
      </c>
      <c r="AD221" s="3">
        <v>1.5</v>
      </c>
      <c r="AE221" s="14" t="s">
        <v>117</v>
      </c>
      <c r="AF221" s="3" t="s">
        <v>117</v>
      </c>
      <c r="AG221" s="14" t="s">
        <v>57</v>
      </c>
      <c r="AH221" s="14" t="s">
        <v>891</v>
      </c>
      <c r="AI221" s="14" t="s">
        <v>304</v>
      </c>
      <c r="AJ221" s="26">
        <f t="shared" si="7"/>
        <v>120000</v>
      </c>
      <c r="AK221" s="14" t="s">
        <v>305</v>
      </c>
    </row>
    <row r="222" spans="1:37" x14ac:dyDescent="0.35">
      <c r="A222" s="7" t="s">
        <v>906</v>
      </c>
      <c r="B222" s="20" t="s">
        <v>409</v>
      </c>
      <c r="C222" s="20" t="s">
        <v>475</v>
      </c>
      <c r="D222" s="56" t="s">
        <v>907</v>
      </c>
      <c r="E222" s="8"/>
      <c r="F222" s="8"/>
      <c r="G222" s="8"/>
      <c r="H222" s="9">
        <v>41189</v>
      </c>
      <c r="I222" s="19">
        <v>0.8125</v>
      </c>
      <c r="J222" s="9">
        <v>41189</v>
      </c>
      <c r="K222" s="19">
        <v>0.81944444444444453</v>
      </c>
      <c r="L222" s="9">
        <v>41189</v>
      </c>
      <c r="M222" s="19">
        <v>0.86458333333333337</v>
      </c>
      <c r="N222" s="12" t="s">
        <v>41</v>
      </c>
      <c r="O222" s="20">
        <v>0</v>
      </c>
      <c r="P222" s="20">
        <v>0</v>
      </c>
      <c r="Q222" s="20">
        <v>0</v>
      </c>
      <c r="R222" s="25">
        <v>0</v>
      </c>
      <c r="S222" s="8">
        <v>0</v>
      </c>
      <c r="T222" s="20">
        <v>0</v>
      </c>
      <c r="U222" s="20">
        <v>0</v>
      </c>
      <c r="V222" s="20">
        <v>0</v>
      </c>
      <c r="W222" s="20">
        <v>0</v>
      </c>
      <c r="X222" s="8">
        <v>0</v>
      </c>
      <c r="Y222" s="20">
        <v>0</v>
      </c>
      <c r="Z222" s="20">
        <v>0</v>
      </c>
      <c r="AA222" s="20">
        <v>0.5</v>
      </c>
      <c r="AB222" s="20">
        <v>0</v>
      </c>
      <c r="AC222" s="8">
        <v>0</v>
      </c>
      <c r="AD222" s="3">
        <v>0.5</v>
      </c>
      <c r="AE222" s="14" t="s">
        <v>117</v>
      </c>
      <c r="AF222" s="3" t="s">
        <v>117</v>
      </c>
      <c r="AG222" s="14" t="s">
        <v>57</v>
      </c>
      <c r="AH222" s="14" t="s">
        <v>894</v>
      </c>
      <c r="AI222" s="14" t="s">
        <v>304</v>
      </c>
      <c r="AJ222" s="26">
        <f t="shared" si="7"/>
        <v>7500</v>
      </c>
      <c r="AK222" s="14" t="s">
        <v>305</v>
      </c>
    </row>
    <row r="223" spans="1:37" x14ac:dyDescent="0.35">
      <c r="A223" s="7" t="s">
        <v>908</v>
      </c>
      <c r="B223" s="12" t="s">
        <v>281</v>
      </c>
      <c r="C223" s="12" t="s">
        <v>282</v>
      </c>
      <c r="D223" s="54" t="s">
        <v>807</v>
      </c>
      <c r="E223" s="12">
        <v>608.9</v>
      </c>
      <c r="F223" s="12">
        <v>4030.2</v>
      </c>
      <c r="G223" s="12">
        <v>1014</v>
      </c>
      <c r="H223" s="9">
        <v>41192</v>
      </c>
      <c r="I223" s="19">
        <v>0.56944444444444442</v>
      </c>
      <c r="J223" s="9">
        <v>41192</v>
      </c>
      <c r="K223" s="19">
        <v>0.54861111111111105</v>
      </c>
      <c r="L223" s="9">
        <v>41192</v>
      </c>
      <c r="M223" s="19">
        <v>0.70833333333333337</v>
      </c>
      <c r="N223" s="8" t="s">
        <v>81</v>
      </c>
      <c r="O223" s="20">
        <v>0</v>
      </c>
      <c r="P223" s="20">
        <v>2</v>
      </c>
      <c r="Q223" s="20">
        <v>0</v>
      </c>
      <c r="R223" s="25">
        <v>0</v>
      </c>
      <c r="S223" s="8">
        <v>0</v>
      </c>
      <c r="T223" s="20">
        <v>0</v>
      </c>
      <c r="U223" s="20">
        <v>0</v>
      </c>
      <c r="V223" s="20">
        <v>0</v>
      </c>
      <c r="W223" s="20">
        <v>0</v>
      </c>
      <c r="X223" s="8">
        <v>0</v>
      </c>
      <c r="Y223" s="20">
        <v>0</v>
      </c>
      <c r="Z223" s="20">
        <v>2</v>
      </c>
      <c r="AA223" s="20">
        <v>0</v>
      </c>
      <c r="AB223" s="20">
        <v>0</v>
      </c>
      <c r="AC223" s="8">
        <v>0</v>
      </c>
      <c r="AD223" s="3">
        <v>2</v>
      </c>
      <c r="AE223" s="14" t="s">
        <v>117</v>
      </c>
      <c r="AF223" s="3" t="s">
        <v>117</v>
      </c>
      <c r="AG223" s="14" t="s">
        <v>72</v>
      </c>
      <c r="AH223" s="14" t="s">
        <v>909</v>
      </c>
      <c r="AI223" s="14" t="s">
        <v>304</v>
      </c>
      <c r="AJ223" s="26">
        <f t="shared" si="7"/>
        <v>156000</v>
      </c>
      <c r="AK223" s="14" t="s">
        <v>305</v>
      </c>
    </row>
    <row r="224" spans="1:37" x14ac:dyDescent="0.35">
      <c r="A224" s="7" t="s">
        <v>910</v>
      </c>
      <c r="B224" s="20" t="s">
        <v>320</v>
      </c>
      <c r="C224" s="20" t="s">
        <v>320</v>
      </c>
      <c r="D224" s="56" t="s">
        <v>911</v>
      </c>
      <c r="E224" s="8"/>
      <c r="F224" s="8"/>
      <c r="G224" s="8"/>
      <c r="H224" s="9">
        <v>41192</v>
      </c>
      <c r="I224" s="19">
        <v>0.6875</v>
      </c>
      <c r="J224" s="9">
        <v>41192</v>
      </c>
      <c r="K224" s="19">
        <v>0.69444444444444453</v>
      </c>
      <c r="L224" s="9">
        <v>41191</v>
      </c>
      <c r="M224" s="19">
        <v>0.75</v>
      </c>
      <c r="N224" s="12" t="s">
        <v>62</v>
      </c>
      <c r="O224" s="20">
        <v>0.5</v>
      </c>
      <c r="P224" s="20">
        <v>0</v>
      </c>
      <c r="Q224" s="20">
        <v>0</v>
      </c>
      <c r="R224" s="25">
        <v>0</v>
      </c>
      <c r="S224" s="8">
        <v>0</v>
      </c>
      <c r="T224" s="20">
        <v>0</v>
      </c>
      <c r="U224" s="20">
        <v>0</v>
      </c>
      <c r="V224" s="20">
        <v>0</v>
      </c>
      <c r="W224" s="20">
        <v>0</v>
      </c>
      <c r="X224" s="8">
        <v>0</v>
      </c>
      <c r="Y224" s="20">
        <v>0.5</v>
      </c>
      <c r="Z224" s="20">
        <v>0</v>
      </c>
      <c r="AA224" s="20">
        <v>0</v>
      </c>
      <c r="AB224" s="20">
        <v>0</v>
      </c>
      <c r="AC224" s="8">
        <v>0</v>
      </c>
      <c r="AD224" s="3">
        <v>0.5</v>
      </c>
      <c r="AE224" s="14" t="s">
        <v>117</v>
      </c>
      <c r="AF224" s="3" t="s">
        <v>117</v>
      </c>
      <c r="AG224" s="14" t="s">
        <v>72</v>
      </c>
      <c r="AH224" s="14" t="s">
        <v>909</v>
      </c>
      <c r="AI224" s="14" t="s">
        <v>304</v>
      </c>
      <c r="AJ224" s="26">
        <f t="shared" si="7"/>
        <v>40000</v>
      </c>
      <c r="AK224" s="14" t="s">
        <v>305</v>
      </c>
    </row>
    <row r="225" spans="1:37" x14ac:dyDescent="0.35">
      <c r="A225" s="7" t="s">
        <v>912</v>
      </c>
      <c r="B225" s="20" t="s">
        <v>286</v>
      </c>
      <c r="C225" s="20" t="s">
        <v>287</v>
      </c>
      <c r="D225" s="56" t="s">
        <v>913</v>
      </c>
      <c r="E225" s="8"/>
      <c r="F225" s="8"/>
      <c r="G225" s="8"/>
      <c r="H225" s="9">
        <v>41195</v>
      </c>
      <c r="I225" s="19">
        <v>0.61458333333333337</v>
      </c>
      <c r="J225" s="9">
        <v>41195</v>
      </c>
      <c r="K225" s="19">
        <v>0.62152777777777779</v>
      </c>
      <c r="L225" s="9">
        <v>41195</v>
      </c>
      <c r="M225" s="19">
        <v>0.70833333333333337</v>
      </c>
      <c r="N225" s="8" t="s">
        <v>914</v>
      </c>
      <c r="O225" s="20">
        <v>0</v>
      </c>
      <c r="P225" s="20">
        <v>2</v>
      </c>
      <c r="Q225" s="20">
        <v>1</v>
      </c>
      <c r="R225" s="25">
        <v>0</v>
      </c>
      <c r="S225" s="8">
        <v>0</v>
      </c>
      <c r="T225" s="20">
        <v>0</v>
      </c>
      <c r="U225" s="20">
        <v>0</v>
      </c>
      <c r="V225" s="20">
        <v>0</v>
      </c>
      <c r="W225" s="20">
        <v>0</v>
      </c>
      <c r="X225" s="8">
        <v>0</v>
      </c>
      <c r="Y225" s="20">
        <v>0</v>
      </c>
      <c r="Z225" s="20">
        <v>2</v>
      </c>
      <c r="AA225" s="20">
        <v>1</v>
      </c>
      <c r="AB225" s="20">
        <v>0</v>
      </c>
      <c r="AC225" s="8">
        <v>0</v>
      </c>
      <c r="AD225" s="3">
        <v>3</v>
      </c>
      <c r="AE225" s="14" t="s">
        <v>117</v>
      </c>
      <c r="AF225" s="3" t="s">
        <v>117</v>
      </c>
      <c r="AG225" s="14" t="s">
        <v>57</v>
      </c>
      <c r="AH225" s="14" t="s">
        <v>894</v>
      </c>
      <c r="AI225" s="14" t="s">
        <v>304</v>
      </c>
      <c r="AJ225" s="26">
        <f t="shared" si="7"/>
        <v>171000</v>
      </c>
      <c r="AK225" s="14" t="s">
        <v>305</v>
      </c>
    </row>
    <row r="226" spans="1:37" ht="15" customHeight="1" x14ac:dyDescent="0.35">
      <c r="A226" s="630" t="s">
        <v>44</v>
      </c>
      <c r="B226" s="631"/>
      <c r="C226" s="631"/>
      <c r="D226" s="631"/>
      <c r="E226" s="631"/>
      <c r="F226" s="631"/>
      <c r="G226" s="631"/>
      <c r="H226" s="631"/>
      <c r="I226" s="631"/>
      <c r="J226" s="631"/>
      <c r="K226" s="631"/>
      <c r="L226" s="631"/>
      <c r="M226" s="631"/>
      <c r="N226" s="632"/>
      <c r="O226" s="27">
        <f>SUM(O13:O225)</f>
        <v>1878.6849999999997</v>
      </c>
      <c r="P226" s="27">
        <f>SUM(P13:P225)</f>
        <v>1617.9899999999998</v>
      </c>
      <c r="Q226" s="27">
        <f>SUM(Q13:Q225)</f>
        <v>374.85</v>
      </c>
      <c r="R226" s="27">
        <f>SUM(R13:R225)</f>
        <v>0</v>
      </c>
      <c r="S226" s="27">
        <f>SUM(S13:S209)</f>
        <v>0</v>
      </c>
      <c r="T226" s="27">
        <f>SUM(T13:T225)</f>
        <v>139.1</v>
      </c>
      <c r="U226" s="27">
        <f>SUM(U13:U225)</f>
        <v>9.452</v>
      </c>
      <c r="V226" s="27">
        <f>SUM(V13:V225)</f>
        <v>145.9</v>
      </c>
      <c r="W226" s="27">
        <f>SUM(W13:W225)</f>
        <v>0</v>
      </c>
      <c r="X226" s="27"/>
      <c r="Y226" s="27">
        <f>SUM(Y13:Y225)</f>
        <v>2017.2849999999999</v>
      </c>
      <c r="Z226" s="27">
        <f>SUM(Z13:Z225)</f>
        <v>1640.9419999999998</v>
      </c>
      <c r="AA226" s="27">
        <f>SUM(AA13:AA225)</f>
        <v>508.45</v>
      </c>
      <c r="AB226" s="27">
        <f>SUM(AB13:AB225)</f>
        <v>0</v>
      </c>
      <c r="AC226" s="27" t="s">
        <v>915</v>
      </c>
      <c r="AD226" s="28">
        <f t="shared" si="6"/>
        <v>4166.6769999999997</v>
      </c>
      <c r="AE226" s="27"/>
      <c r="AF226" s="27"/>
      <c r="AG226" s="27"/>
      <c r="AH226" s="27"/>
      <c r="AI226" s="27"/>
      <c r="AJ226" s="51">
        <f>SUM(AJ13:AJ225)</f>
        <v>297003026</v>
      </c>
      <c r="AK226" s="29"/>
    </row>
    <row r="227" spans="1:37" x14ac:dyDescent="0.35">
      <c r="A227" s="30"/>
      <c r="B227" s="31"/>
      <c r="C227" s="31"/>
      <c r="D227" s="57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2"/>
      <c r="AK227" s="31"/>
    </row>
  </sheetData>
  <mergeCells count="22">
    <mergeCell ref="Y11:AD11"/>
    <mergeCell ref="A1:AI1"/>
    <mergeCell ref="A4:AI4"/>
    <mergeCell ref="AF7:AI7"/>
    <mergeCell ref="AF8:AI8"/>
    <mergeCell ref="J10:K10"/>
    <mergeCell ref="A226:N226"/>
    <mergeCell ref="L10:M10"/>
    <mergeCell ref="O10:AD10"/>
    <mergeCell ref="H11:H12"/>
    <mergeCell ref="I11:I12"/>
    <mergeCell ref="J11:J12"/>
    <mergeCell ref="K11:K12"/>
    <mergeCell ref="L11:L12"/>
    <mergeCell ref="M11:M12"/>
    <mergeCell ref="O11:S11"/>
    <mergeCell ref="T11:X11"/>
    <mergeCell ref="A10:A12"/>
    <mergeCell ref="B10:B12"/>
    <mergeCell ref="C10:C12"/>
    <mergeCell ref="E10:G10"/>
    <mergeCell ref="H10:I10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0"/>
  <sheetViews>
    <sheetView topLeftCell="X136" workbookViewId="0">
      <selection activeCell="AC7" sqref="AC7"/>
    </sheetView>
  </sheetViews>
  <sheetFormatPr baseColWidth="10" defaultColWidth="11.453125" defaultRowHeight="14.5" x14ac:dyDescent="0.35"/>
  <cols>
    <col min="2" max="2" width="17.7265625" customWidth="1"/>
    <col min="3" max="3" width="18.1796875" customWidth="1"/>
    <col min="4" max="4" width="48.453125" customWidth="1"/>
    <col min="24" max="24" width="34.453125" customWidth="1"/>
    <col min="29" max="29" width="49.453125" customWidth="1"/>
  </cols>
  <sheetData>
    <row r="1" spans="1:37" ht="17.5" x14ac:dyDescent="0.35">
      <c r="A1" s="641" t="s">
        <v>0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  <c r="AE1" s="641"/>
      <c r="AF1" s="641"/>
      <c r="AG1" s="641"/>
      <c r="AH1" s="641"/>
      <c r="AI1" s="641"/>
    </row>
    <row r="2" spans="1:37" ht="17.5" x14ac:dyDescent="0.35">
      <c r="A2" s="58" t="s">
        <v>1</v>
      </c>
      <c r="B2" s="58"/>
      <c r="C2" s="58"/>
      <c r="D2" s="58"/>
      <c r="E2" s="58"/>
      <c r="F2" s="58"/>
      <c r="G2" s="58"/>
      <c r="H2" s="58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/>
      <c r="AE2" s="587"/>
      <c r="AF2" s="587"/>
      <c r="AG2" s="587"/>
      <c r="AH2" s="587"/>
      <c r="AI2" s="587"/>
      <c r="AJ2" s="59"/>
      <c r="AK2" s="59"/>
    </row>
    <row r="3" spans="1:37" ht="17.5" x14ac:dyDescent="0.35">
      <c r="A3" s="58" t="s">
        <v>290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9"/>
      <c r="AK3" s="59"/>
    </row>
    <row r="4" spans="1:37" ht="17.5" x14ac:dyDescent="0.35">
      <c r="A4" s="641" t="s">
        <v>291</v>
      </c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1"/>
      <c r="AF4" s="641"/>
      <c r="AG4" s="641"/>
      <c r="AH4" s="641"/>
      <c r="AI4" s="641"/>
      <c r="AJ4" s="59"/>
      <c r="AK4" s="59"/>
    </row>
    <row r="5" spans="1:37" ht="15.5" x14ac:dyDescent="0.35">
      <c r="A5" s="579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  <c r="T5" s="579"/>
      <c r="U5" s="579"/>
      <c r="V5" s="579"/>
      <c r="W5" s="579"/>
      <c r="X5" s="579"/>
      <c r="Y5" s="579"/>
      <c r="Z5" s="579"/>
      <c r="AA5" s="579"/>
      <c r="AB5" s="579"/>
      <c r="AC5" s="579"/>
      <c r="AD5" s="579"/>
      <c r="AE5" s="579"/>
      <c r="AF5" s="579"/>
      <c r="AG5" s="579"/>
      <c r="AH5" s="579"/>
      <c r="AI5" s="579"/>
      <c r="AJ5" s="59"/>
      <c r="AK5" s="59"/>
    </row>
    <row r="6" spans="1:37" ht="15" thickBot="1" x14ac:dyDescent="0.4">
      <c r="A6" s="60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61"/>
      <c r="Z6" s="61"/>
      <c r="AA6" s="61"/>
      <c r="AB6" s="61"/>
      <c r="AC6" s="61"/>
      <c r="AD6" s="61"/>
      <c r="AE6" s="61"/>
      <c r="AF6" s="59"/>
      <c r="AG6" s="59"/>
      <c r="AH6" s="59"/>
      <c r="AI6" s="59"/>
      <c r="AJ6" s="59"/>
      <c r="AK6" s="59"/>
    </row>
    <row r="7" spans="1:37" ht="18" thickBot="1" x14ac:dyDescent="0.4">
      <c r="A7" s="60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42" t="s">
        <v>916</v>
      </c>
      <c r="AG7" s="643"/>
      <c r="AH7" s="643"/>
      <c r="AI7" s="644"/>
      <c r="AJ7" s="59"/>
      <c r="AK7" s="59"/>
    </row>
    <row r="8" spans="1:37" ht="18" thickBot="1" x14ac:dyDescent="0.4">
      <c r="A8" s="60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45" t="s">
        <v>917</v>
      </c>
      <c r="AG8" s="646"/>
      <c r="AH8" s="647"/>
      <c r="AI8" s="648"/>
      <c r="AJ8" s="59"/>
      <c r="AK8" s="59"/>
    </row>
    <row r="9" spans="1:37" ht="15" thickBot="1" x14ac:dyDescent="0.4">
      <c r="A9" s="614"/>
      <c r="B9" s="614"/>
      <c r="C9" s="614"/>
      <c r="D9" s="614"/>
      <c r="E9" s="614"/>
      <c r="F9" s="614"/>
      <c r="G9" s="614"/>
      <c r="H9" s="614"/>
      <c r="I9" s="614"/>
      <c r="J9" s="614"/>
      <c r="K9" s="614"/>
      <c r="L9" s="614"/>
      <c r="M9" s="614"/>
      <c r="N9" s="614"/>
      <c r="O9" s="614"/>
      <c r="P9" s="614"/>
      <c r="Q9" s="614"/>
      <c r="R9" s="614"/>
      <c r="S9" s="614"/>
      <c r="T9" s="614"/>
      <c r="U9" s="614"/>
      <c r="V9" s="614"/>
      <c r="W9" s="614"/>
      <c r="X9" s="614"/>
      <c r="Y9" s="614"/>
      <c r="Z9" s="614"/>
      <c r="AA9" s="614"/>
      <c r="AB9" s="614"/>
      <c r="AC9" s="614"/>
      <c r="AD9" s="614"/>
      <c r="AE9" s="614"/>
      <c r="AF9" s="614"/>
      <c r="AG9" s="614"/>
      <c r="AH9" s="614"/>
      <c r="AI9" s="615"/>
      <c r="AJ9" s="59"/>
      <c r="AK9" s="59"/>
    </row>
    <row r="10" spans="1:37" x14ac:dyDescent="0.35">
      <c r="A10" s="654" t="s">
        <v>4</v>
      </c>
      <c r="B10" s="649" t="s">
        <v>5</v>
      </c>
      <c r="C10" s="649" t="s">
        <v>6</v>
      </c>
      <c r="D10" s="588" t="s">
        <v>918</v>
      </c>
      <c r="E10" s="649" t="s">
        <v>8</v>
      </c>
      <c r="F10" s="649"/>
      <c r="G10" s="649"/>
      <c r="H10" s="649" t="s">
        <v>9</v>
      </c>
      <c r="I10" s="649"/>
      <c r="J10" s="649" t="s">
        <v>10</v>
      </c>
      <c r="K10" s="649"/>
      <c r="L10" s="649" t="s">
        <v>11</v>
      </c>
      <c r="M10" s="649"/>
      <c r="N10" s="588" t="s">
        <v>12</v>
      </c>
      <c r="O10" s="649" t="s">
        <v>13</v>
      </c>
      <c r="P10" s="649"/>
      <c r="Q10" s="649"/>
      <c r="R10" s="649"/>
      <c r="S10" s="649"/>
      <c r="T10" s="649"/>
      <c r="U10" s="649"/>
      <c r="V10" s="649"/>
      <c r="W10" s="649"/>
      <c r="X10" s="649"/>
      <c r="Y10" s="649"/>
      <c r="Z10" s="649"/>
      <c r="AA10" s="649"/>
      <c r="AB10" s="649"/>
      <c r="AC10" s="649"/>
      <c r="AD10" s="649"/>
      <c r="AE10" s="588"/>
      <c r="AF10" s="588"/>
      <c r="AG10" s="588"/>
      <c r="AH10" s="63" t="s">
        <v>14</v>
      </c>
      <c r="AI10" s="588" t="s">
        <v>15</v>
      </c>
      <c r="AJ10" s="588" t="s">
        <v>16</v>
      </c>
      <c r="AK10" s="64" t="s">
        <v>17</v>
      </c>
    </row>
    <row r="11" spans="1:37" x14ac:dyDescent="0.35">
      <c r="A11" s="655"/>
      <c r="B11" s="650"/>
      <c r="C11" s="650"/>
      <c r="D11" s="589" t="s">
        <v>18</v>
      </c>
      <c r="E11" s="589" t="s">
        <v>19</v>
      </c>
      <c r="F11" s="589" t="s">
        <v>20</v>
      </c>
      <c r="G11" s="65" t="s">
        <v>919</v>
      </c>
      <c r="H11" s="650" t="s">
        <v>22</v>
      </c>
      <c r="I11" s="650" t="s">
        <v>23</v>
      </c>
      <c r="J11" s="650" t="s">
        <v>22</v>
      </c>
      <c r="K11" s="650" t="s">
        <v>23</v>
      </c>
      <c r="L11" s="650" t="s">
        <v>22</v>
      </c>
      <c r="M11" s="650" t="s">
        <v>23</v>
      </c>
      <c r="N11" s="589"/>
      <c r="O11" s="650" t="s">
        <v>24</v>
      </c>
      <c r="P11" s="650"/>
      <c r="Q11" s="650"/>
      <c r="R11" s="650"/>
      <c r="S11" s="650"/>
      <c r="T11" s="650" t="s">
        <v>25</v>
      </c>
      <c r="U11" s="650"/>
      <c r="V11" s="650"/>
      <c r="W11" s="650"/>
      <c r="X11" s="650"/>
      <c r="Y11" s="650" t="s">
        <v>44</v>
      </c>
      <c r="Z11" s="650"/>
      <c r="AA11" s="650"/>
      <c r="AB11" s="650"/>
      <c r="AC11" s="650"/>
      <c r="AD11" s="650"/>
      <c r="AE11" s="589" t="s">
        <v>294</v>
      </c>
      <c r="AF11" s="589" t="s">
        <v>295</v>
      </c>
      <c r="AG11" s="589" t="s">
        <v>29</v>
      </c>
      <c r="AH11" s="66" t="s">
        <v>30</v>
      </c>
      <c r="AI11" s="589" t="s">
        <v>31</v>
      </c>
      <c r="AJ11" s="589" t="s">
        <v>32</v>
      </c>
      <c r="AK11" s="67" t="s">
        <v>296</v>
      </c>
    </row>
    <row r="12" spans="1:37" x14ac:dyDescent="0.35">
      <c r="A12" s="655"/>
      <c r="B12" s="650"/>
      <c r="C12" s="650"/>
      <c r="D12" s="589" t="s">
        <v>34</v>
      </c>
      <c r="E12" s="68"/>
      <c r="F12" s="589"/>
      <c r="G12" s="589" t="s">
        <v>920</v>
      </c>
      <c r="H12" s="650"/>
      <c r="I12" s="650"/>
      <c r="J12" s="650"/>
      <c r="K12" s="650"/>
      <c r="L12" s="650"/>
      <c r="M12" s="650"/>
      <c r="N12" s="589" t="s">
        <v>297</v>
      </c>
      <c r="O12" s="589" t="s">
        <v>39</v>
      </c>
      <c r="P12" s="589" t="s">
        <v>40</v>
      </c>
      <c r="Q12" s="589" t="s">
        <v>41</v>
      </c>
      <c r="R12" s="589" t="s">
        <v>42</v>
      </c>
      <c r="S12" s="589" t="s">
        <v>43</v>
      </c>
      <c r="T12" s="589" t="s">
        <v>39</v>
      </c>
      <c r="U12" s="589" t="s">
        <v>40</v>
      </c>
      <c r="V12" s="589" t="s">
        <v>41</v>
      </c>
      <c r="W12" s="589" t="s">
        <v>42</v>
      </c>
      <c r="X12" s="589" t="s">
        <v>43</v>
      </c>
      <c r="Y12" s="589" t="s">
        <v>39</v>
      </c>
      <c r="Z12" s="589" t="s">
        <v>40</v>
      </c>
      <c r="AA12" s="589" t="s">
        <v>41</v>
      </c>
      <c r="AB12" s="589" t="s">
        <v>42</v>
      </c>
      <c r="AC12" s="589" t="s">
        <v>43</v>
      </c>
      <c r="AD12" s="589" t="s">
        <v>44</v>
      </c>
      <c r="AE12" s="589"/>
      <c r="AF12" s="589"/>
      <c r="AG12" s="589" t="s">
        <v>298</v>
      </c>
      <c r="AH12" s="66" t="s">
        <v>46</v>
      </c>
      <c r="AI12" s="589" t="s">
        <v>299</v>
      </c>
      <c r="AJ12" s="589" t="s">
        <v>48</v>
      </c>
      <c r="AK12" s="69"/>
    </row>
    <row r="13" spans="1:37" x14ac:dyDescent="0.35">
      <c r="A13" s="70" t="s">
        <v>921</v>
      </c>
      <c r="B13" s="71" t="s">
        <v>320</v>
      </c>
      <c r="C13" s="71" t="s">
        <v>320</v>
      </c>
      <c r="D13" s="71" t="s">
        <v>922</v>
      </c>
      <c r="E13" s="72">
        <v>571.79999999999995</v>
      </c>
      <c r="F13" s="72">
        <v>4002.7</v>
      </c>
      <c r="G13" s="72">
        <v>994</v>
      </c>
      <c r="H13" s="73">
        <v>41463</v>
      </c>
      <c r="I13" s="74">
        <v>0.53472222222222221</v>
      </c>
      <c r="J13" s="73">
        <v>41463</v>
      </c>
      <c r="K13" s="74">
        <v>0.54166666666666663</v>
      </c>
      <c r="L13" s="73">
        <v>41463</v>
      </c>
      <c r="M13" s="74">
        <v>0.66666666666666663</v>
      </c>
      <c r="N13" s="72" t="s">
        <v>62</v>
      </c>
      <c r="O13" s="72">
        <v>0.25</v>
      </c>
      <c r="P13" s="72">
        <v>0</v>
      </c>
      <c r="Q13" s="72">
        <v>0.25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5" t="s">
        <v>923</v>
      </c>
      <c r="Y13" s="278">
        <v>0.25</v>
      </c>
      <c r="Z13" s="278">
        <v>0</v>
      </c>
      <c r="AA13" s="278">
        <v>0.25</v>
      </c>
      <c r="AB13" s="278">
        <v>0</v>
      </c>
      <c r="AC13" s="435" t="s">
        <v>923</v>
      </c>
      <c r="AD13" s="278">
        <v>0.5</v>
      </c>
      <c r="AE13" s="76" t="s">
        <v>117</v>
      </c>
      <c r="AF13" s="76" t="s">
        <v>117</v>
      </c>
      <c r="AG13" s="77" t="s">
        <v>628</v>
      </c>
      <c r="AH13" s="76" t="s">
        <v>924</v>
      </c>
      <c r="AI13" s="77" t="s">
        <v>304</v>
      </c>
      <c r="AJ13" s="78">
        <v>5000</v>
      </c>
      <c r="AK13" s="79" t="s">
        <v>305</v>
      </c>
    </row>
    <row r="14" spans="1:37" x14ac:dyDescent="0.35">
      <c r="A14" s="70" t="s">
        <v>925</v>
      </c>
      <c r="B14" s="71" t="s">
        <v>281</v>
      </c>
      <c r="C14" s="71" t="s">
        <v>307</v>
      </c>
      <c r="D14" s="71" t="s">
        <v>926</v>
      </c>
      <c r="E14" s="72">
        <v>332.9</v>
      </c>
      <c r="F14" s="72">
        <v>635.29999999999995</v>
      </c>
      <c r="G14" s="72">
        <v>440</v>
      </c>
      <c r="H14" s="73">
        <v>41466</v>
      </c>
      <c r="I14" s="74">
        <v>0.60416666666666663</v>
      </c>
      <c r="J14" s="73">
        <v>41466</v>
      </c>
      <c r="K14" s="74">
        <v>0.60763888888888895</v>
      </c>
      <c r="L14" s="73">
        <v>41466</v>
      </c>
      <c r="M14" s="74">
        <v>0.68055555555555547</v>
      </c>
      <c r="N14" s="72" t="s">
        <v>62</v>
      </c>
      <c r="O14" s="72">
        <v>1</v>
      </c>
      <c r="P14" s="72">
        <v>0</v>
      </c>
      <c r="Q14" s="72">
        <v>0</v>
      </c>
      <c r="R14" s="72">
        <v>0</v>
      </c>
      <c r="S14" s="72" t="s">
        <v>927</v>
      </c>
      <c r="T14" s="72">
        <v>0</v>
      </c>
      <c r="U14" s="72">
        <v>0</v>
      </c>
      <c r="V14" s="72">
        <v>0</v>
      </c>
      <c r="W14" s="72">
        <v>0</v>
      </c>
      <c r="X14" s="75" t="s">
        <v>928</v>
      </c>
      <c r="Y14" s="278">
        <v>1</v>
      </c>
      <c r="Z14" s="278">
        <v>0</v>
      </c>
      <c r="AA14" s="278">
        <v>0</v>
      </c>
      <c r="AB14" s="278">
        <v>0</v>
      </c>
      <c r="AC14" s="435" t="s">
        <v>928</v>
      </c>
      <c r="AD14" s="278">
        <v>1</v>
      </c>
      <c r="AE14" s="77" t="s">
        <v>368</v>
      </c>
      <c r="AF14" s="77" t="s">
        <v>117</v>
      </c>
      <c r="AG14" s="77" t="s">
        <v>493</v>
      </c>
      <c r="AH14" s="80" t="s">
        <v>929</v>
      </c>
      <c r="AI14" s="77" t="s">
        <v>304</v>
      </c>
      <c r="AJ14" s="78">
        <v>12300</v>
      </c>
      <c r="AK14" s="79" t="s">
        <v>305</v>
      </c>
    </row>
    <row r="15" spans="1:37" x14ac:dyDescent="0.35">
      <c r="A15" s="70" t="s">
        <v>930</v>
      </c>
      <c r="B15" s="71" t="s">
        <v>281</v>
      </c>
      <c r="C15" s="71" t="s">
        <v>282</v>
      </c>
      <c r="D15" s="71" t="s">
        <v>931</v>
      </c>
      <c r="E15" s="76">
        <v>608.70000000000005</v>
      </c>
      <c r="F15" s="76">
        <v>4031.6</v>
      </c>
      <c r="G15" s="76">
        <v>1080</v>
      </c>
      <c r="H15" s="81">
        <v>41467</v>
      </c>
      <c r="I15" s="82">
        <v>0.73958333333333337</v>
      </c>
      <c r="J15" s="81">
        <v>41467</v>
      </c>
      <c r="K15" s="82">
        <v>0.73958333333333337</v>
      </c>
      <c r="L15" s="81">
        <v>41467</v>
      </c>
      <c r="M15" s="82">
        <v>0.85416666666666663</v>
      </c>
      <c r="N15" s="76" t="s">
        <v>81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1</v>
      </c>
      <c r="V15" s="76">
        <v>0</v>
      </c>
      <c r="W15" s="76">
        <v>0</v>
      </c>
      <c r="X15" s="83" t="s">
        <v>932</v>
      </c>
      <c r="Y15" s="77">
        <v>0</v>
      </c>
      <c r="Z15" s="77">
        <v>1</v>
      </c>
      <c r="AA15" s="77">
        <v>0</v>
      </c>
      <c r="AB15" s="77">
        <v>0</v>
      </c>
      <c r="AC15" s="436" t="s">
        <v>932</v>
      </c>
      <c r="AD15" s="77">
        <v>1</v>
      </c>
      <c r="AE15" s="77" t="s">
        <v>368</v>
      </c>
      <c r="AF15" s="77" t="s">
        <v>117</v>
      </c>
      <c r="AG15" s="84" t="s">
        <v>57</v>
      </c>
      <c r="AH15" s="80" t="s">
        <v>933</v>
      </c>
      <c r="AI15" s="77" t="s">
        <v>304</v>
      </c>
      <c r="AJ15" s="78">
        <v>5460</v>
      </c>
      <c r="AK15" s="79" t="s">
        <v>305</v>
      </c>
    </row>
    <row r="16" spans="1:37" x14ac:dyDescent="0.35">
      <c r="A16" s="85" t="s">
        <v>934</v>
      </c>
      <c r="B16" s="71" t="s">
        <v>344</v>
      </c>
      <c r="C16" s="71" t="s">
        <v>345</v>
      </c>
      <c r="D16" s="71" t="s">
        <v>935</v>
      </c>
      <c r="E16" s="76">
        <v>4003.7</v>
      </c>
      <c r="F16" s="76">
        <v>555.20000000000005</v>
      </c>
      <c r="G16" s="76">
        <v>1096</v>
      </c>
      <c r="H16" s="81">
        <v>406715</v>
      </c>
      <c r="I16" s="82">
        <v>0.77083333333333337</v>
      </c>
      <c r="J16" s="81">
        <v>406715</v>
      </c>
      <c r="K16" s="82">
        <v>0.78125</v>
      </c>
      <c r="L16" s="81">
        <v>41473</v>
      </c>
      <c r="M16" s="82">
        <v>0.8125</v>
      </c>
      <c r="N16" s="76" t="s">
        <v>81</v>
      </c>
      <c r="O16" s="76">
        <v>0</v>
      </c>
      <c r="P16" s="76">
        <v>1.5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83" t="s">
        <v>936</v>
      </c>
      <c r="Y16" s="77">
        <v>0</v>
      </c>
      <c r="Z16" s="77">
        <v>1.5</v>
      </c>
      <c r="AA16" s="77">
        <v>0</v>
      </c>
      <c r="AB16" s="77">
        <v>0</v>
      </c>
      <c r="AC16" s="436" t="s">
        <v>936</v>
      </c>
      <c r="AD16" s="77">
        <v>1.5</v>
      </c>
      <c r="AE16" s="76" t="s">
        <v>117</v>
      </c>
      <c r="AF16" s="76" t="s">
        <v>117</v>
      </c>
      <c r="AG16" s="77" t="s">
        <v>628</v>
      </c>
      <c r="AH16" s="76" t="s">
        <v>937</v>
      </c>
      <c r="AI16" s="77" t="s">
        <v>938</v>
      </c>
      <c r="AJ16" s="78">
        <v>15000</v>
      </c>
      <c r="AK16" s="79" t="s">
        <v>305</v>
      </c>
    </row>
    <row r="17" spans="1:37" x14ac:dyDescent="0.35">
      <c r="A17" s="85" t="s">
        <v>939</v>
      </c>
      <c r="B17" s="71" t="s">
        <v>281</v>
      </c>
      <c r="C17" s="71" t="s">
        <v>353</v>
      </c>
      <c r="D17" s="71" t="s">
        <v>354</v>
      </c>
      <c r="E17" s="76">
        <v>4018.45</v>
      </c>
      <c r="F17" s="76">
        <v>620.70000000000005</v>
      </c>
      <c r="G17" s="76">
        <v>440</v>
      </c>
      <c r="H17" s="81">
        <v>41475</v>
      </c>
      <c r="I17" s="82">
        <v>0.55555555555555558</v>
      </c>
      <c r="J17" s="81">
        <v>41475</v>
      </c>
      <c r="K17" s="82">
        <v>0.55902777777777779</v>
      </c>
      <c r="L17" s="81">
        <v>41475</v>
      </c>
      <c r="M17" s="82">
        <v>0.6875</v>
      </c>
      <c r="N17" s="72" t="s">
        <v>62</v>
      </c>
      <c r="O17" s="76">
        <v>5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83" t="s">
        <v>940</v>
      </c>
      <c r="Y17" s="77">
        <v>5</v>
      </c>
      <c r="Z17" s="77">
        <v>0</v>
      </c>
      <c r="AA17" s="77">
        <v>0</v>
      </c>
      <c r="AB17" s="77">
        <v>0</v>
      </c>
      <c r="AC17" s="436" t="s">
        <v>940</v>
      </c>
      <c r="AD17" s="77">
        <v>5</v>
      </c>
      <c r="AE17" s="77" t="s">
        <v>368</v>
      </c>
      <c r="AF17" s="77" t="s">
        <v>117</v>
      </c>
      <c r="AG17" s="77" t="s">
        <v>72</v>
      </c>
      <c r="AH17" s="76" t="s">
        <v>941</v>
      </c>
      <c r="AI17" s="77" t="s">
        <v>304</v>
      </c>
      <c r="AJ17" s="78">
        <v>123500</v>
      </c>
      <c r="AK17" s="79" t="s">
        <v>305</v>
      </c>
    </row>
    <row r="18" spans="1:37" x14ac:dyDescent="0.35">
      <c r="A18" s="85" t="s">
        <v>942</v>
      </c>
      <c r="B18" s="86" t="s">
        <v>301</v>
      </c>
      <c r="C18" s="71" t="s">
        <v>301</v>
      </c>
      <c r="D18" s="71" t="s">
        <v>943</v>
      </c>
      <c r="E18" s="76">
        <v>4029.8</v>
      </c>
      <c r="F18" s="76">
        <v>578.9</v>
      </c>
      <c r="G18" s="76">
        <v>590</v>
      </c>
      <c r="H18" s="81">
        <v>41479</v>
      </c>
      <c r="I18" s="82">
        <v>0.61111111111111105</v>
      </c>
      <c r="J18" s="81">
        <v>41479</v>
      </c>
      <c r="K18" s="82">
        <v>0.61458333333333337</v>
      </c>
      <c r="L18" s="81">
        <v>41479</v>
      </c>
      <c r="M18" s="82">
        <v>0.69097222222222221</v>
      </c>
      <c r="N18" s="76" t="s">
        <v>165</v>
      </c>
      <c r="O18" s="76">
        <v>0.5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83" t="s">
        <v>944</v>
      </c>
      <c r="Y18" s="77">
        <v>0.5</v>
      </c>
      <c r="Z18" s="77">
        <v>0</v>
      </c>
      <c r="AA18" s="77">
        <v>0</v>
      </c>
      <c r="AB18" s="77">
        <v>0</v>
      </c>
      <c r="AC18" s="436" t="s">
        <v>944</v>
      </c>
      <c r="AD18" s="77">
        <v>0.5</v>
      </c>
      <c r="AE18" s="76" t="s">
        <v>117</v>
      </c>
      <c r="AF18" s="76" t="s">
        <v>117</v>
      </c>
      <c r="AG18" s="77" t="s">
        <v>57</v>
      </c>
      <c r="AH18" s="80" t="s">
        <v>945</v>
      </c>
      <c r="AI18" s="77" t="s">
        <v>304</v>
      </c>
      <c r="AJ18" s="78">
        <v>1800</v>
      </c>
      <c r="AK18" s="79" t="s">
        <v>305</v>
      </c>
    </row>
    <row r="19" spans="1:37" x14ac:dyDescent="0.35">
      <c r="A19" s="85" t="s">
        <v>946</v>
      </c>
      <c r="B19" s="71" t="s">
        <v>344</v>
      </c>
      <c r="C19" s="71" t="s">
        <v>344</v>
      </c>
      <c r="D19" s="71" t="s">
        <v>935</v>
      </c>
      <c r="E19" s="76">
        <v>3999.1</v>
      </c>
      <c r="F19" s="76">
        <v>563.5</v>
      </c>
      <c r="G19" s="76">
        <v>927</v>
      </c>
      <c r="H19" s="81">
        <v>41481</v>
      </c>
      <c r="I19" s="82">
        <v>0.75</v>
      </c>
      <c r="J19" s="81">
        <v>41481</v>
      </c>
      <c r="K19" s="82">
        <v>0.77777777777777779</v>
      </c>
      <c r="L19" s="81">
        <v>41481</v>
      </c>
      <c r="M19" s="82">
        <v>0.79166666666666663</v>
      </c>
      <c r="N19" s="72" t="s">
        <v>62</v>
      </c>
      <c r="O19" s="76">
        <v>0.5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83" t="s">
        <v>947</v>
      </c>
      <c r="Y19" s="77">
        <v>0.5</v>
      </c>
      <c r="Z19" s="77">
        <v>0</v>
      </c>
      <c r="AA19" s="77">
        <v>0</v>
      </c>
      <c r="AB19" s="77">
        <v>0</v>
      </c>
      <c r="AC19" s="436" t="s">
        <v>947</v>
      </c>
      <c r="AD19" s="77">
        <v>0.5</v>
      </c>
      <c r="AE19" s="76" t="s">
        <v>117</v>
      </c>
      <c r="AF19" s="76" t="s">
        <v>117</v>
      </c>
      <c r="AG19" s="77" t="s">
        <v>628</v>
      </c>
      <c r="AH19" s="77" t="s">
        <v>948</v>
      </c>
      <c r="AI19" s="77" t="s">
        <v>304</v>
      </c>
      <c r="AJ19" s="78">
        <v>5000</v>
      </c>
      <c r="AK19" s="79" t="s">
        <v>305</v>
      </c>
    </row>
    <row r="20" spans="1:37" x14ac:dyDescent="0.35">
      <c r="A20" s="85" t="s">
        <v>949</v>
      </c>
      <c r="B20" s="71" t="s">
        <v>344</v>
      </c>
      <c r="C20" s="71" t="s">
        <v>344</v>
      </c>
      <c r="D20" s="71" t="s">
        <v>950</v>
      </c>
      <c r="E20" s="76">
        <v>562</v>
      </c>
      <c r="F20" s="76">
        <v>4007.5</v>
      </c>
      <c r="G20" s="76">
        <v>890</v>
      </c>
      <c r="H20" s="81">
        <v>41482</v>
      </c>
      <c r="I20" s="82">
        <v>0.4909722222222222</v>
      </c>
      <c r="J20" s="81">
        <v>41482</v>
      </c>
      <c r="K20" s="82">
        <v>0.50347222222222221</v>
      </c>
      <c r="L20" s="81">
        <v>41482</v>
      </c>
      <c r="M20" s="82">
        <v>0.52083333333333337</v>
      </c>
      <c r="N20" s="76" t="s">
        <v>81</v>
      </c>
      <c r="O20" s="76">
        <v>0</v>
      </c>
      <c r="P20" s="76">
        <v>1.5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83" t="s">
        <v>951</v>
      </c>
      <c r="Y20" s="77">
        <v>0</v>
      </c>
      <c r="Z20" s="77">
        <v>1.5</v>
      </c>
      <c r="AA20" s="77">
        <v>0</v>
      </c>
      <c r="AB20" s="77">
        <v>0</v>
      </c>
      <c r="AC20" s="436" t="s">
        <v>951</v>
      </c>
      <c r="AD20" s="77">
        <v>1.5</v>
      </c>
      <c r="AE20" s="76" t="s">
        <v>117</v>
      </c>
      <c r="AF20" s="76" t="s">
        <v>117</v>
      </c>
      <c r="AG20" s="77" t="s">
        <v>554</v>
      </c>
      <c r="AH20" s="77" t="s">
        <v>948</v>
      </c>
      <c r="AI20" s="77" t="s">
        <v>304</v>
      </c>
      <c r="AJ20" s="78">
        <v>7500</v>
      </c>
      <c r="AK20" s="79" t="s">
        <v>305</v>
      </c>
    </row>
    <row r="21" spans="1:37" x14ac:dyDescent="0.35">
      <c r="A21" s="85" t="s">
        <v>952</v>
      </c>
      <c r="B21" s="71" t="s">
        <v>286</v>
      </c>
      <c r="C21" s="87" t="s">
        <v>953</v>
      </c>
      <c r="D21" s="71" t="s">
        <v>954</v>
      </c>
      <c r="E21" s="76">
        <v>4006.75</v>
      </c>
      <c r="F21" s="76">
        <v>597.75</v>
      </c>
      <c r="G21" s="76">
        <v>840</v>
      </c>
      <c r="H21" s="81">
        <v>41482</v>
      </c>
      <c r="I21" s="82">
        <v>0.67361111111111116</v>
      </c>
      <c r="J21" s="81">
        <v>41482</v>
      </c>
      <c r="K21" s="82">
        <v>0.67708333333333337</v>
      </c>
      <c r="L21" s="81">
        <v>41482</v>
      </c>
      <c r="M21" s="82">
        <v>0.70833333333333337</v>
      </c>
      <c r="N21" s="76" t="s">
        <v>41</v>
      </c>
      <c r="O21" s="76">
        <v>0</v>
      </c>
      <c r="P21" s="76">
        <v>0</v>
      </c>
      <c r="Q21" s="76">
        <v>1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83" t="s">
        <v>955</v>
      </c>
      <c r="Y21" s="77">
        <v>0</v>
      </c>
      <c r="Z21" s="77">
        <v>0</v>
      </c>
      <c r="AA21" s="77">
        <v>1</v>
      </c>
      <c r="AB21" s="77">
        <v>0</v>
      </c>
      <c r="AC21" s="436" t="s">
        <v>955</v>
      </c>
      <c r="AD21" s="77">
        <v>1</v>
      </c>
      <c r="AE21" s="77" t="s">
        <v>368</v>
      </c>
      <c r="AF21" s="77" t="s">
        <v>117</v>
      </c>
      <c r="AG21" s="77" t="s">
        <v>57</v>
      </c>
      <c r="AH21" s="76" t="s">
        <v>956</v>
      </c>
      <c r="AI21" s="77" t="s">
        <v>304</v>
      </c>
      <c r="AJ21" s="78">
        <v>1709</v>
      </c>
      <c r="AK21" s="79" t="s">
        <v>305</v>
      </c>
    </row>
    <row r="22" spans="1:37" x14ac:dyDescent="0.35">
      <c r="A22" s="85" t="s">
        <v>957</v>
      </c>
      <c r="B22" s="71" t="s">
        <v>344</v>
      </c>
      <c r="C22" s="71" t="s">
        <v>344</v>
      </c>
      <c r="D22" s="71" t="s">
        <v>958</v>
      </c>
      <c r="E22" s="76">
        <v>4003.8</v>
      </c>
      <c r="F22" s="76">
        <v>56.9</v>
      </c>
      <c r="G22" s="76">
        <v>928</v>
      </c>
      <c r="H22" s="81">
        <v>41483</v>
      </c>
      <c r="I22" s="82">
        <v>0.4861111111111111</v>
      </c>
      <c r="J22" s="81">
        <v>41483</v>
      </c>
      <c r="K22" s="82">
        <v>0.49652777777777773</v>
      </c>
      <c r="L22" s="81">
        <v>41483</v>
      </c>
      <c r="M22" s="82">
        <v>0.52777777777777779</v>
      </c>
      <c r="N22" s="72" t="s">
        <v>62</v>
      </c>
      <c r="O22" s="76">
        <v>1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83" t="s">
        <v>959</v>
      </c>
      <c r="Y22" s="77">
        <v>1</v>
      </c>
      <c r="Z22" s="77">
        <v>0</v>
      </c>
      <c r="AA22" s="77">
        <v>0</v>
      </c>
      <c r="AB22" s="77">
        <v>0</v>
      </c>
      <c r="AC22" s="436" t="s">
        <v>959</v>
      </c>
      <c r="AD22" s="77">
        <v>1</v>
      </c>
      <c r="AE22" s="76" t="s">
        <v>117</v>
      </c>
      <c r="AF22" s="76" t="s">
        <v>117</v>
      </c>
      <c r="AG22" s="77" t="s">
        <v>628</v>
      </c>
      <c r="AH22" s="76" t="s">
        <v>924</v>
      </c>
      <c r="AI22" s="77" t="s">
        <v>304</v>
      </c>
      <c r="AJ22" s="78">
        <v>12500</v>
      </c>
      <c r="AK22" s="79" t="s">
        <v>305</v>
      </c>
    </row>
    <row r="23" spans="1:37" x14ac:dyDescent="0.35">
      <c r="A23" s="85" t="s">
        <v>960</v>
      </c>
      <c r="B23" s="71" t="s">
        <v>281</v>
      </c>
      <c r="C23" s="71" t="s">
        <v>282</v>
      </c>
      <c r="D23" s="71" t="s">
        <v>961</v>
      </c>
      <c r="E23" s="76">
        <v>4029.8</v>
      </c>
      <c r="F23" s="76">
        <v>612.20000000000005</v>
      </c>
      <c r="G23" s="76">
        <v>923</v>
      </c>
      <c r="H23" s="81">
        <v>41483</v>
      </c>
      <c r="I23" s="82">
        <v>0.45833333333333331</v>
      </c>
      <c r="J23" s="81">
        <v>41483</v>
      </c>
      <c r="K23" s="82">
        <v>0.46527777777777773</v>
      </c>
      <c r="L23" s="81">
        <v>41483</v>
      </c>
      <c r="M23" s="82">
        <v>0.75</v>
      </c>
      <c r="N23" s="76" t="s">
        <v>81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10</v>
      </c>
      <c r="V23" s="76">
        <v>0</v>
      </c>
      <c r="W23" s="76">
        <v>0</v>
      </c>
      <c r="X23" s="83" t="s">
        <v>962</v>
      </c>
      <c r="Y23" s="77">
        <v>0</v>
      </c>
      <c r="Z23" s="77">
        <v>10</v>
      </c>
      <c r="AA23" s="77">
        <v>0</v>
      </c>
      <c r="AB23" s="77">
        <v>0</v>
      </c>
      <c r="AC23" s="436" t="s">
        <v>962</v>
      </c>
      <c r="AD23" s="77">
        <v>10</v>
      </c>
      <c r="AE23" s="77" t="s">
        <v>368</v>
      </c>
      <c r="AF23" s="77" t="s">
        <v>117</v>
      </c>
      <c r="AG23" s="77" t="s">
        <v>72</v>
      </c>
      <c r="AH23" s="80" t="s">
        <v>963</v>
      </c>
      <c r="AI23" s="77" t="s">
        <v>964</v>
      </c>
      <c r="AJ23" s="78">
        <v>23930</v>
      </c>
      <c r="AK23" s="79" t="s">
        <v>305</v>
      </c>
    </row>
    <row r="24" spans="1:37" x14ac:dyDescent="0.35">
      <c r="A24" s="85" t="s">
        <v>965</v>
      </c>
      <c r="B24" s="71" t="s">
        <v>286</v>
      </c>
      <c r="C24" s="87" t="s">
        <v>953</v>
      </c>
      <c r="D24" s="71" t="s">
        <v>954</v>
      </c>
      <c r="E24" s="72">
        <v>4009.25</v>
      </c>
      <c r="F24" s="72">
        <v>595.75</v>
      </c>
      <c r="G24" s="72">
        <v>715</v>
      </c>
      <c r="H24" s="81">
        <v>41483</v>
      </c>
      <c r="I24" s="82">
        <v>0.60416666666666663</v>
      </c>
      <c r="J24" s="81">
        <v>41483</v>
      </c>
      <c r="K24" s="82">
        <v>0.60763888888888895</v>
      </c>
      <c r="L24" s="81">
        <v>41483</v>
      </c>
      <c r="M24" s="82">
        <v>0.65277777777777779</v>
      </c>
      <c r="N24" s="76" t="s">
        <v>41</v>
      </c>
      <c r="O24" s="76">
        <v>0</v>
      </c>
      <c r="P24" s="76">
        <v>0</v>
      </c>
      <c r="Q24" s="76">
        <v>0.5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83" t="s">
        <v>966</v>
      </c>
      <c r="Y24" s="77">
        <v>0</v>
      </c>
      <c r="Z24" s="77">
        <v>0</v>
      </c>
      <c r="AA24" s="77">
        <v>0.5</v>
      </c>
      <c r="AB24" s="77">
        <v>0</v>
      </c>
      <c r="AC24" s="436" t="s">
        <v>966</v>
      </c>
      <c r="AD24" s="77">
        <v>0.5</v>
      </c>
      <c r="AE24" s="77" t="s">
        <v>368</v>
      </c>
      <c r="AF24" s="77" t="s">
        <v>117</v>
      </c>
      <c r="AG24" s="77" t="s">
        <v>57</v>
      </c>
      <c r="AH24" s="76" t="s">
        <v>967</v>
      </c>
      <c r="AI24" s="77" t="s">
        <v>304</v>
      </c>
      <c r="AJ24" s="78">
        <v>1500</v>
      </c>
      <c r="AK24" s="79" t="s">
        <v>305</v>
      </c>
    </row>
    <row r="25" spans="1:37" x14ac:dyDescent="0.35">
      <c r="A25" s="85" t="s">
        <v>968</v>
      </c>
      <c r="B25" s="88" t="s">
        <v>626</v>
      </c>
      <c r="C25" s="88" t="s">
        <v>626</v>
      </c>
      <c r="D25" s="71" t="s">
        <v>969</v>
      </c>
      <c r="E25" s="72">
        <v>3996.2</v>
      </c>
      <c r="F25" s="76">
        <v>582.20000000000005</v>
      </c>
      <c r="G25" s="76">
        <v>971</v>
      </c>
      <c r="H25" s="81">
        <v>41484</v>
      </c>
      <c r="I25" s="82">
        <v>0.39583333333333331</v>
      </c>
      <c r="J25" s="81">
        <v>41484</v>
      </c>
      <c r="K25" s="82">
        <v>0.40625</v>
      </c>
      <c r="L25" s="81">
        <v>41484</v>
      </c>
      <c r="M25" s="82">
        <v>0.61805555555555558</v>
      </c>
      <c r="N25" s="72" t="s">
        <v>62</v>
      </c>
      <c r="O25" s="76">
        <v>1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83" t="s">
        <v>970</v>
      </c>
      <c r="Y25" s="77">
        <v>1</v>
      </c>
      <c r="Z25" s="77">
        <v>0</v>
      </c>
      <c r="AA25" s="77">
        <v>0</v>
      </c>
      <c r="AB25" s="77">
        <v>0</v>
      </c>
      <c r="AC25" s="436" t="s">
        <v>970</v>
      </c>
      <c r="AD25" s="77">
        <v>1</v>
      </c>
      <c r="AE25" s="76" t="s">
        <v>117</v>
      </c>
      <c r="AF25" s="76" t="s">
        <v>117</v>
      </c>
      <c r="AG25" s="77" t="s">
        <v>628</v>
      </c>
      <c r="AH25" s="76" t="s">
        <v>948</v>
      </c>
      <c r="AI25" s="77" t="s">
        <v>304</v>
      </c>
      <c r="AJ25" s="78">
        <v>8750</v>
      </c>
      <c r="AK25" s="79" t="s">
        <v>305</v>
      </c>
    </row>
    <row r="26" spans="1:37" x14ac:dyDescent="0.35">
      <c r="A26" s="85" t="s">
        <v>971</v>
      </c>
      <c r="B26" s="89" t="s">
        <v>626</v>
      </c>
      <c r="C26" s="89" t="s">
        <v>626</v>
      </c>
      <c r="D26" s="71" t="s">
        <v>969</v>
      </c>
      <c r="E26" s="72">
        <v>3996.3</v>
      </c>
      <c r="F26" s="76">
        <v>581.9</v>
      </c>
      <c r="G26" s="76">
        <v>951</v>
      </c>
      <c r="H26" s="81">
        <v>41485</v>
      </c>
      <c r="I26" s="82">
        <v>0.39583333333333331</v>
      </c>
      <c r="J26" s="81">
        <v>41485</v>
      </c>
      <c r="K26" s="82">
        <v>0.40625</v>
      </c>
      <c r="L26" s="81">
        <v>41485</v>
      </c>
      <c r="M26" s="82">
        <v>0.54166666666666663</v>
      </c>
      <c r="N26" s="72" t="s">
        <v>62</v>
      </c>
      <c r="O26" s="76">
        <v>0.5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83" t="s">
        <v>972</v>
      </c>
      <c r="Y26" s="77">
        <v>0.5</v>
      </c>
      <c r="Z26" s="77">
        <v>0</v>
      </c>
      <c r="AA26" s="77">
        <v>0</v>
      </c>
      <c r="AB26" s="77">
        <v>0</v>
      </c>
      <c r="AC26" s="436" t="s">
        <v>972</v>
      </c>
      <c r="AD26" s="77">
        <v>0.5</v>
      </c>
      <c r="AE26" s="76" t="s">
        <v>117</v>
      </c>
      <c r="AF26" s="76" t="s">
        <v>117</v>
      </c>
      <c r="AG26" s="77" t="s">
        <v>628</v>
      </c>
      <c r="AH26" s="76" t="s">
        <v>924</v>
      </c>
      <c r="AI26" s="77" t="s">
        <v>304</v>
      </c>
      <c r="AJ26" s="78">
        <v>7500</v>
      </c>
      <c r="AK26" s="79" t="s">
        <v>305</v>
      </c>
    </row>
    <row r="27" spans="1:37" x14ac:dyDescent="0.35">
      <c r="A27" s="85" t="s">
        <v>973</v>
      </c>
      <c r="B27" s="90" t="s">
        <v>626</v>
      </c>
      <c r="C27" s="87" t="s">
        <v>974</v>
      </c>
      <c r="D27" s="86" t="s">
        <v>975</v>
      </c>
      <c r="E27" s="84">
        <v>3797.5</v>
      </c>
      <c r="F27" s="84">
        <v>592.6</v>
      </c>
      <c r="G27" s="84">
        <v>927</v>
      </c>
      <c r="H27" s="91">
        <v>41487</v>
      </c>
      <c r="I27" s="92">
        <v>0.47916666666666669</v>
      </c>
      <c r="J27" s="91">
        <v>41487</v>
      </c>
      <c r="K27" s="92">
        <v>0.48958333333333331</v>
      </c>
      <c r="L27" s="91">
        <v>41487</v>
      </c>
      <c r="M27" s="92">
        <v>0.65625</v>
      </c>
      <c r="N27" s="84" t="s">
        <v>62</v>
      </c>
      <c r="O27" s="84">
        <v>2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75">
        <v>0</v>
      </c>
      <c r="Y27" s="77">
        <v>2</v>
      </c>
      <c r="Z27" s="77">
        <v>0</v>
      </c>
      <c r="AA27" s="77">
        <v>0</v>
      </c>
      <c r="AB27" s="77">
        <v>0</v>
      </c>
      <c r="AC27" s="435">
        <v>0</v>
      </c>
      <c r="AD27" s="77">
        <v>2</v>
      </c>
      <c r="AE27" s="84" t="s">
        <v>117</v>
      </c>
      <c r="AF27" s="84" t="s">
        <v>117</v>
      </c>
      <c r="AG27" s="84" t="s">
        <v>72</v>
      </c>
      <c r="AH27" s="84" t="s">
        <v>937</v>
      </c>
      <c r="AI27" s="84" t="s">
        <v>304</v>
      </c>
      <c r="AJ27" s="93">
        <v>15000</v>
      </c>
      <c r="AK27" s="94" t="s">
        <v>305</v>
      </c>
    </row>
    <row r="28" spans="1:37" x14ac:dyDescent="0.35">
      <c r="A28" s="85" t="s">
        <v>976</v>
      </c>
      <c r="B28" s="90" t="s">
        <v>626</v>
      </c>
      <c r="C28" s="87" t="s">
        <v>434</v>
      </c>
      <c r="D28" s="86" t="s">
        <v>977</v>
      </c>
      <c r="E28" s="84">
        <v>3989.7</v>
      </c>
      <c r="F28" s="84">
        <v>588.70000000000005</v>
      </c>
      <c r="G28" s="84">
        <v>858</v>
      </c>
      <c r="H28" s="91" t="s">
        <v>978</v>
      </c>
      <c r="I28" s="92">
        <v>0.79166666666666663</v>
      </c>
      <c r="J28" s="91" t="s">
        <v>978</v>
      </c>
      <c r="K28" s="92">
        <v>0.80208333333333337</v>
      </c>
      <c r="L28" s="91">
        <v>41487</v>
      </c>
      <c r="M28" s="92">
        <v>0.81597222222222221</v>
      </c>
      <c r="N28" s="84" t="s">
        <v>62</v>
      </c>
      <c r="O28" s="84">
        <v>0.5</v>
      </c>
      <c r="P28" s="84">
        <v>0</v>
      </c>
      <c r="Q28" s="84">
        <v>0</v>
      </c>
      <c r="R28" s="84">
        <v>0</v>
      </c>
      <c r="S28" s="84">
        <v>0</v>
      </c>
      <c r="T28" s="84">
        <v>0</v>
      </c>
      <c r="U28" s="84">
        <v>0</v>
      </c>
      <c r="V28" s="84">
        <v>0</v>
      </c>
      <c r="W28" s="84">
        <v>0</v>
      </c>
      <c r="X28" s="75">
        <v>0</v>
      </c>
      <c r="Y28" s="77">
        <v>0.5</v>
      </c>
      <c r="Z28" s="77">
        <v>0</v>
      </c>
      <c r="AA28" s="77">
        <v>0</v>
      </c>
      <c r="AB28" s="77">
        <v>0</v>
      </c>
      <c r="AC28" s="435">
        <v>0</v>
      </c>
      <c r="AD28" s="77">
        <v>0.5</v>
      </c>
      <c r="AE28" s="84" t="s">
        <v>117</v>
      </c>
      <c r="AF28" s="84" t="s">
        <v>117</v>
      </c>
      <c r="AG28" s="84" t="s">
        <v>628</v>
      </c>
      <c r="AH28" s="84" t="s">
        <v>937</v>
      </c>
      <c r="AI28" s="84" t="s">
        <v>304</v>
      </c>
      <c r="AJ28" s="93">
        <v>6250</v>
      </c>
      <c r="AK28" s="94" t="s">
        <v>305</v>
      </c>
    </row>
    <row r="29" spans="1:37" x14ac:dyDescent="0.35">
      <c r="A29" s="85" t="s">
        <v>979</v>
      </c>
      <c r="B29" s="86" t="s">
        <v>286</v>
      </c>
      <c r="C29" s="86" t="s">
        <v>414</v>
      </c>
      <c r="D29" s="86" t="s">
        <v>980</v>
      </c>
      <c r="E29" s="84">
        <v>616.70000000000005</v>
      </c>
      <c r="F29" s="84">
        <v>340.9</v>
      </c>
      <c r="G29" s="84">
        <v>620</v>
      </c>
      <c r="H29" s="91">
        <v>41490</v>
      </c>
      <c r="I29" s="92">
        <v>0.57291666666666663</v>
      </c>
      <c r="J29" s="91">
        <v>41490</v>
      </c>
      <c r="K29" s="92">
        <v>0.57986111111111105</v>
      </c>
      <c r="L29" s="91">
        <v>41490</v>
      </c>
      <c r="M29" s="92">
        <v>0.72569444444444453</v>
      </c>
      <c r="N29" s="84" t="s">
        <v>62</v>
      </c>
      <c r="O29" s="84">
        <v>3.5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95" t="s">
        <v>981</v>
      </c>
      <c r="Y29" s="77">
        <v>3.5</v>
      </c>
      <c r="Z29" s="77">
        <v>0</v>
      </c>
      <c r="AA29" s="77">
        <v>0</v>
      </c>
      <c r="AB29" s="77">
        <v>0</v>
      </c>
      <c r="AC29" s="437" t="s">
        <v>981</v>
      </c>
      <c r="AD29" s="77">
        <v>3.5</v>
      </c>
      <c r="AE29" s="84" t="s">
        <v>117</v>
      </c>
      <c r="AF29" s="84" t="s">
        <v>117</v>
      </c>
      <c r="AG29" s="84" t="s">
        <v>57</v>
      </c>
      <c r="AH29" s="96" t="s">
        <v>982</v>
      </c>
      <c r="AI29" s="84" t="s">
        <v>304</v>
      </c>
      <c r="AJ29" s="97">
        <v>490000</v>
      </c>
      <c r="AK29" s="94" t="s">
        <v>305</v>
      </c>
    </row>
    <row r="30" spans="1:37" x14ac:dyDescent="0.35">
      <c r="A30" s="85" t="s">
        <v>983</v>
      </c>
      <c r="B30" s="86" t="s">
        <v>286</v>
      </c>
      <c r="C30" s="87" t="s">
        <v>953</v>
      </c>
      <c r="D30" s="86" t="s">
        <v>984</v>
      </c>
      <c r="E30" s="84">
        <v>622.79999999999995</v>
      </c>
      <c r="F30" s="84">
        <v>332.6</v>
      </c>
      <c r="G30" s="84">
        <v>670</v>
      </c>
      <c r="H30" s="91">
        <v>41490</v>
      </c>
      <c r="I30" s="92">
        <v>0.6645833333333333</v>
      </c>
      <c r="J30" s="91">
        <v>41490</v>
      </c>
      <c r="K30" s="92">
        <v>0.67013888888888884</v>
      </c>
      <c r="L30" s="91">
        <v>41490</v>
      </c>
      <c r="M30" s="92">
        <v>0.72569444444444453</v>
      </c>
      <c r="N30" s="84" t="s">
        <v>62</v>
      </c>
      <c r="O30" s="84">
        <v>2</v>
      </c>
      <c r="P30" s="84">
        <v>0</v>
      </c>
      <c r="Q30" s="84">
        <v>0</v>
      </c>
      <c r="R30" s="84">
        <v>0</v>
      </c>
      <c r="S30" s="84">
        <v>0</v>
      </c>
      <c r="T30" s="84">
        <v>0</v>
      </c>
      <c r="U30" s="84">
        <v>0</v>
      </c>
      <c r="V30" s="84">
        <v>0</v>
      </c>
      <c r="W30" s="84">
        <v>0</v>
      </c>
      <c r="X30" s="75" t="s">
        <v>985</v>
      </c>
      <c r="Y30" s="77">
        <v>2</v>
      </c>
      <c r="Z30" s="77">
        <v>0</v>
      </c>
      <c r="AA30" s="77">
        <v>0</v>
      </c>
      <c r="AB30" s="77">
        <v>0</v>
      </c>
      <c r="AC30" s="435" t="s">
        <v>985</v>
      </c>
      <c r="AD30" s="77">
        <v>2</v>
      </c>
      <c r="AE30" s="84" t="s">
        <v>368</v>
      </c>
      <c r="AF30" s="84" t="s">
        <v>117</v>
      </c>
      <c r="AG30" s="84" t="s">
        <v>72</v>
      </c>
      <c r="AH30" s="96" t="s">
        <v>986</v>
      </c>
      <c r="AI30" s="84" t="s">
        <v>304</v>
      </c>
      <c r="AJ30" s="93">
        <v>81680</v>
      </c>
      <c r="AK30" s="94" t="s">
        <v>305</v>
      </c>
    </row>
    <row r="31" spans="1:37" x14ac:dyDescent="0.35">
      <c r="A31" s="85" t="s">
        <v>987</v>
      </c>
      <c r="B31" s="86" t="s">
        <v>357</v>
      </c>
      <c r="C31" s="87" t="s">
        <v>447</v>
      </c>
      <c r="D31" s="86" t="s">
        <v>988</v>
      </c>
      <c r="E31" s="84">
        <v>540.6</v>
      </c>
      <c r="F31" s="84">
        <v>4037.8</v>
      </c>
      <c r="G31" s="84">
        <v>900</v>
      </c>
      <c r="H31" s="91">
        <v>41492</v>
      </c>
      <c r="I31" s="92">
        <v>0.4861111111111111</v>
      </c>
      <c r="J31" s="91">
        <v>41492</v>
      </c>
      <c r="K31" s="92">
        <v>0.49305555555555558</v>
      </c>
      <c r="L31" s="91">
        <v>41492</v>
      </c>
      <c r="M31" s="92">
        <v>0.59375</v>
      </c>
      <c r="N31" s="84" t="s">
        <v>62</v>
      </c>
      <c r="O31" s="84">
        <v>1</v>
      </c>
      <c r="P31" s="84">
        <v>0</v>
      </c>
      <c r="Q31" s="84">
        <v>0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84">
        <v>0</v>
      </c>
      <c r="X31" s="83" t="s">
        <v>989</v>
      </c>
      <c r="Y31" s="77">
        <v>1</v>
      </c>
      <c r="Z31" s="77">
        <v>0</v>
      </c>
      <c r="AA31" s="77">
        <v>0</v>
      </c>
      <c r="AB31" s="77">
        <v>0</v>
      </c>
      <c r="AC31" s="436" t="s">
        <v>989</v>
      </c>
      <c r="AD31" s="77">
        <v>1</v>
      </c>
      <c r="AE31" s="84" t="s">
        <v>117</v>
      </c>
      <c r="AF31" s="84" t="s">
        <v>117</v>
      </c>
      <c r="AG31" s="84" t="s">
        <v>72</v>
      </c>
      <c r="AH31" s="84" t="s">
        <v>990</v>
      </c>
      <c r="AI31" s="98" t="s">
        <v>991</v>
      </c>
      <c r="AJ31" s="99">
        <v>20000</v>
      </c>
      <c r="AK31" s="94" t="s">
        <v>305</v>
      </c>
    </row>
    <row r="32" spans="1:37" x14ac:dyDescent="0.35">
      <c r="A32" s="85" t="s">
        <v>992</v>
      </c>
      <c r="B32" s="86" t="s">
        <v>316</v>
      </c>
      <c r="C32" s="87" t="s">
        <v>510</v>
      </c>
      <c r="D32" s="86" t="s">
        <v>993</v>
      </c>
      <c r="E32" s="84">
        <v>574.20000000000005</v>
      </c>
      <c r="F32" s="84">
        <v>4042.1</v>
      </c>
      <c r="G32" s="84">
        <v>690</v>
      </c>
      <c r="H32" s="91">
        <v>41492</v>
      </c>
      <c r="I32" s="92">
        <v>0.57986111111111105</v>
      </c>
      <c r="J32" s="91">
        <v>41492</v>
      </c>
      <c r="K32" s="92">
        <v>0.58680555555555558</v>
      </c>
      <c r="L32" s="91">
        <v>41492</v>
      </c>
      <c r="M32" s="92">
        <v>0.80555555555555547</v>
      </c>
      <c r="N32" s="84" t="s">
        <v>62</v>
      </c>
      <c r="O32" s="84">
        <v>4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84">
        <v>0</v>
      </c>
      <c r="X32" s="75" t="s">
        <v>994</v>
      </c>
      <c r="Y32" s="77">
        <v>4</v>
      </c>
      <c r="Z32" s="77">
        <v>0</v>
      </c>
      <c r="AA32" s="77">
        <v>0</v>
      </c>
      <c r="AB32" s="77">
        <v>0</v>
      </c>
      <c r="AC32" s="435" t="s">
        <v>994</v>
      </c>
      <c r="AD32" s="77">
        <v>4</v>
      </c>
      <c r="AE32" s="84" t="s">
        <v>117</v>
      </c>
      <c r="AF32" s="84" t="s">
        <v>117</v>
      </c>
      <c r="AG32" s="84" t="s">
        <v>72</v>
      </c>
      <c r="AH32" s="84" t="s">
        <v>995</v>
      </c>
      <c r="AI32" s="98" t="s">
        <v>991</v>
      </c>
      <c r="AJ32" s="93">
        <v>50000</v>
      </c>
      <c r="AK32" s="94" t="s">
        <v>305</v>
      </c>
    </row>
    <row r="33" spans="1:37" x14ac:dyDescent="0.35">
      <c r="A33" s="85" t="s">
        <v>996</v>
      </c>
      <c r="B33" s="86" t="s">
        <v>357</v>
      </c>
      <c r="C33" s="87" t="s">
        <v>447</v>
      </c>
      <c r="D33" s="86" t="s">
        <v>997</v>
      </c>
      <c r="E33" s="84">
        <v>537.9</v>
      </c>
      <c r="F33" s="84">
        <v>4035.6</v>
      </c>
      <c r="G33" s="84">
        <v>730</v>
      </c>
      <c r="H33" s="91">
        <v>41493</v>
      </c>
      <c r="I33" s="92">
        <v>0.4375</v>
      </c>
      <c r="J33" s="91">
        <v>41493</v>
      </c>
      <c r="K33" s="92">
        <v>0.44791666666666669</v>
      </c>
      <c r="L33" s="91">
        <v>41493</v>
      </c>
      <c r="M33" s="92">
        <v>0.56944444444444442</v>
      </c>
      <c r="N33" s="84" t="s">
        <v>62</v>
      </c>
      <c r="O33" s="84">
        <v>0</v>
      </c>
      <c r="P33" s="84">
        <v>0</v>
      </c>
      <c r="Q33" s="84">
        <v>0</v>
      </c>
      <c r="R33" s="84">
        <v>0</v>
      </c>
      <c r="S33" s="84">
        <v>0</v>
      </c>
      <c r="T33" s="84">
        <v>1.5</v>
      </c>
      <c r="U33" s="84">
        <v>0</v>
      </c>
      <c r="V33" s="84">
        <v>0</v>
      </c>
      <c r="W33" s="84">
        <v>0</v>
      </c>
      <c r="X33" s="75" t="s">
        <v>998</v>
      </c>
      <c r="Y33" s="77">
        <v>1.5</v>
      </c>
      <c r="Z33" s="77">
        <v>0</v>
      </c>
      <c r="AA33" s="77">
        <v>0</v>
      </c>
      <c r="AB33" s="77">
        <v>0</v>
      </c>
      <c r="AC33" s="435" t="s">
        <v>998</v>
      </c>
      <c r="AD33" s="77">
        <v>1.5</v>
      </c>
      <c r="AE33" s="84" t="s">
        <v>117</v>
      </c>
      <c r="AF33" s="84" t="s">
        <v>117</v>
      </c>
      <c r="AG33" s="84" t="s">
        <v>72</v>
      </c>
      <c r="AH33" s="84" t="s">
        <v>999</v>
      </c>
      <c r="AI33" s="98" t="s">
        <v>991</v>
      </c>
      <c r="AJ33" s="97">
        <v>30000</v>
      </c>
      <c r="AK33" s="94" t="s">
        <v>305</v>
      </c>
    </row>
    <row r="34" spans="1:37" x14ac:dyDescent="0.35">
      <c r="A34" s="85" t="s">
        <v>1000</v>
      </c>
      <c r="B34" s="86" t="s">
        <v>301</v>
      </c>
      <c r="C34" s="86" t="s">
        <v>301</v>
      </c>
      <c r="D34" s="86" t="s">
        <v>1001</v>
      </c>
      <c r="E34" s="84">
        <v>606.6</v>
      </c>
      <c r="F34" s="84">
        <v>343.5</v>
      </c>
      <c r="G34" s="84">
        <v>540</v>
      </c>
      <c r="H34" s="91">
        <v>41493</v>
      </c>
      <c r="I34" s="92">
        <v>0.4375</v>
      </c>
      <c r="J34" s="91">
        <v>41493</v>
      </c>
      <c r="K34" s="92">
        <v>0.44444444444444442</v>
      </c>
      <c r="L34" s="91">
        <v>41493</v>
      </c>
      <c r="M34" s="92">
        <v>0.50347222222222221</v>
      </c>
      <c r="N34" s="84" t="s">
        <v>41</v>
      </c>
      <c r="O34" s="84">
        <v>0</v>
      </c>
      <c r="P34" s="84">
        <v>0</v>
      </c>
      <c r="Q34" s="84">
        <v>0</v>
      </c>
      <c r="R34" s="84">
        <v>0</v>
      </c>
      <c r="S34" s="84">
        <v>0</v>
      </c>
      <c r="T34" s="84">
        <v>0</v>
      </c>
      <c r="U34" s="84">
        <v>2</v>
      </c>
      <c r="V34" s="84">
        <v>3</v>
      </c>
      <c r="W34" s="84">
        <v>0</v>
      </c>
      <c r="X34" s="75">
        <v>0</v>
      </c>
      <c r="Y34" s="77">
        <v>0</v>
      </c>
      <c r="Z34" s="77">
        <v>2</v>
      </c>
      <c r="AA34" s="77">
        <v>3</v>
      </c>
      <c r="AB34" s="77">
        <v>0</v>
      </c>
      <c r="AC34" s="435">
        <v>0</v>
      </c>
      <c r="AD34" s="77">
        <v>5</v>
      </c>
      <c r="AE34" s="84" t="s">
        <v>117</v>
      </c>
      <c r="AF34" s="84" t="s">
        <v>117</v>
      </c>
      <c r="AG34" s="84" t="s">
        <v>57</v>
      </c>
      <c r="AH34" s="96" t="s">
        <v>982</v>
      </c>
      <c r="AI34" s="84" t="s">
        <v>304</v>
      </c>
      <c r="AJ34" s="93">
        <v>934500</v>
      </c>
      <c r="AK34" s="94" t="s">
        <v>305</v>
      </c>
    </row>
    <row r="35" spans="1:37" x14ac:dyDescent="0.35">
      <c r="A35" s="85" t="s">
        <v>1002</v>
      </c>
      <c r="B35" s="86" t="s">
        <v>405</v>
      </c>
      <c r="C35" s="86" t="s">
        <v>405</v>
      </c>
      <c r="D35" s="86" t="s">
        <v>1003</v>
      </c>
      <c r="E35" s="84">
        <v>566.20000000000005</v>
      </c>
      <c r="F35" s="84">
        <v>4032.8</v>
      </c>
      <c r="G35" s="84">
        <v>750</v>
      </c>
      <c r="H35" s="91">
        <v>41493</v>
      </c>
      <c r="I35" s="92">
        <v>0.5625</v>
      </c>
      <c r="J35" s="92" t="s">
        <v>175</v>
      </c>
      <c r="K35" s="92" t="s">
        <v>175</v>
      </c>
      <c r="L35" s="91">
        <v>41493</v>
      </c>
      <c r="M35" s="92">
        <v>0.69791666666666663</v>
      </c>
      <c r="N35" s="84" t="s">
        <v>62</v>
      </c>
      <c r="O35" s="84">
        <v>1.5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3" t="s">
        <v>1004</v>
      </c>
      <c r="Y35" s="77">
        <v>1.5</v>
      </c>
      <c r="Z35" s="77">
        <v>0</v>
      </c>
      <c r="AA35" s="77">
        <v>0</v>
      </c>
      <c r="AB35" s="77">
        <v>0</v>
      </c>
      <c r="AC35" s="436" t="s">
        <v>1004</v>
      </c>
      <c r="AD35" s="77">
        <v>1.5</v>
      </c>
      <c r="AE35" s="84" t="s">
        <v>117</v>
      </c>
      <c r="AF35" s="84" t="s">
        <v>117</v>
      </c>
      <c r="AG35" s="84" t="s">
        <v>72</v>
      </c>
      <c r="AH35" s="84" t="s">
        <v>999</v>
      </c>
      <c r="AI35" s="98" t="s">
        <v>175</v>
      </c>
      <c r="AJ35" s="99">
        <v>15000</v>
      </c>
      <c r="AK35" s="94" t="s">
        <v>305</v>
      </c>
    </row>
    <row r="36" spans="1:37" x14ac:dyDescent="0.35">
      <c r="A36" s="85" t="s">
        <v>1005</v>
      </c>
      <c r="B36" s="86" t="s">
        <v>405</v>
      </c>
      <c r="C36" s="86" t="s">
        <v>405</v>
      </c>
      <c r="D36" s="86" t="s">
        <v>1006</v>
      </c>
      <c r="E36" s="84">
        <v>566.4</v>
      </c>
      <c r="F36" s="84">
        <v>4031.6</v>
      </c>
      <c r="G36" s="84">
        <v>950</v>
      </c>
      <c r="H36" s="91">
        <v>41493</v>
      </c>
      <c r="I36" s="92">
        <v>0.5625</v>
      </c>
      <c r="J36" s="92" t="s">
        <v>175</v>
      </c>
      <c r="K36" s="92" t="s">
        <v>175</v>
      </c>
      <c r="L36" s="91">
        <v>41493</v>
      </c>
      <c r="M36" s="92">
        <v>0.61805555555555558</v>
      </c>
      <c r="N36" s="84" t="s">
        <v>62</v>
      </c>
      <c r="O36" s="84">
        <v>1</v>
      </c>
      <c r="P36" s="84">
        <v>0</v>
      </c>
      <c r="Q36" s="84">
        <v>0</v>
      </c>
      <c r="R36" s="84">
        <v>0</v>
      </c>
      <c r="S36" s="84">
        <v>0</v>
      </c>
      <c r="T36" s="84">
        <v>0</v>
      </c>
      <c r="U36" s="84">
        <v>0</v>
      </c>
      <c r="V36" s="84">
        <v>0</v>
      </c>
      <c r="W36" s="84">
        <v>0</v>
      </c>
      <c r="X36" s="95">
        <v>0</v>
      </c>
      <c r="Y36" s="77">
        <v>1</v>
      </c>
      <c r="Z36" s="77">
        <v>0</v>
      </c>
      <c r="AA36" s="77">
        <v>0</v>
      </c>
      <c r="AB36" s="77">
        <v>0</v>
      </c>
      <c r="AC36" s="437">
        <v>0</v>
      </c>
      <c r="AD36" s="77">
        <v>1</v>
      </c>
      <c r="AE36" s="84" t="s">
        <v>117</v>
      </c>
      <c r="AF36" s="84" t="s">
        <v>117</v>
      </c>
      <c r="AG36" s="84" t="s">
        <v>72</v>
      </c>
      <c r="AH36" s="84" t="s">
        <v>999</v>
      </c>
      <c r="AI36" s="98" t="s">
        <v>175</v>
      </c>
      <c r="AJ36" s="97">
        <v>10000</v>
      </c>
      <c r="AK36" s="94" t="s">
        <v>305</v>
      </c>
    </row>
    <row r="37" spans="1:37" x14ac:dyDescent="0.35">
      <c r="A37" s="85" t="s">
        <v>1007</v>
      </c>
      <c r="B37" s="86" t="s">
        <v>281</v>
      </c>
      <c r="C37" s="86" t="s">
        <v>282</v>
      </c>
      <c r="D37" s="86" t="s">
        <v>565</v>
      </c>
      <c r="E37" s="84">
        <v>608.5</v>
      </c>
      <c r="F37" s="84">
        <v>4034.75</v>
      </c>
      <c r="G37" s="84">
        <v>1391</v>
      </c>
      <c r="H37" s="91">
        <v>41493</v>
      </c>
      <c r="I37" s="92">
        <v>0.64583333333333337</v>
      </c>
      <c r="J37" s="91">
        <v>41493</v>
      </c>
      <c r="K37" s="92">
        <v>0.64930555555555558</v>
      </c>
      <c r="L37" s="91">
        <v>41493</v>
      </c>
      <c r="M37" s="92">
        <v>0.73958333333333337</v>
      </c>
      <c r="N37" s="84" t="s">
        <v>41</v>
      </c>
      <c r="O37" s="84">
        <v>0</v>
      </c>
      <c r="P37" s="84">
        <v>0</v>
      </c>
      <c r="Q37" s="84">
        <v>6</v>
      </c>
      <c r="R37" s="84">
        <v>0</v>
      </c>
      <c r="S37" s="84">
        <v>0</v>
      </c>
      <c r="T37" s="84">
        <v>0</v>
      </c>
      <c r="U37" s="84">
        <v>0</v>
      </c>
      <c r="V37" s="84">
        <v>0</v>
      </c>
      <c r="W37" s="84">
        <v>0</v>
      </c>
      <c r="X37" s="75"/>
      <c r="Y37" s="77">
        <v>0</v>
      </c>
      <c r="Z37" s="77">
        <v>0</v>
      </c>
      <c r="AA37" s="77">
        <v>6</v>
      </c>
      <c r="AB37" s="77">
        <v>0</v>
      </c>
      <c r="AC37" s="435"/>
      <c r="AD37" s="77">
        <v>6</v>
      </c>
      <c r="AE37" s="84" t="s">
        <v>368</v>
      </c>
      <c r="AF37" s="84" t="s">
        <v>117</v>
      </c>
      <c r="AG37" s="84" t="s">
        <v>72</v>
      </c>
      <c r="AH37" s="96" t="s">
        <v>1008</v>
      </c>
      <c r="AI37" s="84" t="s">
        <v>473</v>
      </c>
      <c r="AJ37" s="93">
        <v>205680</v>
      </c>
      <c r="AK37" s="94" t="s">
        <v>305</v>
      </c>
    </row>
    <row r="38" spans="1:37" x14ac:dyDescent="0.35">
      <c r="A38" s="85" t="s">
        <v>1009</v>
      </c>
      <c r="B38" s="86" t="s">
        <v>320</v>
      </c>
      <c r="C38" s="86" t="s">
        <v>321</v>
      </c>
      <c r="D38" s="86" t="s">
        <v>1010</v>
      </c>
      <c r="E38" s="84">
        <v>575.1</v>
      </c>
      <c r="F38" s="84">
        <v>4005.5</v>
      </c>
      <c r="G38" s="84">
        <v>837</v>
      </c>
      <c r="H38" s="91">
        <v>41493</v>
      </c>
      <c r="I38" s="92">
        <v>0.68055555555555547</v>
      </c>
      <c r="J38" s="91">
        <v>41493</v>
      </c>
      <c r="K38" s="92">
        <v>0.6875</v>
      </c>
      <c r="L38" s="91">
        <v>41493</v>
      </c>
      <c r="M38" s="92">
        <v>0.71527777777777779</v>
      </c>
      <c r="N38" s="84" t="s">
        <v>81</v>
      </c>
      <c r="O38" s="84">
        <v>0</v>
      </c>
      <c r="P38" s="84">
        <v>0</v>
      </c>
      <c r="Q38" s="84">
        <v>0</v>
      </c>
      <c r="R38" s="84">
        <v>0</v>
      </c>
      <c r="S38" s="84">
        <v>0</v>
      </c>
      <c r="T38" s="84">
        <v>0</v>
      </c>
      <c r="U38" s="84">
        <v>0.02</v>
      </c>
      <c r="V38" s="84">
        <v>0</v>
      </c>
      <c r="W38" s="84">
        <v>0</v>
      </c>
      <c r="X38" s="83" t="s">
        <v>1011</v>
      </c>
      <c r="Y38" s="77">
        <v>0</v>
      </c>
      <c r="Z38" s="77">
        <v>0.02</v>
      </c>
      <c r="AA38" s="77">
        <v>0</v>
      </c>
      <c r="AB38" s="77">
        <v>0</v>
      </c>
      <c r="AC38" s="436" t="s">
        <v>1011</v>
      </c>
      <c r="AD38" s="77">
        <v>0.02</v>
      </c>
      <c r="AE38" s="84" t="s">
        <v>117</v>
      </c>
      <c r="AF38" s="84" t="s">
        <v>117</v>
      </c>
      <c r="AG38" s="84" t="s">
        <v>72</v>
      </c>
      <c r="AH38" s="84" t="s">
        <v>1012</v>
      </c>
      <c r="AI38" s="84" t="s">
        <v>304</v>
      </c>
      <c r="AJ38" s="99">
        <v>250</v>
      </c>
      <c r="AK38" s="94" t="s">
        <v>305</v>
      </c>
    </row>
    <row r="39" spans="1:37" x14ac:dyDescent="0.35">
      <c r="A39" s="85" t="s">
        <v>1013</v>
      </c>
      <c r="B39" s="90" t="s">
        <v>626</v>
      </c>
      <c r="C39" s="87" t="s">
        <v>434</v>
      </c>
      <c r="D39" s="86" t="s">
        <v>1014</v>
      </c>
      <c r="E39" s="84">
        <v>3987.7</v>
      </c>
      <c r="F39" s="84">
        <v>591.5</v>
      </c>
      <c r="G39" s="84">
        <v>1216</v>
      </c>
      <c r="H39" s="91">
        <v>41494</v>
      </c>
      <c r="I39" s="92">
        <v>0.375</v>
      </c>
      <c r="J39" s="91">
        <v>41494</v>
      </c>
      <c r="K39" s="92">
        <v>0.38541666666666669</v>
      </c>
      <c r="L39" s="91">
        <v>41494</v>
      </c>
      <c r="M39" s="92">
        <v>0.54166666666666663</v>
      </c>
      <c r="N39" s="84" t="s">
        <v>41</v>
      </c>
      <c r="O39" s="84">
        <v>0</v>
      </c>
      <c r="P39" s="84">
        <v>0</v>
      </c>
      <c r="Q39" s="84">
        <v>0</v>
      </c>
      <c r="R39" s="84">
        <v>0</v>
      </c>
      <c r="S39" s="84">
        <v>0</v>
      </c>
      <c r="T39" s="84">
        <v>0</v>
      </c>
      <c r="U39" s="84">
        <v>0</v>
      </c>
      <c r="V39" s="84">
        <v>5</v>
      </c>
      <c r="W39" s="84">
        <v>0</v>
      </c>
      <c r="X39" s="75">
        <v>0</v>
      </c>
      <c r="Y39" s="77">
        <v>0</v>
      </c>
      <c r="Z39" s="77">
        <v>0</v>
      </c>
      <c r="AA39" s="77">
        <v>5</v>
      </c>
      <c r="AB39" s="77">
        <v>0</v>
      </c>
      <c r="AC39" s="435">
        <v>0</v>
      </c>
      <c r="AD39" s="77">
        <v>5</v>
      </c>
      <c r="AE39" s="84" t="s">
        <v>117</v>
      </c>
      <c r="AF39" s="84" t="s">
        <v>117</v>
      </c>
      <c r="AG39" s="84" t="s">
        <v>57</v>
      </c>
      <c r="AH39" s="84" t="s">
        <v>937</v>
      </c>
      <c r="AI39" s="84" t="s">
        <v>304</v>
      </c>
      <c r="AJ39" s="93">
        <v>2500</v>
      </c>
      <c r="AK39" s="94" t="s">
        <v>305</v>
      </c>
    </row>
    <row r="40" spans="1:37" x14ac:dyDescent="0.35">
      <c r="A40" s="85" t="s">
        <v>1015</v>
      </c>
      <c r="B40" s="86" t="s">
        <v>344</v>
      </c>
      <c r="C40" s="86" t="s">
        <v>344</v>
      </c>
      <c r="D40" s="86" t="s">
        <v>1016</v>
      </c>
      <c r="E40" s="84">
        <v>560.6</v>
      </c>
      <c r="F40" s="84">
        <v>4002.7</v>
      </c>
      <c r="G40" s="84">
        <v>968</v>
      </c>
      <c r="H40" s="91">
        <v>41494</v>
      </c>
      <c r="I40" s="92">
        <v>0.8125</v>
      </c>
      <c r="J40" s="91">
        <v>41494</v>
      </c>
      <c r="K40" s="92">
        <v>0.82291666666666663</v>
      </c>
      <c r="L40" s="91">
        <v>41494</v>
      </c>
      <c r="M40" s="92">
        <v>0.85416666666666663</v>
      </c>
      <c r="N40" s="84" t="s">
        <v>62</v>
      </c>
      <c r="O40" s="84">
        <v>0.4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X40" s="75">
        <v>0</v>
      </c>
      <c r="Y40" s="77">
        <v>0.4</v>
      </c>
      <c r="Z40" s="77">
        <v>0</v>
      </c>
      <c r="AA40" s="77">
        <v>0</v>
      </c>
      <c r="AB40" s="77">
        <v>0</v>
      </c>
      <c r="AC40" s="435">
        <v>0</v>
      </c>
      <c r="AD40" s="77">
        <v>0.4</v>
      </c>
      <c r="AE40" s="84" t="s">
        <v>117</v>
      </c>
      <c r="AF40" s="84" t="s">
        <v>117</v>
      </c>
      <c r="AG40" s="84" t="s">
        <v>72</v>
      </c>
      <c r="AH40" s="84" t="s">
        <v>1017</v>
      </c>
      <c r="AI40" s="84" t="s">
        <v>304</v>
      </c>
      <c r="AJ40" s="93">
        <v>5000</v>
      </c>
      <c r="AK40" s="94" t="s">
        <v>305</v>
      </c>
    </row>
    <row r="41" spans="1:37" x14ac:dyDescent="0.35">
      <c r="A41" s="85" t="s">
        <v>1018</v>
      </c>
      <c r="B41" s="86" t="s">
        <v>320</v>
      </c>
      <c r="C41" s="86" t="s">
        <v>321</v>
      </c>
      <c r="D41" s="86" t="s">
        <v>1019</v>
      </c>
      <c r="E41" s="84">
        <v>572.29999999999995</v>
      </c>
      <c r="F41" s="84">
        <v>4002.4</v>
      </c>
      <c r="G41" s="84">
        <v>998</v>
      </c>
      <c r="H41" s="91">
        <v>41495</v>
      </c>
      <c r="I41" s="92">
        <v>0.54166666666666663</v>
      </c>
      <c r="J41" s="91">
        <v>41495</v>
      </c>
      <c r="K41" s="92">
        <v>0.54861111111111105</v>
      </c>
      <c r="L41" s="91">
        <v>41495</v>
      </c>
      <c r="M41" s="92">
        <v>0.625</v>
      </c>
      <c r="N41" s="84" t="s">
        <v>62</v>
      </c>
      <c r="O41" s="84">
        <v>1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X41" s="95" t="s">
        <v>998</v>
      </c>
      <c r="Y41" s="77">
        <v>1</v>
      </c>
      <c r="Z41" s="77">
        <v>0</v>
      </c>
      <c r="AA41" s="77">
        <v>0</v>
      </c>
      <c r="AB41" s="77">
        <v>0</v>
      </c>
      <c r="AC41" s="437" t="s">
        <v>998</v>
      </c>
      <c r="AD41" s="77">
        <v>1</v>
      </c>
      <c r="AE41" s="84" t="s">
        <v>117</v>
      </c>
      <c r="AF41" s="84" t="s">
        <v>117</v>
      </c>
      <c r="AG41" s="84" t="s">
        <v>72</v>
      </c>
      <c r="AH41" s="84" t="s">
        <v>937</v>
      </c>
      <c r="AI41" s="84" t="s">
        <v>304</v>
      </c>
      <c r="AJ41" s="97">
        <v>8750</v>
      </c>
      <c r="AK41" s="94" t="s">
        <v>305</v>
      </c>
    </row>
    <row r="42" spans="1:37" x14ac:dyDescent="0.35">
      <c r="A42" s="85" t="s">
        <v>1020</v>
      </c>
      <c r="B42" s="86" t="s">
        <v>286</v>
      </c>
      <c r="C42" s="87" t="s">
        <v>953</v>
      </c>
      <c r="D42" s="86" t="s">
        <v>1021</v>
      </c>
      <c r="E42" s="84">
        <v>595.1</v>
      </c>
      <c r="F42" s="84">
        <v>4009.35</v>
      </c>
      <c r="G42" s="84">
        <v>700</v>
      </c>
      <c r="H42" s="91">
        <v>41495</v>
      </c>
      <c r="I42" s="92">
        <v>0.63541666666666663</v>
      </c>
      <c r="J42" s="91">
        <v>41495</v>
      </c>
      <c r="K42" s="92">
        <v>0.64583333333333337</v>
      </c>
      <c r="L42" s="91">
        <v>41495</v>
      </c>
      <c r="M42" s="92">
        <v>0.69097222222222221</v>
      </c>
      <c r="N42" s="84" t="s">
        <v>41</v>
      </c>
      <c r="O42" s="84">
        <v>0</v>
      </c>
      <c r="P42" s="84">
        <v>0</v>
      </c>
      <c r="Q42" s="84">
        <v>1</v>
      </c>
      <c r="R42" s="84">
        <v>0</v>
      </c>
      <c r="S42" s="84">
        <v>0</v>
      </c>
      <c r="T42" s="84">
        <v>0</v>
      </c>
      <c r="U42" s="84">
        <v>0</v>
      </c>
      <c r="V42" s="84">
        <v>0</v>
      </c>
      <c r="W42" s="84">
        <v>0</v>
      </c>
      <c r="X42" s="75" t="s">
        <v>1022</v>
      </c>
      <c r="Y42" s="77">
        <v>0</v>
      </c>
      <c r="Z42" s="77">
        <v>0</v>
      </c>
      <c r="AA42" s="77">
        <v>1</v>
      </c>
      <c r="AB42" s="77">
        <v>0</v>
      </c>
      <c r="AC42" s="435" t="s">
        <v>1022</v>
      </c>
      <c r="AD42" s="77">
        <v>1</v>
      </c>
      <c r="AE42" s="84" t="s">
        <v>368</v>
      </c>
      <c r="AF42" s="84" t="s">
        <v>117</v>
      </c>
      <c r="AG42" s="84" t="s">
        <v>72</v>
      </c>
      <c r="AH42" s="96" t="s">
        <v>1008</v>
      </c>
      <c r="AI42" s="84" t="s">
        <v>65</v>
      </c>
      <c r="AJ42" s="93">
        <v>34280</v>
      </c>
      <c r="AK42" s="94" t="s">
        <v>305</v>
      </c>
    </row>
    <row r="43" spans="1:37" x14ac:dyDescent="0.35">
      <c r="A43" s="85" t="s">
        <v>1023</v>
      </c>
      <c r="B43" s="86" t="s">
        <v>301</v>
      </c>
      <c r="C43" s="86" t="s">
        <v>301</v>
      </c>
      <c r="D43" s="86" t="s">
        <v>943</v>
      </c>
      <c r="E43" s="84">
        <v>606</v>
      </c>
      <c r="F43" s="84">
        <v>344.8</v>
      </c>
      <c r="G43" s="84">
        <v>570</v>
      </c>
      <c r="H43" s="91">
        <v>41497</v>
      </c>
      <c r="I43" s="92">
        <v>0.40277777777777773</v>
      </c>
      <c r="J43" s="91">
        <v>41497</v>
      </c>
      <c r="K43" s="92">
        <v>0.40972222222222227</v>
      </c>
      <c r="L43" s="91">
        <v>41497</v>
      </c>
      <c r="M43" s="92">
        <v>0.4375</v>
      </c>
      <c r="N43" s="84" t="s">
        <v>41</v>
      </c>
      <c r="O43" s="84">
        <v>0</v>
      </c>
      <c r="P43" s="84">
        <v>0</v>
      </c>
      <c r="Q43" s="84">
        <v>0.1</v>
      </c>
      <c r="R43" s="84">
        <v>0</v>
      </c>
      <c r="S43" s="84">
        <v>0</v>
      </c>
      <c r="T43" s="84">
        <v>0</v>
      </c>
      <c r="U43" s="84">
        <v>0</v>
      </c>
      <c r="V43" s="84">
        <v>0</v>
      </c>
      <c r="W43" s="84">
        <v>0</v>
      </c>
      <c r="X43" s="100" t="s">
        <v>1024</v>
      </c>
      <c r="Y43" s="77">
        <v>0</v>
      </c>
      <c r="Z43" s="77">
        <v>0</v>
      </c>
      <c r="AA43" s="77">
        <v>0.1</v>
      </c>
      <c r="AB43" s="77">
        <v>0</v>
      </c>
      <c r="AC43" s="438" t="s">
        <v>1024</v>
      </c>
      <c r="AD43" s="77">
        <v>0.1</v>
      </c>
      <c r="AE43" s="84" t="s">
        <v>117</v>
      </c>
      <c r="AF43" s="84" t="s">
        <v>117</v>
      </c>
      <c r="AG43" s="84" t="s">
        <v>72</v>
      </c>
      <c r="AH43" s="96" t="s">
        <v>1025</v>
      </c>
      <c r="AI43" s="84" t="s">
        <v>304</v>
      </c>
      <c r="AJ43" s="101">
        <v>26000</v>
      </c>
      <c r="AK43" s="94" t="s">
        <v>305</v>
      </c>
    </row>
    <row r="44" spans="1:37" x14ac:dyDescent="0.35">
      <c r="A44" s="85" t="s">
        <v>1026</v>
      </c>
      <c r="B44" s="86" t="s">
        <v>286</v>
      </c>
      <c r="C44" s="87" t="s">
        <v>953</v>
      </c>
      <c r="D44" s="86" t="s">
        <v>1027</v>
      </c>
      <c r="E44" s="84">
        <v>624.25</v>
      </c>
      <c r="F44" s="84">
        <v>331.5</v>
      </c>
      <c r="G44" s="84">
        <v>720</v>
      </c>
      <c r="H44" s="91">
        <v>41497</v>
      </c>
      <c r="I44" s="92">
        <v>0.57638888888888895</v>
      </c>
      <c r="J44" s="91">
        <v>41497</v>
      </c>
      <c r="K44" s="92">
        <v>0.58680555555555558</v>
      </c>
      <c r="L44" s="91">
        <v>41497</v>
      </c>
      <c r="M44" s="92">
        <v>0.72569444444444453</v>
      </c>
      <c r="N44" s="84" t="s">
        <v>62</v>
      </c>
      <c r="O44" s="84">
        <v>1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75">
        <v>0</v>
      </c>
      <c r="Y44" s="77">
        <v>1</v>
      </c>
      <c r="Z44" s="77">
        <v>0</v>
      </c>
      <c r="AA44" s="77">
        <v>0</v>
      </c>
      <c r="AB44" s="77">
        <v>0</v>
      </c>
      <c r="AC44" s="435">
        <v>0</v>
      </c>
      <c r="AD44" s="77">
        <v>1</v>
      </c>
      <c r="AE44" s="84" t="s">
        <v>368</v>
      </c>
      <c r="AF44" s="84" t="s">
        <v>117</v>
      </c>
      <c r="AG44" s="84" t="s">
        <v>57</v>
      </c>
      <c r="AH44" s="96" t="s">
        <v>1028</v>
      </c>
      <c r="AI44" s="84" t="s">
        <v>304</v>
      </c>
      <c r="AJ44" s="93">
        <v>42320</v>
      </c>
      <c r="AK44" s="94" t="s">
        <v>305</v>
      </c>
    </row>
    <row r="45" spans="1:37" x14ac:dyDescent="0.35">
      <c r="A45" s="85" t="s">
        <v>1029</v>
      </c>
      <c r="B45" s="86" t="s">
        <v>344</v>
      </c>
      <c r="C45" s="86" t="s">
        <v>1030</v>
      </c>
      <c r="D45" s="86" t="s">
        <v>1016</v>
      </c>
      <c r="E45" s="84">
        <v>556.20000000000005</v>
      </c>
      <c r="F45" s="84">
        <v>4000.4</v>
      </c>
      <c r="G45" s="84">
        <v>1262</v>
      </c>
      <c r="H45" s="91">
        <v>41497</v>
      </c>
      <c r="I45" s="92">
        <v>0.58333333333333337</v>
      </c>
      <c r="J45" s="91">
        <v>41497</v>
      </c>
      <c r="K45" s="92">
        <v>0.59375</v>
      </c>
      <c r="L45" s="91">
        <v>41497</v>
      </c>
      <c r="M45" s="92">
        <v>0.65625</v>
      </c>
      <c r="N45" s="84" t="s">
        <v>81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2.5</v>
      </c>
      <c r="V45" s="84">
        <v>0</v>
      </c>
      <c r="W45" s="84">
        <v>0</v>
      </c>
      <c r="X45" s="83">
        <v>0</v>
      </c>
      <c r="Y45" s="77">
        <v>0</v>
      </c>
      <c r="Z45" s="77">
        <v>2.5</v>
      </c>
      <c r="AA45" s="77">
        <v>0</v>
      </c>
      <c r="AB45" s="77">
        <v>0</v>
      </c>
      <c r="AC45" s="436">
        <v>0</v>
      </c>
      <c r="AD45" s="77">
        <v>2.5</v>
      </c>
      <c r="AE45" s="84" t="s">
        <v>117</v>
      </c>
      <c r="AF45" s="84" t="s">
        <v>117</v>
      </c>
      <c r="AG45" s="84" t="s">
        <v>57</v>
      </c>
      <c r="AH45" s="84" t="s">
        <v>1031</v>
      </c>
      <c r="AI45" s="84" t="s">
        <v>938</v>
      </c>
      <c r="AJ45" s="99">
        <v>17500</v>
      </c>
      <c r="AK45" s="94" t="s">
        <v>305</v>
      </c>
    </row>
    <row r="46" spans="1:37" x14ac:dyDescent="0.35">
      <c r="A46" s="85" t="s">
        <v>1032</v>
      </c>
      <c r="B46" s="86" t="s">
        <v>320</v>
      </c>
      <c r="C46" s="86" t="s">
        <v>321</v>
      </c>
      <c r="D46" s="86" t="s">
        <v>1033</v>
      </c>
      <c r="E46" s="84">
        <v>583.5</v>
      </c>
      <c r="F46" s="84">
        <v>4006.2</v>
      </c>
      <c r="G46" s="84">
        <v>791</v>
      </c>
      <c r="H46" s="91">
        <v>41497</v>
      </c>
      <c r="I46" s="92">
        <v>0.64583333333333337</v>
      </c>
      <c r="J46" s="91">
        <v>41497</v>
      </c>
      <c r="K46" s="92">
        <v>0.65625</v>
      </c>
      <c r="L46" s="91">
        <v>41497</v>
      </c>
      <c r="M46" s="92">
        <v>0.6875</v>
      </c>
      <c r="N46" s="84" t="s">
        <v>41</v>
      </c>
      <c r="O46" s="84">
        <v>0</v>
      </c>
      <c r="P46" s="84">
        <v>0</v>
      </c>
      <c r="Q46" s="84">
        <v>0.2</v>
      </c>
      <c r="R46" s="84">
        <v>0</v>
      </c>
      <c r="S46" s="84">
        <v>0</v>
      </c>
      <c r="T46" s="84">
        <v>0</v>
      </c>
      <c r="U46" s="84">
        <v>0</v>
      </c>
      <c r="V46" s="84">
        <v>0</v>
      </c>
      <c r="W46" s="84">
        <v>0</v>
      </c>
      <c r="X46" s="75" t="s">
        <v>1034</v>
      </c>
      <c r="Y46" s="77">
        <v>0</v>
      </c>
      <c r="Z46" s="77">
        <v>0</v>
      </c>
      <c r="AA46" s="77">
        <v>0.2</v>
      </c>
      <c r="AB46" s="77">
        <v>0</v>
      </c>
      <c r="AC46" s="435" t="s">
        <v>1034</v>
      </c>
      <c r="AD46" s="77">
        <v>0.2</v>
      </c>
      <c r="AE46" s="84" t="s">
        <v>117</v>
      </c>
      <c r="AF46" s="84" t="s">
        <v>117</v>
      </c>
      <c r="AG46" s="84" t="s">
        <v>72</v>
      </c>
      <c r="AH46" s="84" t="s">
        <v>1031</v>
      </c>
      <c r="AI46" s="84" t="s">
        <v>304</v>
      </c>
      <c r="AJ46" s="93">
        <v>3750</v>
      </c>
      <c r="AK46" s="94" t="s">
        <v>305</v>
      </c>
    </row>
    <row r="47" spans="1:37" x14ac:dyDescent="0.35">
      <c r="A47" s="85" t="s">
        <v>1035</v>
      </c>
      <c r="B47" s="86" t="s">
        <v>357</v>
      </c>
      <c r="C47" s="87" t="s">
        <v>447</v>
      </c>
      <c r="D47" s="86" t="s">
        <v>1036</v>
      </c>
      <c r="E47" s="84">
        <v>540.4</v>
      </c>
      <c r="F47" s="84">
        <v>4036.8</v>
      </c>
      <c r="G47" s="84">
        <v>850</v>
      </c>
      <c r="H47" s="91">
        <v>41497</v>
      </c>
      <c r="I47" s="92">
        <v>0.65277777777777779</v>
      </c>
      <c r="J47" s="91">
        <v>41497</v>
      </c>
      <c r="K47" s="92">
        <v>0.66319444444444442</v>
      </c>
      <c r="L47" s="91">
        <v>41497</v>
      </c>
      <c r="M47" s="92">
        <v>0.78125</v>
      </c>
      <c r="N47" s="84" t="s">
        <v>62</v>
      </c>
      <c r="O47" s="84">
        <v>0</v>
      </c>
      <c r="P47" s="84">
        <v>0</v>
      </c>
      <c r="Q47" s="84">
        <v>0</v>
      </c>
      <c r="R47" s="84">
        <v>0</v>
      </c>
      <c r="S47" s="84">
        <v>0</v>
      </c>
      <c r="T47" s="84">
        <v>1.5</v>
      </c>
      <c r="U47" s="84">
        <v>0</v>
      </c>
      <c r="V47" s="84">
        <v>0</v>
      </c>
      <c r="W47" s="84">
        <v>0</v>
      </c>
      <c r="X47" s="95" t="s">
        <v>1037</v>
      </c>
      <c r="Y47" s="77">
        <v>1.5</v>
      </c>
      <c r="Z47" s="77">
        <v>0</v>
      </c>
      <c r="AA47" s="77">
        <v>0</v>
      </c>
      <c r="AB47" s="77">
        <v>0</v>
      </c>
      <c r="AC47" s="437" t="s">
        <v>1037</v>
      </c>
      <c r="AD47" s="77">
        <v>1.5</v>
      </c>
      <c r="AE47" s="84" t="s">
        <v>117</v>
      </c>
      <c r="AF47" s="84" t="s">
        <v>117</v>
      </c>
      <c r="AG47" s="84" t="s">
        <v>72</v>
      </c>
      <c r="AH47" s="96" t="s">
        <v>1038</v>
      </c>
      <c r="AI47" s="98" t="s">
        <v>1039</v>
      </c>
      <c r="AJ47" s="97">
        <v>30000</v>
      </c>
      <c r="AK47" s="94" t="s">
        <v>305</v>
      </c>
    </row>
    <row r="48" spans="1:37" x14ac:dyDescent="0.35">
      <c r="A48" s="85" t="s">
        <v>1040</v>
      </c>
      <c r="B48" s="90" t="s">
        <v>626</v>
      </c>
      <c r="C48" s="87" t="s">
        <v>974</v>
      </c>
      <c r="D48" s="86" t="s">
        <v>1041</v>
      </c>
      <c r="E48" s="84">
        <v>3996.3</v>
      </c>
      <c r="F48" s="84">
        <v>581.9</v>
      </c>
      <c r="G48" s="84">
        <v>951</v>
      </c>
      <c r="H48" s="91">
        <v>41497</v>
      </c>
      <c r="I48" s="92">
        <v>0.6875</v>
      </c>
      <c r="J48" s="91">
        <v>41497</v>
      </c>
      <c r="K48" s="92">
        <v>0.69791666666666663</v>
      </c>
      <c r="L48" s="91">
        <v>41497</v>
      </c>
      <c r="M48" s="92">
        <v>0.79166666666666663</v>
      </c>
      <c r="N48" s="84" t="s">
        <v>41</v>
      </c>
      <c r="O48" s="84">
        <v>0</v>
      </c>
      <c r="P48" s="84">
        <v>0</v>
      </c>
      <c r="Q48" s="84">
        <v>3</v>
      </c>
      <c r="R48" s="84">
        <v>0</v>
      </c>
      <c r="S48" s="84">
        <v>0</v>
      </c>
      <c r="T48" s="84">
        <v>0</v>
      </c>
      <c r="U48" s="84">
        <v>0</v>
      </c>
      <c r="V48" s="84">
        <v>0</v>
      </c>
      <c r="W48" s="84">
        <v>0</v>
      </c>
      <c r="X48" s="95">
        <v>0</v>
      </c>
      <c r="Y48" s="77">
        <v>0</v>
      </c>
      <c r="Z48" s="77">
        <v>0</v>
      </c>
      <c r="AA48" s="77">
        <v>3</v>
      </c>
      <c r="AB48" s="77">
        <v>0</v>
      </c>
      <c r="AC48" s="437">
        <v>0</v>
      </c>
      <c r="AD48" s="77">
        <v>3</v>
      </c>
      <c r="AE48" s="84" t="s">
        <v>117</v>
      </c>
      <c r="AF48" s="84" t="s">
        <v>117</v>
      </c>
      <c r="AG48" s="84" t="s">
        <v>72</v>
      </c>
      <c r="AH48" s="84" t="s">
        <v>1031</v>
      </c>
      <c r="AI48" s="84" t="s">
        <v>304</v>
      </c>
      <c r="AJ48" s="97">
        <v>750</v>
      </c>
      <c r="AK48" s="94" t="s">
        <v>305</v>
      </c>
    </row>
    <row r="49" spans="1:37" x14ac:dyDescent="0.35">
      <c r="A49" s="85" t="s">
        <v>1042</v>
      </c>
      <c r="B49" s="86" t="s">
        <v>281</v>
      </c>
      <c r="C49" s="86" t="s">
        <v>491</v>
      </c>
      <c r="D49" s="86" t="s">
        <v>717</v>
      </c>
      <c r="E49" s="84">
        <v>649.1</v>
      </c>
      <c r="F49" s="84">
        <v>350.95</v>
      </c>
      <c r="G49" s="84">
        <v>1380</v>
      </c>
      <c r="H49" s="91">
        <v>41497</v>
      </c>
      <c r="I49" s="92">
        <v>0.86805555555555547</v>
      </c>
      <c r="J49" s="91">
        <v>41497</v>
      </c>
      <c r="K49" s="92">
        <v>0.88541666666666663</v>
      </c>
      <c r="L49" s="91">
        <v>41497</v>
      </c>
      <c r="M49" s="92">
        <v>6.25E-2</v>
      </c>
      <c r="N49" s="84" t="s">
        <v>41</v>
      </c>
      <c r="O49" s="84">
        <v>0</v>
      </c>
      <c r="P49" s="84">
        <v>3</v>
      </c>
      <c r="Q49" s="84">
        <v>5</v>
      </c>
      <c r="R49" s="84">
        <v>0</v>
      </c>
      <c r="S49" s="84">
        <v>0</v>
      </c>
      <c r="T49" s="84">
        <v>0</v>
      </c>
      <c r="U49" s="84">
        <v>0</v>
      </c>
      <c r="V49" s="84">
        <v>0</v>
      </c>
      <c r="W49" s="84">
        <v>0</v>
      </c>
      <c r="X49" s="75" t="s">
        <v>1043</v>
      </c>
      <c r="Y49" s="77">
        <v>0</v>
      </c>
      <c r="Z49" s="77">
        <v>3</v>
      </c>
      <c r="AA49" s="77">
        <v>5</v>
      </c>
      <c r="AB49" s="77">
        <v>0</v>
      </c>
      <c r="AC49" s="435" t="s">
        <v>1043</v>
      </c>
      <c r="AD49" s="77">
        <v>8</v>
      </c>
      <c r="AE49" s="84" t="s">
        <v>66</v>
      </c>
      <c r="AF49" s="84" t="s">
        <v>117</v>
      </c>
      <c r="AG49" s="84" t="s">
        <v>72</v>
      </c>
      <c r="AH49" s="96" t="s">
        <v>1044</v>
      </c>
      <c r="AI49" s="84" t="s">
        <v>1045</v>
      </c>
      <c r="AJ49" s="93">
        <v>14560</v>
      </c>
      <c r="AK49" s="94" t="s">
        <v>305</v>
      </c>
    </row>
    <row r="50" spans="1:37" x14ac:dyDescent="0.35">
      <c r="A50" s="85" t="s">
        <v>1046</v>
      </c>
      <c r="B50" s="86" t="s">
        <v>281</v>
      </c>
      <c r="C50" s="86" t="s">
        <v>491</v>
      </c>
      <c r="D50" s="86" t="s">
        <v>1047</v>
      </c>
      <c r="E50" s="84">
        <v>643.45000000000005</v>
      </c>
      <c r="F50" s="84">
        <v>351</v>
      </c>
      <c r="G50" s="84">
        <v>1480</v>
      </c>
      <c r="H50" s="91">
        <v>41498</v>
      </c>
      <c r="I50" s="92">
        <v>0.60625000000000007</v>
      </c>
      <c r="J50" s="91">
        <v>41498</v>
      </c>
      <c r="K50" s="92">
        <v>0.62152777777777779</v>
      </c>
      <c r="L50" s="91">
        <v>41498</v>
      </c>
      <c r="M50" s="92">
        <v>0.8965277777777777</v>
      </c>
      <c r="N50" s="84" t="s">
        <v>81</v>
      </c>
      <c r="O50" s="84">
        <v>0</v>
      </c>
      <c r="P50" s="84">
        <v>4</v>
      </c>
      <c r="Q50" s="84">
        <v>0</v>
      </c>
      <c r="R50" s="84">
        <v>0</v>
      </c>
      <c r="S50" s="84">
        <v>0</v>
      </c>
      <c r="T50" s="84">
        <v>0</v>
      </c>
      <c r="U50" s="84">
        <v>0</v>
      </c>
      <c r="V50" s="84">
        <v>0</v>
      </c>
      <c r="W50" s="84">
        <v>0</v>
      </c>
      <c r="X50" s="75">
        <v>0</v>
      </c>
      <c r="Y50" s="77">
        <v>0</v>
      </c>
      <c r="Z50" s="77">
        <v>4</v>
      </c>
      <c r="AA50" s="77">
        <v>0</v>
      </c>
      <c r="AB50" s="77">
        <v>0</v>
      </c>
      <c r="AC50" s="435">
        <v>0</v>
      </c>
      <c r="AD50" s="77">
        <v>4</v>
      </c>
      <c r="AE50" s="84" t="s">
        <v>66</v>
      </c>
      <c r="AF50" s="84" t="s">
        <v>117</v>
      </c>
      <c r="AG50" s="84" t="s">
        <v>57</v>
      </c>
      <c r="AH50" s="96" t="s">
        <v>1048</v>
      </c>
      <c r="AI50" s="84" t="s">
        <v>1045</v>
      </c>
      <c r="AJ50" s="93">
        <v>7800</v>
      </c>
      <c r="AK50" s="94" t="s">
        <v>305</v>
      </c>
    </row>
    <row r="51" spans="1:37" x14ac:dyDescent="0.35">
      <c r="A51" s="85" t="s">
        <v>1049</v>
      </c>
      <c r="B51" s="86" t="s">
        <v>344</v>
      </c>
      <c r="C51" s="86" t="s">
        <v>344</v>
      </c>
      <c r="D51" s="86" t="s">
        <v>1050</v>
      </c>
      <c r="E51" s="84">
        <v>3999.2</v>
      </c>
      <c r="F51" s="84">
        <v>563.4</v>
      </c>
      <c r="G51" s="84">
        <v>927</v>
      </c>
      <c r="H51" s="91">
        <v>41498</v>
      </c>
      <c r="I51" s="92">
        <v>0.64583333333333337</v>
      </c>
      <c r="J51" s="91">
        <v>41498</v>
      </c>
      <c r="K51" s="92">
        <v>0.65625</v>
      </c>
      <c r="L51" s="91">
        <v>41498</v>
      </c>
      <c r="M51" s="92">
        <v>0.71250000000000002</v>
      </c>
      <c r="N51" s="84" t="s">
        <v>41</v>
      </c>
      <c r="O51" s="84">
        <v>0</v>
      </c>
      <c r="P51" s="84">
        <v>0</v>
      </c>
      <c r="Q51" s="84">
        <v>0.04</v>
      </c>
      <c r="R51" s="84">
        <v>0</v>
      </c>
      <c r="S51" s="84">
        <v>0</v>
      </c>
      <c r="T51" s="84">
        <v>0</v>
      </c>
      <c r="U51" s="84">
        <v>0</v>
      </c>
      <c r="V51" s="84">
        <v>0</v>
      </c>
      <c r="W51" s="84">
        <v>0</v>
      </c>
      <c r="X51" s="83">
        <v>0</v>
      </c>
      <c r="Y51" s="77">
        <v>0</v>
      </c>
      <c r="Z51" s="77">
        <v>0</v>
      </c>
      <c r="AA51" s="77">
        <v>0.04</v>
      </c>
      <c r="AB51" s="77">
        <v>0</v>
      </c>
      <c r="AC51" s="436">
        <v>0</v>
      </c>
      <c r="AD51" s="77">
        <v>0.04</v>
      </c>
      <c r="AE51" s="84" t="s">
        <v>117</v>
      </c>
      <c r="AF51" s="84" t="s">
        <v>117</v>
      </c>
      <c r="AG51" s="84" t="s">
        <v>72</v>
      </c>
      <c r="AH51" s="84" t="s">
        <v>937</v>
      </c>
      <c r="AI51" s="84" t="s">
        <v>304</v>
      </c>
      <c r="AJ51" s="99">
        <v>1250</v>
      </c>
      <c r="AK51" s="94" t="s">
        <v>305</v>
      </c>
    </row>
    <row r="52" spans="1:37" x14ac:dyDescent="0.35">
      <c r="A52" s="85" t="s">
        <v>1051</v>
      </c>
      <c r="B52" s="86" t="s">
        <v>320</v>
      </c>
      <c r="C52" s="86" t="s">
        <v>321</v>
      </c>
      <c r="D52" s="86" t="s">
        <v>1033</v>
      </c>
      <c r="E52" s="84">
        <v>583.6</v>
      </c>
      <c r="F52" s="84">
        <v>4005.9</v>
      </c>
      <c r="G52" s="84">
        <v>788</v>
      </c>
      <c r="H52" s="91">
        <v>41498</v>
      </c>
      <c r="I52" s="92">
        <v>0.6875</v>
      </c>
      <c r="J52" s="91">
        <v>41498</v>
      </c>
      <c r="K52" s="92">
        <v>0.69791666666666663</v>
      </c>
      <c r="L52" s="91">
        <v>41498</v>
      </c>
      <c r="M52" s="92">
        <v>0.76041666666666663</v>
      </c>
      <c r="N52" s="84" t="s">
        <v>70</v>
      </c>
      <c r="O52" s="84">
        <v>0</v>
      </c>
      <c r="P52" s="84">
        <v>0.5</v>
      </c>
      <c r="Q52" s="84">
        <v>0</v>
      </c>
      <c r="R52" s="84">
        <v>0</v>
      </c>
      <c r="S52" s="84">
        <v>0</v>
      </c>
      <c r="T52" s="84">
        <v>0</v>
      </c>
      <c r="U52" s="84">
        <v>0</v>
      </c>
      <c r="V52" s="84">
        <v>0</v>
      </c>
      <c r="W52" s="84">
        <v>0</v>
      </c>
      <c r="X52" s="75" t="s">
        <v>1052</v>
      </c>
      <c r="Y52" s="77">
        <v>0</v>
      </c>
      <c r="Z52" s="77">
        <v>0.5</v>
      </c>
      <c r="AA52" s="77">
        <v>0</v>
      </c>
      <c r="AB52" s="77">
        <v>0</v>
      </c>
      <c r="AC52" s="435" t="s">
        <v>1052</v>
      </c>
      <c r="AD52" s="77">
        <v>0.5</v>
      </c>
      <c r="AE52" s="84" t="s">
        <v>117</v>
      </c>
      <c r="AF52" s="84" t="s">
        <v>117</v>
      </c>
      <c r="AG52" s="84" t="s">
        <v>72</v>
      </c>
      <c r="AH52" s="84" t="s">
        <v>937</v>
      </c>
      <c r="AI52" s="84" t="s">
        <v>304</v>
      </c>
      <c r="AJ52" s="93">
        <v>3750</v>
      </c>
      <c r="AK52" s="94" t="s">
        <v>305</v>
      </c>
    </row>
    <row r="53" spans="1:37" x14ac:dyDescent="0.35">
      <c r="A53" s="85" t="s">
        <v>1053</v>
      </c>
      <c r="B53" s="86" t="s">
        <v>301</v>
      </c>
      <c r="C53" s="86" t="s">
        <v>301</v>
      </c>
      <c r="D53" s="86" t="s">
        <v>943</v>
      </c>
      <c r="E53" s="102">
        <v>600.5</v>
      </c>
      <c r="F53" s="102">
        <v>344</v>
      </c>
      <c r="G53" s="102">
        <v>549</v>
      </c>
      <c r="H53" s="91">
        <v>41499</v>
      </c>
      <c r="I53" s="92">
        <v>0.43402777777777773</v>
      </c>
      <c r="J53" s="91">
        <v>41499</v>
      </c>
      <c r="K53" s="92">
        <v>0.4375</v>
      </c>
      <c r="L53" s="91">
        <v>41499</v>
      </c>
      <c r="M53" s="92">
        <v>0.45833333333333331</v>
      </c>
      <c r="N53" s="84" t="s">
        <v>41</v>
      </c>
      <c r="O53" s="84">
        <v>0</v>
      </c>
      <c r="P53" s="84">
        <v>0</v>
      </c>
      <c r="Q53" s="84">
        <v>0.02</v>
      </c>
      <c r="R53" s="84">
        <v>0</v>
      </c>
      <c r="S53" s="84">
        <v>0</v>
      </c>
      <c r="T53" s="84">
        <v>0</v>
      </c>
      <c r="U53" s="84">
        <v>0</v>
      </c>
      <c r="V53" s="84">
        <v>0</v>
      </c>
      <c r="W53" s="84">
        <v>0</v>
      </c>
      <c r="X53" s="75">
        <v>0</v>
      </c>
      <c r="Y53" s="77">
        <v>0</v>
      </c>
      <c r="Z53" s="77">
        <v>0</v>
      </c>
      <c r="AA53" s="77">
        <v>0.02</v>
      </c>
      <c r="AB53" s="77">
        <v>0</v>
      </c>
      <c r="AC53" s="435">
        <v>0</v>
      </c>
      <c r="AD53" s="77">
        <v>0.02</v>
      </c>
      <c r="AE53" s="84" t="s">
        <v>117</v>
      </c>
      <c r="AF53" s="84" t="s">
        <v>117</v>
      </c>
      <c r="AG53" s="84" t="s">
        <v>72</v>
      </c>
      <c r="AH53" s="96" t="s">
        <v>1054</v>
      </c>
      <c r="AI53" s="84" t="s">
        <v>304</v>
      </c>
      <c r="AJ53" s="93">
        <v>2884</v>
      </c>
      <c r="AK53" s="94" t="s">
        <v>305</v>
      </c>
    </row>
    <row r="54" spans="1:37" x14ac:dyDescent="0.35">
      <c r="A54" s="85" t="s">
        <v>1055</v>
      </c>
      <c r="B54" s="86" t="s">
        <v>301</v>
      </c>
      <c r="C54" s="86" t="s">
        <v>481</v>
      </c>
      <c r="D54" s="86" t="s">
        <v>1056</v>
      </c>
      <c r="E54" s="84">
        <v>603.4</v>
      </c>
      <c r="F54" s="84">
        <v>341.3</v>
      </c>
      <c r="G54" s="84">
        <v>642</v>
      </c>
      <c r="H54" s="91">
        <v>41499</v>
      </c>
      <c r="I54" s="92">
        <v>0.51388888888888895</v>
      </c>
      <c r="J54" s="91">
        <v>41499</v>
      </c>
      <c r="K54" s="92">
        <v>0.52083333333333337</v>
      </c>
      <c r="L54" s="91">
        <v>41499</v>
      </c>
      <c r="M54" s="92">
        <v>0.75</v>
      </c>
      <c r="N54" s="84" t="s">
        <v>165</v>
      </c>
      <c r="O54" s="84">
        <v>30</v>
      </c>
      <c r="P54" s="84">
        <v>0</v>
      </c>
      <c r="Q54" s="84">
        <v>6</v>
      </c>
      <c r="R54" s="84">
        <v>0</v>
      </c>
      <c r="S54" s="84">
        <v>0</v>
      </c>
      <c r="T54" s="84">
        <v>0</v>
      </c>
      <c r="U54" s="84">
        <v>0</v>
      </c>
      <c r="V54" s="84">
        <v>0</v>
      </c>
      <c r="W54" s="84">
        <v>0</v>
      </c>
      <c r="X54" s="75" t="s">
        <v>1057</v>
      </c>
      <c r="Y54" s="77">
        <v>30</v>
      </c>
      <c r="Z54" s="77">
        <v>0</v>
      </c>
      <c r="AA54" s="77">
        <v>6</v>
      </c>
      <c r="AB54" s="77">
        <v>0</v>
      </c>
      <c r="AC54" s="435" t="s">
        <v>1057</v>
      </c>
      <c r="AD54" s="77">
        <v>36</v>
      </c>
      <c r="AE54" s="84" t="s">
        <v>117</v>
      </c>
      <c r="AF54" s="84" t="s">
        <v>117</v>
      </c>
      <c r="AG54" s="84" t="s">
        <v>72</v>
      </c>
      <c r="AH54" s="96" t="s">
        <v>1058</v>
      </c>
      <c r="AI54" s="84" t="s">
        <v>938</v>
      </c>
      <c r="AJ54" s="97">
        <v>1190000</v>
      </c>
      <c r="AK54" s="94" t="s">
        <v>305</v>
      </c>
    </row>
    <row r="55" spans="1:37" x14ac:dyDescent="0.35">
      <c r="A55" s="85" t="s">
        <v>1059</v>
      </c>
      <c r="B55" s="86" t="s">
        <v>344</v>
      </c>
      <c r="C55" s="86" t="s">
        <v>344</v>
      </c>
      <c r="D55" s="86" t="s">
        <v>1060</v>
      </c>
      <c r="E55" s="84">
        <v>562.9</v>
      </c>
      <c r="F55" s="84">
        <v>4001.2</v>
      </c>
      <c r="G55" s="84">
        <v>921</v>
      </c>
      <c r="H55" s="91">
        <v>41499</v>
      </c>
      <c r="I55" s="92">
        <v>0.51736111111111105</v>
      </c>
      <c r="J55" s="91">
        <v>41499</v>
      </c>
      <c r="K55" s="92">
        <v>0.52430555555555558</v>
      </c>
      <c r="L55" s="91">
        <v>41499</v>
      </c>
      <c r="M55" s="92">
        <v>0.53125</v>
      </c>
      <c r="N55" s="84" t="s">
        <v>41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0.05</v>
      </c>
      <c r="W55" s="84">
        <v>0</v>
      </c>
      <c r="X55" s="75" t="s">
        <v>1061</v>
      </c>
      <c r="Y55" s="77">
        <v>0</v>
      </c>
      <c r="Z55" s="77">
        <v>0</v>
      </c>
      <c r="AA55" s="77">
        <v>0.05</v>
      </c>
      <c r="AB55" s="77">
        <v>0</v>
      </c>
      <c r="AC55" s="435" t="s">
        <v>1061</v>
      </c>
      <c r="AD55" s="77">
        <v>0.05</v>
      </c>
      <c r="AE55" s="84" t="s">
        <v>117</v>
      </c>
      <c r="AF55" s="84" t="s">
        <v>117</v>
      </c>
      <c r="AG55" s="84" t="s">
        <v>72</v>
      </c>
      <c r="AH55" s="84" t="s">
        <v>1017</v>
      </c>
      <c r="AI55" s="84" t="s">
        <v>304</v>
      </c>
      <c r="AJ55" s="93">
        <v>5000</v>
      </c>
      <c r="AK55" s="94" t="s">
        <v>305</v>
      </c>
    </row>
    <row r="56" spans="1:37" x14ac:dyDescent="0.35">
      <c r="A56" s="85" t="s">
        <v>1062</v>
      </c>
      <c r="B56" s="90" t="s">
        <v>626</v>
      </c>
      <c r="C56" s="87" t="s">
        <v>434</v>
      </c>
      <c r="D56" s="86" t="s">
        <v>1063</v>
      </c>
      <c r="E56" s="84">
        <v>3989.7</v>
      </c>
      <c r="F56" s="84">
        <v>588.70000000000005</v>
      </c>
      <c r="G56" s="84">
        <v>858</v>
      </c>
      <c r="H56" s="91">
        <v>41499</v>
      </c>
      <c r="I56" s="92">
        <v>0.58333333333333337</v>
      </c>
      <c r="J56" s="91">
        <v>41499</v>
      </c>
      <c r="K56" s="92">
        <v>0.59375</v>
      </c>
      <c r="L56" s="91">
        <v>41499</v>
      </c>
      <c r="M56" s="92">
        <v>0.63194444444444442</v>
      </c>
      <c r="N56" s="84" t="s">
        <v>40</v>
      </c>
      <c r="O56" s="84">
        <v>0</v>
      </c>
      <c r="P56" s="84">
        <v>0.5</v>
      </c>
      <c r="Q56" s="84">
        <v>0</v>
      </c>
      <c r="R56" s="84">
        <v>0</v>
      </c>
      <c r="S56" s="84">
        <v>0</v>
      </c>
      <c r="T56" s="84">
        <v>0</v>
      </c>
      <c r="U56" s="84">
        <v>0</v>
      </c>
      <c r="V56" s="84">
        <v>0</v>
      </c>
      <c r="W56" s="84">
        <v>0</v>
      </c>
      <c r="X56" s="75">
        <v>0</v>
      </c>
      <c r="Y56" s="77">
        <v>0</v>
      </c>
      <c r="Z56" s="77">
        <v>0.5</v>
      </c>
      <c r="AA56" s="77">
        <v>0</v>
      </c>
      <c r="AB56" s="77">
        <v>0</v>
      </c>
      <c r="AC56" s="435">
        <v>0</v>
      </c>
      <c r="AD56" s="77">
        <v>0.5</v>
      </c>
      <c r="AE56" s="84" t="s">
        <v>117</v>
      </c>
      <c r="AF56" s="84" t="s">
        <v>117</v>
      </c>
      <c r="AG56" s="84" t="s">
        <v>57</v>
      </c>
      <c r="AH56" s="84" t="s">
        <v>924</v>
      </c>
      <c r="AI56" s="84" t="s">
        <v>938</v>
      </c>
      <c r="AJ56" s="93">
        <v>7250</v>
      </c>
      <c r="AK56" s="94" t="s">
        <v>305</v>
      </c>
    </row>
    <row r="57" spans="1:37" x14ac:dyDescent="0.35">
      <c r="A57" s="85" t="s">
        <v>1064</v>
      </c>
      <c r="B57" s="86" t="s">
        <v>405</v>
      </c>
      <c r="C57" s="86" t="s">
        <v>405</v>
      </c>
      <c r="D57" s="86" t="s">
        <v>1003</v>
      </c>
      <c r="E57" s="84">
        <v>566.5</v>
      </c>
      <c r="F57" s="84">
        <v>4032.6</v>
      </c>
      <c r="G57" s="84">
        <v>750</v>
      </c>
      <c r="H57" s="91">
        <v>41499</v>
      </c>
      <c r="I57" s="92">
        <v>0.61458333333333337</v>
      </c>
      <c r="J57" s="92" t="s">
        <v>175</v>
      </c>
      <c r="K57" s="92" t="s">
        <v>175</v>
      </c>
      <c r="L57" s="91">
        <v>41499</v>
      </c>
      <c r="M57" s="92">
        <v>0.70833333333333337</v>
      </c>
      <c r="N57" s="84" t="s">
        <v>41</v>
      </c>
      <c r="O57" s="84">
        <v>0</v>
      </c>
      <c r="P57" s="84">
        <v>0</v>
      </c>
      <c r="Q57" s="84">
        <v>0.5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95">
        <v>0</v>
      </c>
      <c r="Y57" s="77">
        <v>0</v>
      </c>
      <c r="Z57" s="77">
        <v>0</v>
      </c>
      <c r="AA57" s="77">
        <v>0.5</v>
      </c>
      <c r="AB57" s="77">
        <v>0</v>
      </c>
      <c r="AC57" s="437">
        <v>0</v>
      </c>
      <c r="AD57" s="77">
        <v>0.5</v>
      </c>
      <c r="AE57" s="84" t="s">
        <v>117</v>
      </c>
      <c r="AF57" s="84" t="s">
        <v>117</v>
      </c>
      <c r="AG57" s="84" t="s">
        <v>72</v>
      </c>
      <c r="AH57" s="96" t="s">
        <v>1065</v>
      </c>
      <c r="AI57" s="98" t="s">
        <v>175</v>
      </c>
      <c r="AJ57" s="97">
        <v>12500</v>
      </c>
      <c r="AK57" s="94" t="s">
        <v>305</v>
      </c>
    </row>
    <row r="58" spans="1:37" x14ac:dyDescent="0.35">
      <c r="A58" s="85" t="s">
        <v>1066</v>
      </c>
      <c r="B58" s="86" t="s">
        <v>312</v>
      </c>
      <c r="C58" s="86" t="s">
        <v>312</v>
      </c>
      <c r="D58" s="86" t="s">
        <v>1067</v>
      </c>
      <c r="E58" s="84">
        <v>621.79999999999995</v>
      </c>
      <c r="F58" s="84">
        <v>347.2</v>
      </c>
      <c r="G58" s="84">
        <v>960</v>
      </c>
      <c r="H58" s="91">
        <v>41499</v>
      </c>
      <c r="I58" s="92">
        <v>0.6875</v>
      </c>
      <c r="J58" s="91">
        <v>41499</v>
      </c>
      <c r="K58" s="92">
        <v>0.69097222222222221</v>
      </c>
      <c r="L58" s="91">
        <v>41499</v>
      </c>
      <c r="M58" s="92">
        <v>0.90972222222222221</v>
      </c>
      <c r="N58" s="84" t="s">
        <v>81</v>
      </c>
      <c r="O58" s="84">
        <v>6</v>
      </c>
      <c r="P58" s="84">
        <v>7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75">
        <v>0</v>
      </c>
      <c r="Y58" s="77">
        <v>6</v>
      </c>
      <c r="Z58" s="77">
        <v>7</v>
      </c>
      <c r="AA58" s="77">
        <v>0</v>
      </c>
      <c r="AB58" s="77">
        <v>0</v>
      </c>
      <c r="AC58" s="435">
        <v>0</v>
      </c>
      <c r="AD58" s="77">
        <v>13</v>
      </c>
      <c r="AE58" s="84" t="s">
        <v>117</v>
      </c>
      <c r="AF58" s="84" t="s">
        <v>117</v>
      </c>
      <c r="AG58" s="84" t="s">
        <v>72</v>
      </c>
      <c r="AH58" s="96" t="s">
        <v>1065</v>
      </c>
      <c r="AI58" s="84" t="s">
        <v>938</v>
      </c>
      <c r="AJ58" s="93">
        <v>5636300</v>
      </c>
      <c r="AK58" s="94" t="s">
        <v>305</v>
      </c>
    </row>
    <row r="59" spans="1:37" x14ac:dyDescent="0.35">
      <c r="A59" s="85" t="s">
        <v>1068</v>
      </c>
      <c r="B59" s="86" t="s">
        <v>301</v>
      </c>
      <c r="C59" s="86" t="s">
        <v>301</v>
      </c>
      <c r="D59" s="86" t="s">
        <v>943</v>
      </c>
      <c r="E59" s="84">
        <v>606.79999999999995</v>
      </c>
      <c r="F59" s="84">
        <v>347.1</v>
      </c>
      <c r="G59" s="84">
        <v>487</v>
      </c>
      <c r="H59" s="91">
        <v>41499</v>
      </c>
      <c r="I59" s="92">
        <v>0.70833333333333337</v>
      </c>
      <c r="J59" s="91">
        <v>41499</v>
      </c>
      <c r="K59" s="92">
        <v>0.71527777777777779</v>
      </c>
      <c r="L59" s="91">
        <v>41499</v>
      </c>
      <c r="M59" s="92">
        <v>0.77083333333333337</v>
      </c>
      <c r="N59" s="84" t="s">
        <v>41</v>
      </c>
      <c r="O59" s="84">
        <v>0</v>
      </c>
      <c r="P59" s="84">
        <v>0</v>
      </c>
      <c r="Q59" s="84">
        <v>0.02</v>
      </c>
      <c r="R59" s="84">
        <v>0</v>
      </c>
      <c r="S59" s="84">
        <v>0</v>
      </c>
      <c r="T59" s="84">
        <v>0</v>
      </c>
      <c r="U59" s="84">
        <v>0</v>
      </c>
      <c r="V59" s="84">
        <v>0</v>
      </c>
      <c r="W59" s="84">
        <v>0</v>
      </c>
      <c r="X59" s="75" t="s">
        <v>1069</v>
      </c>
      <c r="Y59" s="77">
        <v>0</v>
      </c>
      <c r="Z59" s="77">
        <v>0</v>
      </c>
      <c r="AA59" s="77">
        <v>0.02</v>
      </c>
      <c r="AB59" s="77">
        <v>0</v>
      </c>
      <c r="AC59" s="435" t="s">
        <v>1069</v>
      </c>
      <c r="AD59" s="77">
        <v>0.02</v>
      </c>
      <c r="AE59" s="84" t="s">
        <v>117</v>
      </c>
      <c r="AF59" s="84" t="s">
        <v>117</v>
      </c>
      <c r="AG59" s="84" t="s">
        <v>72</v>
      </c>
      <c r="AH59" s="96" t="s">
        <v>1070</v>
      </c>
      <c r="AI59" s="84" t="s">
        <v>65</v>
      </c>
      <c r="AJ59" s="93">
        <v>685.6</v>
      </c>
      <c r="AK59" s="94" t="s">
        <v>305</v>
      </c>
    </row>
    <row r="60" spans="1:37" x14ac:dyDescent="0.35">
      <c r="A60" s="85" t="s">
        <v>1071</v>
      </c>
      <c r="B60" s="86" t="s">
        <v>312</v>
      </c>
      <c r="C60" s="86" t="s">
        <v>312</v>
      </c>
      <c r="D60" s="86" t="s">
        <v>1067</v>
      </c>
      <c r="E60" s="84">
        <v>622</v>
      </c>
      <c r="F60" s="84">
        <v>347.5</v>
      </c>
      <c r="G60" s="84">
        <v>960</v>
      </c>
      <c r="H60" s="91">
        <v>41500</v>
      </c>
      <c r="I60" s="92">
        <v>0.9375</v>
      </c>
      <c r="J60" s="91">
        <v>41500</v>
      </c>
      <c r="K60" s="92">
        <v>0.94791666666666663</v>
      </c>
      <c r="L60" s="91">
        <v>41501</v>
      </c>
      <c r="M60" s="92">
        <v>0.33333333333333331</v>
      </c>
      <c r="N60" s="84" t="s">
        <v>62</v>
      </c>
      <c r="O60" s="84">
        <v>4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95">
        <v>0</v>
      </c>
      <c r="Y60" s="77">
        <v>4</v>
      </c>
      <c r="Z60" s="77">
        <v>0</v>
      </c>
      <c r="AA60" s="77">
        <v>0</v>
      </c>
      <c r="AB60" s="77">
        <v>0</v>
      </c>
      <c r="AC60" s="437">
        <v>0</v>
      </c>
      <c r="AD60" s="77">
        <v>4</v>
      </c>
      <c r="AE60" s="84" t="s">
        <v>117</v>
      </c>
      <c r="AF60" s="84" t="s">
        <v>117</v>
      </c>
      <c r="AG60" s="84" t="s">
        <v>57</v>
      </c>
      <c r="AH60" s="96" t="s">
        <v>1072</v>
      </c>
      <c r="AI60" s="84" t="s">
        <v>938</v>
      </c>
      <c r="AJ60" s="97">
        <v>860400</v>
      </c>
      <c r="AK60" s="94" t="s">
        <v>305</v>
      </c>
    </row>
    <row r="61" spans="1:37" x14ac:dyDescent="0.35">
      <c r="A61" s="85" t="s">
        <v>1073</v>
      </c>
      <c r="B61" s="86" t="s">
        <v>286</v>
      </c>
      <c r="C61" s="87" t="s">
        <v>953</v>
      </c>
      <c r="D61" s="86" t="s">
        <v>1074</v>
      </c>
      <c r="E61" s="84">
        <v>593.1</v>
      </c>
      <c r="F61" s="84">
        <v>4007.75</v>
      </c>
      <c r="G61" s="84">
        <v>920</v>
      </c>
      <c r="H61" s="91">
        <v>41500</v>
      </c>
      <c r="I61" s="92">
        <v>0.47222222222222227</v>
      </c>
      <c r="J61" s="91">
        <v>41500</v>
      </c>
      <c r="K61" s="92">
        <v>0.4861111111111111</v>
      </c>
      <c r="L61" s="91">
        <v>41500</v>
      </c>
      <c r="M61" s="92">
        <v>0.70833333333333337</v>
      </c>
      <c r="N61" s="84" t="s">
        <v>62</v>
      </c>
      <c r="O61" s="84">
        <v>5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75" t="s">
        <v>1075</v>
      </c>
      <c r="Y61" s="77">
        <v>5</v>
      </c>
      <c r="Z61" s="77">
        <v>0</v>
      </c>
      <c r="AA61" s="77">
        <v>0</v>
      </c>
      <c r="AB61" s="77">
        <v>0</v>
      </c>
      <c r="AC61" s="435" t="s">
        <v>1075</v>
      </c>
      <c r="AD61" s="77">
        <v>5</v>
      </c>
      <c r="AE61" s="84" t="s">
        <v>368</v>
      </c>
      <c r="AF61" s="84" t="s">
        <v>117</v>
      </c>
      <c r="AG61" s="84" t="s">
        <v>72</v>
      </c>
      <c r="AH61" s="96" t="s">
        <v>1076</v>
      </c>
      <c r="AI61" s="84" t="s">
        <v>304</v>
      </c>
      <c r="AJ61" s="93">
        <v>160560</v>
      </c>
      <c r="AK61" s="94" t="s">
        <v>305</v>
      </c>
    </row>
    <row r="62" spans="1:37" x14ac:dyDescent="0.35">
      <c r="A62" s="85" t="s">
        <v>1077</v>
      </c>
      <c r="B62" s="86" t="s">
        <v>286</v>
      </c>
      <c r="C62" s="87" t="s">
        <v>953</v>
      </c>
      <c r="D62" s="86" t="s">
        <v>1078</v>
      </c>
      <c r="E62" s="84">
        <v>328.75</v>
      </c>
      <c r="F62" s="84">
        <v>616.79999999999995</v>
      </c>
      <c r="G62" s="84">
        <v>580</v>
      </c>
      <c r="H62" s="91">
        <v>41500</v>
      </c>
      <c r="I62" s="92">
        <v>0.49652777777777773</v>
      </c>
      <c r="J62" s="91">
        <v>41500</v>
      </c>
      <c r="K62" s="92">
        <v>0.50694444444444442</v>
      </c>
      <c r="L62" s="91">
        <v>41500</v>
      </c>
      <c r="M62" s="92">
        <v>0.71875</v>
      </c>
      <c r="N62" s="84" t="s">
        <v>62</v>
      </c>
      <c r="O62" s="84">
        <v>0.5</v>
      </c>
      <c r="P62" s="84">
        <v>0</v>
      </c>
      <c r="Q62" s="84">
        <v>0.5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75" t="s">
        <v>1079</v>
      </c>
      <c r="Y62" s="77">
        <v>0.5</v>
      </c>
      <c r="Z62" s="77">
        <v>0</v>
      </c>
      <c r="AA62" s="77">
        <v>0.5</v>
      </c>
      <c r="AB62" s="77">
        <v>0</v>
      </c>
      <c r="AC62" s="435" t="s">
        <v>1079</v>
      </c>
      <c r="AD62" s="77">
        <v>1</v>
      </c>
      <c r="AE62" s="84" t="s">
        <v>368</v>
      </c>
      <c r="AF62" s="84" t="s">
        <v>117</v>
      </c>
      <c r="AG62" s="84" t="s">
        <v>72</v>
      </c>
      <c r="AH62" s="96" t="s">
        <v>1080</v>
      </c>
      <c r="AI62" s="84" t="s">
        <v>304</v>
      </c>
      <c r="AJ62" s="93">
        <v>18100</v>
      </c>
      <c r="AK62" s="94" t="s">
        <v>305</v>
      </c>
    </row>
    <row r="63" spans="1:37" x14ac:dyDescent="0.35">
      <c r="A63" s="85" t="s">
        <v>1081</v>
      </c>
      <c r="B63" s="86" t="s">
        <v>344</v>
      </c>
      <c r="C63" s="86" t="s">
        <v>1030</v>
      </c>
      <c r="D63" s="86" t="s">
        <v>1082</v>
      </c>
      <c r="E63" s="84">
        <v>555.79999999999995</v>
      </c>
      <c r="F63" s="84">
        <v>4000.5</v>
      </c>
      <c r="G63" s="84">
        <v>1128</v>
      </c>
      <c r="H63" s="91">
        <v>41500</v>
      </c>
      <c r="I63" s="92">
        <v>0.51388888888888895</v>
      </c>
      <c r="J63" s="91">
        <v>41500</v>
      </c>
      <c r="K63" s="92">
        <v>0.52083333333333337</v>
      </c>
      <c r="L63" s="91">
        <v>41500</v>
      </c>
      <c r="M63" s="92">
        <v>0.73263888888888884</v>
      </c>
      <c r="N63" s="84" t="s">
        <v>81</v>
      </c>
      <c r="O63" s="84">
        <v>0</v>
      </c>
      <c r="P63" s="84">
        <v>2</v>
      </c>
      <c r="Q63" s="84">
        <v>0</v>
      </c>
      <c r="R63" s="84">
        <v>0</v>
      </c>
      <c r="S63" s="84">
        <v>0</v>
      </c>
      <c r="T63" s="84">
        <v>0</v>
      </c>
      <c r="U63" s="84">
        <v>1</v>
      </c>
      <c r="V63" s="84">
        <v>0</v>
      </c>
      <c r="W63" s="84">
        <v>0</v>
      </c>
      <c r="X63" s="83">
        <v>0</v>
      </c>
      <c r="Y63" s="77">
        <v>0</v>
      </c>
      <c r="Z63" s="77">
        <v>3</v>
      </c>
      <c r="AA63" s="77">
        <v>0</v>
      </c>
      <c r="AB63" s="77">
        <v>0</v>
      </c>
      <c r="AC63" s="436">
        <v>0</v>
      </c>
      <c r="AD63" s="77">
        <v>3</v>
      </c>
      <c r="AE63" s="84" t="s">
        <v>117</v>
      </c>
      <c r="AF63" s="84" t="s">
        <v>117</v>
      </c>
      <c r="AG63" s="84" t="s">
        <v>72</v>
      </c>
      <c r="AH63" s="84" t="s">
        <v>924</v>
      </c>
      <c r="AI63" s="84" t="s">
        <v>938</v>
      </c>
      <c r="AJ63" s="99">
        <v>13750</v>
      </c>
      <c r="AK63" s="94" t="s">
        <v>305</v>
      </c>
    </row>
    <row r="64" spans="1:37" x14ac:dyDescent="0.35">
      <c r="A64" s="85" t="s">
        <v>1083</v>
      </c>
      <c r="B64" s="86" t="s">
        <v>301</v>
      </c>
      <c r="C64" s="86" t="s">
        <v>481</v>
      </c>
      <c r="D64" s="86" t="s">
        <v>1056</v>
      </c>
      <c r="E64" s="84">
        <v>603</v>
      </c>
      <c r="F64" s="84">
        <v>347</v>
      </c>
      <c r="G64" s="84">
        <v>586</v>
      </c>
      <c r="H64" s="91">
        <v>41500</v>
      </c>
      <c r="I64" s="92">
        <v>0.5625</v>
      </c>
      <c r="J64" s="91">
        <v>41500</v>
      </c>
      <c r="K64" s="92">
        <v>0.56597222222222221</v>
      </c>
      <c r="L64" s="91">
        <v>41500</v>
      </c>
      <c r="M64" s="92">
        <v>0.6875</v>
      </c>
      <c r="N64" s="84" t="s">
        <v>70</v>
      </c>
      <c r="O64" s="84">
        <v>0</v>
      </c>
      <c r="P64" s="84">
        <v>0.5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75" t="s">
        <v>1084</v>
      </c>
      <c r="Y64" s="77">
        <v>0</v>
      </c>
      <c r="Z64" s="77">
        <v>0.5</v>
      </c>
      <c r="AA64" s="77">
        <v>0</v>
      </c>
      <c r="AB64" s="77">
        <v>0</v>
      </c>
      <c r="AC64" s="435" t="s">
        <v>1084</v>
      </c>
      <c r="AD64" s="77">
        <v>0.5</v>
      </c>
      <c r="AE64" s="84" t="s">
        <v>117</v>
      </c>
      <c r="AF64" s="84" t="s">
        <v>117</v>
      </c>
      <c r="AG64" s="84" t="s">
        <v>72</v>
      </c>
      <c r="AH64" s="96" t="s">
        <v>1054</v>
      </c>
      <c r="AI64" s="84" t="s">
        <v>304</v>
      </c>
      <c r="AJ64" s="93">
        <v>70600</v>
      </c>
      <c r="AK64" s="94" t="s">
        <v>305</v>
      </c>
    </row>
    <row r="65" spans="1:37" x14ac:dyDescent="0.35">
      <c r="A65" s="85" t="s">
        <v>1085</v>
      </c>
      <c r="B65" s="86" t="s">
        <v>405</v>
      </c>
      <c r="C65" s="86" t="s">
        <v>405</v>
      </c>
      <c r="D65" s="86" t="s">
        <v>1003</v>
      </c>
      <c r="E65" s="84">
        <v>566.20000000000005</v>
      </c>
      <c r="F65" s="84">
        <v>4032.8</v>
      </c>
      <c r="G65" s="84">
        <v>750</v>
      </c>
      <c r="H65" s="91">
        <v>41500</v>
      </c>
      <c r="I65" s="92">
        <v>0.60416666666666663</v>
      </c>
      <c r="J65" s="92" t="s">
        <v>175</v>
      </c>
      <c r="K65" s="92" t="s">
        <v>175</v>
      </c>
      <c r="L65" s="91">
        <v>41500</v>
      </c>
      <c r="M65" s="92">
        <v>0.79166666666666663</v>
      </c>
      <c r="N65" s="84" t="s">
        <v>62</v>
      </c>
      <c r="O65" s="84">
        <v>2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100">
        <v>0</v>
      </c>
      <c r="Y65" s="77">
        <v>2</v>
      </c>
      <c r="Z65" s="77">
        <v>0</v>
      </c>
      <c r="AA65" s="77">
        <v>0</v>
      </c>
      <c r="AB65" s="77">
        <v>0</v>
      </c>
      <c r="AC65" s="438">
        <v>0</v>
      </c>
      <c r="AD65" s="77">
        <v>2</v>
      </c>
      <c r="AE65" s="84" t="s">
        <v>117</v>
      </c>
      <c r="AF65" s="84" t="s">
        <v>117</v>
      </c>
      <c r="AG65" s="84" t="s">
        <v>72</v>
      </c>
      <c r="AH65" s="96" t="s">
        <v>1065</v>
      </c>
      <c r="AI65" s="98" t="s">
        <v>175</v>
      </c>
      <c r="AJ65" s="103">
        <v>20000</v>
      </c>
      <c r="AK65" s="94" t="s">
        <v>305</v>
      </c>
    </row>
    <row r="66" spans="1:37" x14ac:dyDescent="0.35">
      <c r="A66" s="85" t="s">
        <v>1086</v>
      </c>
      <c r="B66" s="86" t="s">
        <v>301</v>
      </c>
      <c r="C66" s="86" t="s">
        <v>301</v>
      </c>
      <c r="D66" s="86" t="s">
        <v>943</v>
      </c>
      <c r="E66" s="84">
        <v>606.5</v>
      </c>
      <c r="F66" s="84">
        <v>344.8</v>
      </c>
      <c r="G66" s="84">
        <v>541</v>
      </c>
      <c r="H66" s="91">
        <v>41500</v>
      </c>
      <c r="I66" s="92">
        <v>0.65277777777777779</v>
      </c>
      <c r="J66" s="91">
        <v>41500</v>
      </c>
      <c r="K66" s="92">
        <v>0.64930555555555558</v>
      </c>
      <c r="L66" s="91">
        <v>41500</v>
      </c>
      <c r="M66" s="92">
        <v>0.69097222222222221</v>
      </c>
      <c r="N66" s="84" t="s">
        <v>484</v>
      </c>
      <c r="O66" s="84">
        <v>0</v>
      </c>
      <c r="P66" s="84">
        <v>0.02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95">
        <v>0</v>
      </c>
      <c r="Y66" s="77">
        <v>0</v>
      </c>
      <c r="Z66" s="77">
        <v>0.02</v>
      </c>
      <c r="AA66" s="77">
        <v>0</v>
      </c>
      <c r="AB66" s="77">
        <v>0</v>
      </c>
      <c r="AC66" s="437">
        <v>0</v>
      </c>
      <c r="AD66" s="77">
        <v>0.02</v>
      </c>
      <c r="AE66" s="84" t="s">
        <v>117</v>
      </c>
      <c r="AF66" s="84" t="s">
        <v>117</v>
      </c>
      <c r="AG66" s="84" t="s">
        <v>72</v>
      </c>
      <c r="AH66" s="96" t="s">
        <v>1087</v>
      </c>
      <c r="AI66" s="84" t="s">
        <v>304</v>
      </c>
      <c r="AJ66" s="103">
        <v>250</v>
      </c>
      <c r="AK66" s="94" t="s">
        <v>305</v>
      </c>
    </row>
    <row r="67" spans="1:37" x14ac:dyDescent="0.35">
      <c r="A67" s="85" t="s">
        <v>1088</v>
      </c>
      <c r="B67" s="86" t="s">
        <v>281</v>
      </c>
      <c r="C67" s="86" t="s">
        <v>491</v>
      </c>
      <c r="D67" s="86" t="s">
        <v>717</v>
      </c>
      <c r="E67" s="84">
        <v>648.75</v>
      </c>
      <c r="F67" s="84">
        <v>350.85</v>
      </c>
      <c r="G67" s="84">
        <v>1340</v>
      </c>
      <c r="H67" s="91">
        <v>41500</v>
      </c>
      <c r="I67" s="104">
        <v>0.68055555555555547</v>
      </c>
      <c r="J67" s="91">
        <v>41500</v>
      </c>
      <c r="K67" s="104">
        <v>0.68402777777777779</v>
      </c>
      <c r="L67" s="91">
        <v>41501</v>
      </c>
      <c r="M67" s="104">
        <v>0.35416666666666669</v>
      </c>
      <c r="N67" s="84" t="s">
        <v>484</v>
      </c>
      <c r="O67" s="84">
        <v>0</v>
      </c>
      <c r="P67" s="84">
        <v>7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75" t="s">
        <v>1089</v>
      </c>
      <c r="Y67" s="77">
        <v>0</v>
      </c>
      <c r="Z67" s="77">
        <v>7</v>
      </c>
      <c r="AA67" s="77">
        <v>0</v>
      </c>
      <c r="AB67" s="77">
        <v>0</v>
      </c>
      <c r="AC67" s="435" t="s">
        <v>1089</v>
      </c>
      <c r="AD67" s="77">
        <v>7</v>
      </c>
      <c r="AE67" s="84" t="s">
        <v>66</v>
      </c>
      <c r="AF67" s="84" t="s">
        <v>117</v>
      </c>
      <c r="AG67" s="84" t="s">
        <v>57</v>
      </c>
      <c r="AH67" s="96" t="s">
        <v>1090</v>
      </c>
      <c r="AI67" s="84" t="s">
        <v>1045</v>
      </c>
      <c r="AJ67" s="93">
        <v>13000</v>
      </c>
      <c r="AK67" s="94" t="s">
        <v>305</v>
      </c>
    </row>
    <row r="68" spans="1:37" x14ac:dyDescent="0.35">
      <c r="A68" s="85" t="s">
        <v>1091</v>
      </c>
      <c r="B68" s="86" t="s">
        <v>357</v>
      </c>
      <c r="C68" s="87" t="s">
        <v>1092</v>
      </c>
      <c r="D68" s="86" t="s">
        <v>1093</v>
      </c>
      <c r="E68" s="84">
        <v>526.79999999999995</v>
      </c>
      <c r="F68" s="84">
        <v>4039</v>
      </c>
      <c r="G68" s="84">
        <v>420</v>
      </c>
      <c r="H68" s="91">
        <v>41501</v>
      </c>
      <c r="I68" s="104">
        <v>0.49305555555555558</v>
      </c>
      <c r="J68" s="92" t="s">
        <v>175</v>
      </c>
      <c r="K68" s="92" t="s">
        <v>175</v>
      </c>
      <c r="L68" s="91">
        <v>41503</v>
      </c>
      <c r="M68" s="104">
        <v>0.5</v>
      </c>
      <c r="N68" s="84" t="s">
        <v>81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50</v>
      </c>
      <c r="U68" s="84">
        <v>100</v>
      </c>
      <c r="V68" s="84">
        <v>0</v>
      </c>
      <c r="W68" s="84">
        <v>0</v>
      </c>
      <c r="X68" s="100" t="s">
        <v>1094</v>
      </c>
      <c r="Y68" s="77">
        <v>50</v>
      </c>
      <c r="Z68" s="77">
        <v>100</v>
      </c>
      <c r="AA68" s="77">
        <v>0</v>
      </c>
      <c r="AB68" s="77">
        <v>0</v>
      </c>
      <c r="AC68" s="438" t="s">
        <v>1094</v>
      </c>
      <c r="AD68" s="77">
        <v>150</v>
      </c>
      <c r="AE68" s="84" t="s">
        <v>117</v>
      </c>
      <c r="AF68" s="84" t="s">
        <v>117</v>
      </c>
      <c r="AG68" s="84" t="s">
        <v>57</v>
      </c>
      <c r="AH68" s="96" t="s">
        <v>1065</v>
      </c>
      <c r="AI68" s="98" t="s">
        <v>175</v>
      </c>
      <c r="AJ68" s="101">
        <v>2260000</v>
      </c>
      <c r="AK68" s="94" t="s">
        <v>305</v>
      </c>
    </row>
    <row r="69" spans="1:37" x14ac:dyDescent="0.35">
      <c r="A69" s="85" t="s">
        <v>1095</v>
      </c>
      <c r="B69" s="86" t="s">
        <v>286</v>
      </c>
      <c r="C69" s="87" t="s">
        <v>953</v>
      </c>
      <c r="D69" s="86" t="s">
        <v>1096</v>
      </c>
      <c r="E69" s="84">
        <v>593.25</v>
      </c>
      <c r="F69" s="84">
        <v>4007.55</v>
      </c>
      <c r="G69" s="84">
        <v>850</v>
      </c>
      <c r="H69" s="91">
        <v>41501</v>
      </c>
      <c r="I69" s="104">
        <v>0.48958333333333331</v>
      </c>
      <c r="J69" s="91">
        <v>41501</v>
      </c>
      <c r="K69" s="104">
        <v>0.5</v>
      </c>
      <c r="L69" s="91">
        <v>41501</v>
      </c>
      <c r="M69" s="104">
        <v>0.51041666666666663</v>
      </c>
      <c r="N69" s="84" t="s">
        <v>41</v>
      </c>
      <c r="O69" s="84">
        <v>0</v>
      </c>
      <c r="P69" s="84">
        <v>0</v>
      </c>
      <c r="Q69" s="84">
        <v>0.01</v>
      </c>
      <c r="R69" s="84">
        <v>0</v>
      </c>
      <c r="S69" s="84">
        <v>0</v>
      </c>
      <c r="T69" s="84">
        <v>0</v>
      </c>
      <c r="U69" s="84">
        <v>0</v>
      </c>
      <c r="V69" s="84">
        <v>0</v>
      </c>
      <c r="W69" s="84">
        <v>0</v>
      </c>
      <c r="X69" s="75" t="s">
        <v>1097</v>
      </c>
      <c r="Y69" s="77">
        <v>0</v>
      </c>
      <c r="Z69" s="77">
        <v>0</v>
      </c>
      <c r="AA69" s="77">
        <v>0.01</v>
      </c>
      <c r="AB69" s="77">
        <v>0</v>
      </c>
      <c r="AC69" s="435" t="s">
        <v>1097</v>
      </c>
      <c r="AD69" s="77">
        <v>0.01</v>
      </c>
      <c r="AE69" s="84" t="s">
        <v>368</v>
      </c>
      <c r="AF69" s="84" t="s">
        <v>117</v>
      </c>
      <c r="AG69" s="84" t="s">
        <v>72</v>
      </c>
      <c r="AH69" s="96" t="s">
        <v>1098</v>
      </c>
      <c r="AI69" s="84" t="s">
        <v>65</v>
      </c>
      <c r="AJ69" s="93">
        <v>32880</v>
      </c>
      <c r="AK69" s="94" t="s">
        <v>305</v>
      </c>
    </row>
    <row r="70" spans="1:37" x14ac:dyDescent="0.35">
      <c r="A70" s="85" t="s">
        <v>1099</v>
      </c>
      <c r="B70" s="86" t="s">
        <v>344</v>
      </c>
      <c r="C70" s="86" t="s">
        <v>896</v>
      </c>
      <c r="D70" s="86" t="s">
        <v>1100</v>
      </c>
      <c r="E70" s="84">
        <v>3993.1</v>
      </c>
      <c r="F70" s="84">
        <v>557.1</v>
      </c>
      <c r="G70" s="84">
        <v>1665</v>
      </c>
      <c r="H70" s="91">
        <v>41501</v>
      </c>
      <c r="I70" s="104">
        <v>0.54861111111111105</v>
      </c>
      <c r="J70" s="91">
        <v>41501</v>
      </c>
      <c r="K70" s="104">
        <v>0.56597222222222221</v>
      </c>
      <c r="L70" s="91">
        <v>41501</v>
      </c>
      <c r="M70" s="104">
        <v>0.80555555555555547</v>
      </c>
      <c r="N70" s="84" t="s">
        <v>70</v>
      </c>
      <c r="O70" s="84">
        <v>0</v>
      </c>
      <c r="P70" s="84">
        <v>0</v>
      </c>
      <c r="Q70" s="84">
        <v>0</v>
      </c>
      <c r="R70" s="84">
        <v>0</v>
      </c>
      <c r="S70" s="84">
        <v>0</v>
      </c>
      <c r="T70" s="84">
        <v>0</v>
      </c>
      <c r="U70" s="84">
        <v>10</v>
      </c>
      <c r="V70" s="84">
        <v>0</v>
      </c>
      <c r="W70" s="84">
        <v>0</v>
      </c>
      <c r="X70" s="105">
        <v>0</v>
      </c>
      <c r="Y70" s="77">
        <v>0</v>
      </c>
      <c r="Z70" s="77">
        <v>10</v>
      </c>
      <c r="AA70" s="77">
        <v>0</v>
      </c>
      <c r="AB70" s="77">
        <v>0</v>
      </c>
      <c r="AC70" s="439">
        <v>0</v>
      </c>
      <c r="AD70" s="77">
        <v>10</v>
      </c>
      <c r="AE70" s="84" t="s">
        <v>117</v>
      </c>
      <c r="AF70" s="84" t="s">
        <v>117</v>
      </c>
      <c r="AG70" s="84" t="s">
        <v>57</v>
      </c>
      <c r="AH70" s="84" t="s">
        <v>1101</v>
      </c>
      <c r="AI70" s="84" t="s">
        <v>304</v>
      </c>
      <c r="AJ70" s="99">
        <v>42250</v>
      </c>
      <c r="AK70" s="94" t="s">
        <v>305</v>
      </c>
    </row>
    <row r="71" spans="1:37" x14ac:dyDescent="0.35">
      <c r="A71" s="85" t="s">
        <v>1102</v>
      </c>
      <c r="B71" s="86" t="s">
        <v>312</v>
      </c>
      <c r="C71" s="86" t="s">
        <v>312</v>
      </c>
      <c r="D71" s="86" t="s">
        <v>1103</v>
      </c>
      <c r="E71" s="84">
        <v>618.20000000000005</v>
      </c>
      <c r="F71" s="84">
        <v>340</v>
      </c>
      <c r="G71" s="84">
        <v>585</v>
      </c>
      <c r="H71" s="91">
        <v>41501</v>
      </c>
      <c r="I71" s="104">
        <v>0.59722222222222221</v>
      </c>
      <c r="J71" s="91">
        <v>41501</v>
      </c>
      <c r="K71" s="104">
        <v>0.60416666666666663</v>
      </c>
      <c r="L71" s="91">
        <v>41501</v>
      </c>
      <c r="M71" s="104">
        <v>0.64236111111111105</v>
      </c>
      <c r="N71" s="84" t="s">
        <v>62</v>
      </c>
      <c r="O71" s="84">
        <v>0.03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  <c r="V71" s="84">
        <v>0</v>
      </c>
      <c r="W71" s="84">
        <v>0</v>
      </c>
      <c r="X71" s="100">
        <v>0</v>
      </c>
      <c r="Y71" s="77">
        <v>0.03</v>
      </c>
      <c r="Z71" s="77">
        <v>0</v>
      </c>
      <c r="AA71" s="77">
        <v>0</v>
      </c>
      <c r="AB71" s="77">
        <v>0</v>
      </c>
      <c r="AC71" s="438">
        <v>0</v>
      </c>
      <c r="AD71" s="77">
        <v>0.03</v>
      </c>
      <c r="AE71" s="84" t="s">
        <v>117</v>
      </c>
      <c r="AF71" s="84" t="s">
        <v>117</v>
      </c>
      <c r="AG71" s="84" t="s">
        <v>72</v>
      </c>
      <c r="AH71" s="96" t="s">
        <v>1070</v>
      </c>
      <c r="AI71" s="84" t="s">
        <v>304</v>
      </c>
      <c r="AJ71" s="101">
        <v>4200</v>
      </c>
      <c r="AK71" s="94" t="s">
        <v>305</v>
      </c>
    </row>
    <row r="72" spans="1:37" x14ac:dyDescent="0.35">
      <c r="A72" s="85" t="s">
        <v>1104</v>
      </c>
      <c r="B72" s="86" t="s">
        <v>281</v>
      </c>
      <c r="C72" s="86" t="s">
        <v>281</v>
      </c>
      <c r="D72" s="86" t="s">
        <v>1105</v>
      </c>
      <c r="E72" s="84">
        <v>341.25</v>
      </c>
      <c r="F72" s="84">
        <v>634.70000000000005</v>
      </c>
      <c r="G72" s="84">
        <v>500</v>
      </c>
      <c r="H72" s="91">
        <v>41502</v>
      </c>
      <c r="I72" s="104">
        <v>0.58333333333333337</v>
      </c>
      <c r="J72" s="91">
        <v>41502</v>
      </c>
      <c r="K72" s="104">
        <v>0.59027777777777779</v>
      </c>
      <c r="L72" s="91">
        <v>41502</v>
      </c>
      <c r="M72" s="104">
        <v>0.66666666666666663</v>
      </c>
      <c r="N72" s="84" t="s">
        <v>41</v>
      </c>
      <c r="O72" s="84">
        <v>0</v>
      </c>
      <c r="P72" s="84">
        <v>0</v>
      </c>
      <c r="Q72" s="84">
        <v>1</v>
      </c>
      <c r="R72" s="84">
        <v>0</v>
      </c>
      <c r="S72" s="84">
        <v>0</v>
      </c>
      <c r="T72" s="84">
        <v>0</v>
      </c>
      <c r="U72" s="84">
        <v>0</v>
      </c>
      <c r="V72" s="84">
        <v>0</v>
      </c>
      <c r="W72" s="84">
        <v>0</v>
      </c>
      <c r="X72" s="75" t="s">
        <v>1106</v>
      </c>
      <c r="Y72" s="77">
        <v>0</v>
      </c>
      <c r="Z72" s="77">
        <v>0</v>
      </c>
      <c r="AA72" s="77">
        <v>1</v>
      </c>
      <c r="AB72" s="77">
        <v>0</v>
      </c>
      <c r="AC72" s="435" t="s">
        <v>1106</v>
      </c>
      <c r="AD72" s="77">
        <v>1</v>
      </c>
      <c r="AE72" s="84" t="s">
        <v>368</v>
      </c>
      <c r="AF72" s="84" t="s">
        <v>117</v>
      </c>
      <c r="AG72" s="84" t="s">
        <v>72</v>
      </c>
      <c r="AH72" s="96" t="s">
        <v>1107</v>
      </c>
      <c r="AI72" s="84" t="s">
        <v>304</v>
      </c>
      <c r="AJ72" s="93">
        <v>3900</v>
      </c>
      <c r="AK72" s="94" t="s">
        <v>305</v>
      </c>
    </row>
    <row r="73" spans="1:37" x14ac:dyDescent="0.35">
      <c r="A73" s="85" t="s">
        <v>1108</v>
      </c>
      <c r="B73" s="86" t="s">
        <v>301</v>
      </c>
      <c r="C73" s="86" t="s">
        <v>481</v>
      </c>
      <c r="D73" s="86" t="s">
        <v>1056</v>
      </c>
      <c r="E73" s="84">
        <v>601</v>
      </c>
      <c r="F73" s="84">
        <v>340</v>
      </c>
      <c r="G73" s="84">
        <v>650</v>
      </c>
      <c r="H73" s="91">
        <v>41502</v>
      </c>
      <c r="I73" s="104">
        <v>0.60416666666666663</v>
      </c>
      <c r="J73" s="91">
        <v>41502</v>
      </c>
      <c r="K73" s="104">
        <v>0.61458333333333337</v>
      </c>
      <c r="L73" s="91">
        <v>41502</v>
      </c>
      <c r="M73" s="104">
        <v>0.78125</v>
      </c>
      <c r="N73" s="84" t="s">
        <v>165</v>
      </c>
      <c r="O73" s="84">
        <v>20</v>
      </c>
      <c r="P73" s="84">
        <v>0</v>
      </c>
      <c r="Q73" s="84">
        <v>0</v>
      </c>
      <c r="R73" s="84">
        <v>0</v>
      </c>
      <c r="S73" s="84">
        <v>0</v>
      </c>
      <c r="T73" s="84">
        <v>0</v>
      </c>
      <c r="U73" s="84">
        <v>0</v>
      </c>
      <c r="V73" s="84">
        <v>0</v>
      </c>
      <c r="W73" s="84">
        <v>0</v>
      </c>
      <c r="X73" s="83">
        <v>0</v>
      </c>
      <c r="Y73" s="77">
        <v>20</v>
      </c>
      <c r="Z73" s="77">
        <v>0</v>
      </c>
      <c r="AA73" s="77">
        <v>0</v>
      </c>
      <c r="AB73" s="77">
        <v>0</v>
      </c>
      <c r="AC73" s="436">
        <v>0</v>
      </c>
      <c r="AD73" s="77">
        <v>20</v>
      </c>
      <c r="AE73" s="84" t="s">
        <v>117</v>
      </c>
      <c r="AF73" s="84" t="s">
        <v>117</v>
      </c>
      <c r="AG73" s="84" t="s">
        <v>72</v>
      </c>
      <c r="AH73" s="96" t="s">
        <v>1109</v>
      </c>
      <c r="AI73" s="84" t="s">
        <v>304</v>
      </c>
      <c r="AJ73" s="99">
        <v>2833000</v>
      </c>
      <c r="AK73" s="94" t="s">
        <v>305</v>
      </c>
    </row>
    <row r="74" spans="1:37" x14ac:dyDescent="0.35">
      <c r="A74" s="85" t="s">
        <v>1110</v>
      </c>
      <c r="B74" s="86" t="s">
        <v>312</v>
      </c>
      <c r="C74" s="86" t="s">
        <v>312</v>
      </c>
      <c r="D74" s="86" t="s">
        <v>1067</v>
      </c>
      <c r="E74" s="84">
        <v>622.20000000000005</v>
      </c>
      <c r="F74" s="84">
        <v>348.1</v>
      </c>
      <c r="G74" s="84">
        <v>960</v>
      </c>
      <c r="H74" s="91">
        <v>41502</v>
      </c>
      <c r="I74" s="104">
        <v>0.66666666666666663</v>
      </c>
      <c r="J74" s="91">
        <v>41502</v>
      </c>
      <c r="K74" s="104">
        <v>0.67361111111111116</v>
      </c>
      <c r="L74" s="91">
        <v>41502</v>
      </c>
      <c r="M74" s="104">
        <v>0.79166666666666663</v>
      </c>
      <c r="N74" s="84" t="s">
        <v>62</v>
      </c>
      <c r="O74" s="84">
        <v>0.5</v>
      </c>
      <c r="P74" s="84">
        <v>0.5</v>
      </c>
      <c r="Q74" s="84">
        <v>0</v>
      </c>
      <c r="R74" s="84">
        <v>0</v>
      </c>
      <c r="S74" s="84">
        <v>0</v>
      </c>
      <c r="T74" s="84">
        <v>0</v>
      </c>
      <c r="U74" s="84">
        <v>0</v>
      </c>
      <c r="V74" s="84">
        <v>0</v>
      </c>
      <c r="W74" s="84">
        <v>0</v>
      </c>
      <c r="X74" s="95">
        <v>0</v>
      </c>
      <c r="Y74" s="77">
        <v>0.5</v>
      </c>
      <c r="Z74" s="77">
        <v>0.5</v>
      </c>
      <c r="AA74" s="77">
        <v>0</v>
      </c>
      <c r="AB74" s="77">
        <v>0</v>
      </c>
      <c r="AC74" s="437">
        <v>0</v>
      </c>
      <c r="AD74" s="77">
        <v>1</v>
      </c>
      <c r="AE74" s="84" t="s">
        <v>117</v>
      </c>
      <c r="AF74" s="84" t="s">
        <v>117</v>
      </c>
      <c r="AG74" s="84" t="s">
        <v>57</v>
      </c>
      <c r="AH74" s="96" t="s">
        <v>1070</v>
      </c>
      <c r="AI74" s="84" t="s">
        <v>304</v>
      </c>
      <c r="AJ74" s="97">
        <v>73000</v>
      </c>
      <c r="AK74" s="94" t="s">
        <v>305</v>
      </c>
    </row>
    <row r="75" spans="1:37" x14ac:dyDescent="0.35">
      <c r="A75" s="85" t="s">
        <v>1111</v>
      </c>
      <c r="B75" s="86" t="s">
        <v>281</v>
      </c>
      <c r="C75" s="86" t="s">
        <v>307</v>
      </c>
      <c r="D75" s="86" t="s">
        <v>1112</v>
      </c>
      <c r="E75" s="84">
        <v>331.1</v>
      </c>
      <c r="F75" s="84">
        <v>630.95000000000005</v>
      </c>
      <c r="G75" s="84">
        <v>580</v>
      </c>
      <c r="H75" s="91">
        <v>41502</v>
      </c>
      <c r="I75" s="104">
        <v>0.66666666666666663</v>
      </c>
      <c r="J75" s="91" t="s">
        <v>175</v>
      </c>
      <c r="K75" s="104" t="s">
        <v>175</v>
      </c>
      <c r="L75" s="91">
        <v>41502</v>
      </c>
      <c r="M75" s="104">
        <v>0.95138888888888884</v>
      </c>
      <c r="N75" s="84" t="s">
        <v>41</v>
      </c>
      <c r="O75" s="84">
        <v>0</v>
      </c>
      <c r="P75" s="84">
        <v>0</v>
      </c>
      <c r="Q75" s="84">
        <v>1</v>
      </c>
      <c r="R75" s="84">
        <v>0</v>
      </c>
      <c r="S75" s="84">
        <v>0</v>
      </c>
      <c r="T75" s="84">
        <v>0</v>
      </c>
      <c r="U75" s="84">
        <v>0</v>
      </c>
      <c r="V75" s="84">
        <v>0</v>
      </c>
      <c r="W75" s="84">
        <v>0</v>
      </c>
      <c r="X75" s="75" t="s">
        <v>1113</v>
      </c>
      <c r="Y75" s="77">
        <v>0</v>
      </c>
      <c r="Z75" s="77">
        <v>0</v>
      </c>
      <c r="AA75" s="77">
        <v>1</v>
      </c>
      <c r="AB75" s="77">
        <v>0</v>
      </c>
      <c r="AC75" s="435" t="s">
        <v>1113</v>
      </c>
      <c r="AD75" s="77">
        <v>1</v>
      </c>
      <c r="AE75" s="84" t="s">
        <v>368</v>
      </c>
      <c r="AF75" s="84" t="s">
        <v>117</v>
      </c>
      <c r="AG75" s="84" t="s">
        <v>57</v>
      </c>
      <c r="AH75" s="96" t="s">
        <v>1114</v>
      </c>
      <c r="AI75" s="98" t="s">
        <v>175</v>
      </c>
      <c r="AJ75" s="93">
        <v>4500</v>
      </c>
      <c r="AK75" s="94" t="s">
        <v>305</v>
      </c>
    </row>
    <row r="76" spans="1:37" x14ac:dyDescent="0.35">
      <c r="A76" s="85" t="s">
        <v>1115</v>
      </c>
      <c r="B76" s="86" t="s">
        <v>301</v>
      </c>
      <c r="C76" s="86" t="s">
        <v>481</v>
      </c>
      <c r="D76" s="86" t="s">
        <v>1116</v>
      </c>
      <c r="E76" s="84">
        <v>603</v>
      </c>
      <c r="F76" s="84">
        <v>341.1</v>
      </c>
      <c r="G76" s="84">
        <v>655</v>
      </c>
      <c r="H76" s="91">
        <v>41502</v>
      </c>
      <c r="I76" s="104">
        <v>0.71875</v>
      </c>
      <c r="J76" s="91">
        <v>41502</v>
      </c>
      <c r="K76" s="104">
        <v>0.72569444444444453</v>
      </c>
      <c r="L76" s="91">
        <v>41502</v>
      </c>
      <c r="M76" s="104">
        <v>0.84375</v>
      </c>
      <c r="N76" s="84" t="s">
        <v>165</v>
      </c>
      <c r="O76" s="84">
        <v>10</v>
      </c>
      <c r="P76" s="84">
        <v>5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100">
        <v>0</v>
      </c>
      <c r="Y76" s="77">
        <v>10</v>
      </c>
      <c r="Z76" s="77">
        <v>5</v>
      </c>
      <c r="AA76" s="77">
        <v>0</v>
      </c>
      <c r="AB76" s="77">
        <v>0</v>
      </c>
      <c r="AC76" s="438">
        <v>0</v>
      </c>
      <c r="AD76" s="77">
        <v>15</v>
      </c>
      <c r="AE76" s="84" t="s">
        <v>117</v>
      </c>
      <c r="AF76" s="84" t="s">
        <v>117</v>
      </c>
      <c r="AG76" s="84" t="s">
        <v>72</v>
      </c>
      <c r="AH76" s="96" t="s">
        <v>1109</v>
      </c>
      <c r="AI76" s="84" t="s">
        <v>304</v>
      </c>
      <c r="AJ76" s="101">
        <v>2121000</v>
      </c>
      <c r="AK76" s="94" t="s">
        <v>305</v>
      </c>
    </row>
    <row r="77" spans="1:37" x14ac:dyDescent="0.35">
      <c r="A77" s="85" t="s">
        <v>1117</v>
      </c>
      <c r="B77" s="86" t="s">
        <v>286</v>
      </c>
      <c r="C77" s="87" t="s">
        <v>458</v>
      </c>
      <c r="D77" s="86" t="s">
        <v>1118</v>
      </c>
      <c r="E77" s="84">
        <v>598.29999999999995</v>
      </c>
      <c r="F77" s="84">
        <v>4002.5</v>
      </c>
      <c r="G77" s="84">
        <v>740</v>
      </c>
      <c r="H77" s="91">
        <v>41503</v>
      </c>
      <c r="I77" s="104">
        <v>0.47916666666666669</v>
      </c>
      <c r="J77" s="91">
        <v>41503</v>
      </c>
      <c r="K77" s="104">
        <v>0.4861111111111111</v>
      </c>
      <c r="L77" s="91">
        <v>41503</v>
      </c>
      <c r="M77" s="104">
        <v>0.61458333333333337</v>
      </c>
      <c r="N77" s="84" t="s">
        <v>62</v>
      </c>
      <c r="O77" s="84">
        <v>1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75" t="s">
        <v>1119</v>
      </c>
      <c r="Y77" s="77">
        <v>1</v>
      </c>
      <c r="Z77" s="77">
        <v>0</v>
      </c>
      <c r="AA77" s="77">
        <v>0</v>
      </c>
      <c r="AB77" s="77">
        <v>0</v>
      </c>
      <c r="AC77" s="435" t="s">
        <v>1119</v>
      </c>
      <c r="AD77" s="77">
        <v>1</v>
      </c>
      <c r="AE77" s="84" t="s">
        <v>368</v>
      </c>
      <c r="AF77" s="84" t="s">
        <v>117</v>
      </c>
      <c r="AG77" s="84" t="s">
        <v>57</v>
      </c>
      <c r="AH77" s="96" t="s">
        <v>1120</v>
      </c>
      <c r="AI77" s="84" t="s">
        <v>304</v>
      </c>
      <c r="AJ77" s="93">
        <v>40000</v>
      </c>
      <c r="AK77" s="94" t="s">
        <v>305</v>
      </c>
    </row>
    <row r="78" spans="1:37" x14ac:dyDescent="0.35">
      <c r="A78" s="85" t="s">
        <v>1121</v>
      </c>
      <c r="B78" s="86" t="s">
        <v>301</v>
      </c>
      <c r="C78" s="86" t="s">
        <v>481</v>
      </c>
      <c r="D78" s="86" t="s">
        <v>1122</v>
      </c>
      <c r="E78" s="84">
        <v>344.6</v>
      </c>
      <c r="F78" s="84">
        <v>602.6</v>
      </c>
      <c r="G78" s="84">
        <v>623</v>
      </c>
      <c r="H78" s="91">
        <v>41503</v>
      </c>
      <c r="I78" s="104">
        <v>0.53125</v>
      </c>
      <c r="J78" s="91">
        <v>41503</v>
      </c>
      <c r="K78" s="104">
        <v>0.53819444444444442</v>
      </c>
      <c r="L78" s="91">
        <v>41503</v>
      </c>
      <c r="M78" s="104">
        <v>0.61458333333333337</v>
      </c>
      <c r="N78" s="84" t="s">
        <v>62</v>
      </c>
      <c r="O78" s="84">
        <v>2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100">
        <v>0</v>
      </c>
      <c r="Y78" s="77">
        <v>2</v>
      </c>
      <c r="Z78" s="77">
        <v>0</v>
      </c>
      <c r="AA78" s="77">
        <v>0</v>
      </c>
      <c r="AB78" s="77">
        <v>0</v>
      </c>
      <c r="AC78" s="438">
        <v>0</v>
      </c>
      <c r="AD78" s="77">
        <v>2</v>
      </c>
      <c r="AE78" s="84" t="s">
        <v>117</v>
      </c>
      <c r="AF78" s="84" t="s">
        <v>117</v>
      </c>
      <c r="AG78" s="84" t="s">
        <v>72</v>
      </c>
      <c r="AH78" s="96" t="s">
        <v>1123</v>
      </c>
      <c r="AI78" s="84" t="s">
        <v>304</v>
      </c>
      <c r="AJ78" s="101">
        <v>282400</v>
      </c>
      <c r="AK78" s="94" t="s">
        <v>305</v>
      </c>
    </row>
    <row r="79" spans="1:37" x14ac:dyDescent="0.35">
      <c r="A79" s="85" t="s">
        <v>1124</v>
      </c>
      <c r="B79" s="86" t="s">
        <v>344</v>
      </c>
      <c r="C79" s="86" t="s">
        <v>1030</v>
      </c>
      <c r="D79" s="86" t="s">
        <v>1125</v>
      </c>
      <c r="E79" s="84">
        <v>555.9</v>
      </c>
      <c r="F79" s="84">
        <v>4000.1</v>
      </c>
      <c r="G79" s="84">
        <v>1128</v>
      </c>
      <c r="H79" s="91">
        <v>41503</v>
      </c>
      <c r="I79" s="104">
        <v>0.52083333333333337</v>
      </c>
      <c r="J79" s="91">
        <v>41503</v>
      </c>
      <c r="K79" s="104">
        <v>0.53125</v>
      </c>
      <c r="L79" s="91">
        <v>41503</v>
      </c>
      <c r="M79" s="104">
        <v>0.64583333333333337</v>
      </c>
      <c r="N79" s="84" t="s">
        <v>81</v>
      </c>
      <c r="O79" s="84">
        <v>0</v>
      </c>
      <c r="P79" s="84">
        <v>0.08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 t="s">
        <v>1126</v>
      </c>
      <c r="Y79" s="77">
        <v>0</v>
      </c>
      <c r="Z79" s="77">
        <v>0.08</v>
      </c>
      <c r="AA79" s="77">
        <v>0</v>
      </c>
      <c r="AB79" s="77">
        <v>0</v>
      </c>
      <c r="AC79" s="77" t="s">
        <v>1126</v>
      </c>
      <c r="AD79" s="77">
        <v>0.08</v>
      </c>
      <c r="AE79" s="84" t="s">
        <v>117</v>
      </c>
      <c r="AF79" s="84" t="s">
        <v>117</v>
      </c>
      <c r="AG79" s="84" t="s">
        <v>57</v>
      </c>
      <c r="AH79" s="84" t="s">
        <v>937</v>
      </c>
      <c r="AI79" s="84" t="s">
        <v>304</v>
      </c>
      <c r="AJ79" s="93">
        <v>750</v>
      </c>
      <c r="AK79" s="94" t="s">
        <v>305</v>
      </c>
    </row>
    <row r="80" spans="1:37" x14ac:dyDescent="0.35">
      <c r="A80" s="85" t="s">
        <v>1127</v>
      </c>
      <c r="B80" s="86" t="s">
        <v>357</v>
      </c>
      <c r="C80" s="87" t="s">
        <v>1128</v>
      </c>
      <c r="D80" s="86" t="s">
        <v>1129</v>
      </c>
      <c r="E80" s="84">
        <v>545.6</v>
      </c>
      <c r="F80" s="84">
        <v>4039</v>
      </c>
      <c r="G80" s="84">
        <v>850</v>
      </c>
      <c r="H80" s="91">
        <v>41503</v>
      </c>
      <c r="I80" s="104">
        <v>0.5</v>
      </c>
      <c r="J80" s="91">
        <v>41503</v>
      </c>
      <c r="K80" s="104">
        <v>0.50694444444444442</v>
      </c>
      <c r="L80" s="91">
        <v>41503</v>
      </c>
      <c r="M80" s="104">
        <v>0.75</v>
      </c>
      <c r="N80" s="84" t="s">
        <v>81</v>
      </c>
      <c r="O80" s="84">
        <v>0</v>
      </c>
      <c r="P80" s="84">
        <v>5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3" t="s">
        <v>1130</v>
      </c>
      <c r="Y80" s="77">
        <v>0</v>
      </c>
      <c r="Z80" s="77">
        <v>5</v>
      </c>
      <c r="AA80" s="77">
        <v>0</v>
      </c>
      <c r="AB80" s="77">
        <v>0</v>
      </c>
      <c r="AC80" s="436" t="s">
        <v>1130</v>
      </c>
      <c r="AD80" s="77">
        <v>5</v>
      </c>
      <c r="AE80" s="84" t="s">
        <v>117</v>
      </c>
      <c r="AF80" s="84" t="s">
        <v>117</v>
      </c>
      <c r="AG80" s="84" t="s">
        <v>57</v>
      </c>
      <c r="AH80" s="84" t="s">
        <v>1131</v>
      </c>
      <c r="AI80" s="98" t="s">
        <v>991</v>
      </c>
      <c r="AJ80" s="101">
        <v>20000</v>
      </c>
      <c r="AK80" s="94" t="s">
        <v>305</v>
      </c>
    </row>
    <row r="81" spans="1:37" x14ac:dyDescent="0.35">
      <c r="A81" s="85" t="s">
        <v>1132</v>
      </c>
      <c r="B81" s="86" t="s">
        <v>344</v>
      </c>
      <c r="C81" s="86" t="s">
        <v>1133</v>
      </c>
      <c r="D81" s="86" t="s">
        <v>1134</v>
      </c>
      <c r="E81" s="84" t="s">
        <v>1135</v>
      </c>
      <c r="F81" s="84" t="s">
        <v>1136</v>
      </c>
      <c r="G81" s="84">
        <v>1006</v>
      </c>
      <c r="H81" s="91">
        <v>41503</v>
      </c>
      <c r="I81" s="104">
        <v>0.56944444444444442</v>
      </c>
      <c r="J81" s="91">
        <v>41503</v>
      </c>
      <c r="K81" s="104">
        <v>0.62152777777777779</v>
      </c>
      <c r="L81" s="91">
        <v>41503</v>
      </c>
      <c r="M81" s="104">
        <v>0.63194444444444442</v>
      </c>
      <c r="N81" s="84" t="s">
        <v>62</v>
      </c>
      <c r="O81" s="84">
        <v>1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95" t="s">
        <v>1137</v>
      </c>
      <c r="Y81" s="77">
        <v>1</v>
      </c>
      <c r="Z81" s="77">
        <v>0</v>
      </c>
      <c r="AA81" s="77">
        <v>0</v>
      </c>
      <c r="AB81" s="77">
        <v>0</v>
      </c>
      <c r="AC81" s="437" t="s">
        <v>1137</v>
      </c>
      <c r="AD81" s="77">
        <v>1</v>
      </c>
      <c r="AE81" s="84" t="s">
        <v>117</v>
      </c>
      <c r="AF81" s="84" t="s">
        <v>117</v>
      </c>
      <c r="AG81" s="84" t="s">
        <v>72</v>
      </c>
      <c r="AH81" s="84" t="s">
        <v>1138</v>
      </c>
      <c r="AI81" s="84" t="s">
        <v>304</v>
      </c>
      <c r="AJ81" s="97">
        <v>3700</v>
      </c>
      <c r="AK81" s="94" t="s">
        <v>305</v>
      </c>
    </row>
    <row r="82" spans="1:37" x14ac:dyDescent="0.35">
      <c r="A82" s="85" t="s">
        <v>1139</v>
      </c>
      <c r="B82" s="90" t="s">
        <v>626</v>
      </c>
      <c r="C82" s="90" t="s">
        <v>626</v>
      </c>
      <c r="D82" s="86" t="s">
        <v>1140</v>
      </c>
      <c r="E82" s="84">
        <v>582</v>
      </c>
      <c r="F82" s="84">
        <v>3969.2</v>
      </c>
      <c r="G82" s="84">
        <v>943</v>
      </c>
      <c r="H82" s="91">
        <v>41503</v>
      </c>
      <c r="I82" s="104">
        <v>0.65625</v>
      </c>
      <c r="J82" s="91">
        <v>41503</v>
      </c>
      <c r="K82" s="104">
        <v>0.65625</v>
      </c>
      <c r="L82" s="91">
        <v>41503</v>
      </c>
      <c r="M82" s="104">
        <v>0.68055555555555547</v>
      </c>
      <c r="N82" s="84" t="s">
        <v>62</v>
      </c>
      <c r="O82" s="84">
        <v>0.25</v>
      </c>
      <c r="P82" s="84">
        <v>0</v>
      </c>
      <c r="Q82" s="84">
        <v>0</v>
      </c>
      <c r="R82" s="84">
        <v>0</v>
      </c>
      <c r="S82" s="84">
        <v>0</v>
      </c>
      <c r="T82" s="84">
        <v>0</v>
      </c>
      <c r="U82" s="84">
        <v>0</v>
      </c>
      <c r="V82" s="84">
        <v>0</v>
      </c>
      <c r="W82" s="84">
        <v>0</v>
      </c>
      <c r="X82" s="75" t="s">
        <v>1141</v>
      </c>
      <c r="Y82" s="77">
        <v>0.25</v>
      </c>
      <c r="Z82" s="77">
        <v>0</v>
      </c>
      <c r="AA82" s="77">
        <v>0</v>
      </c>
      <c r="AB82" s="77">
        <v>0</v>
      </c>
      <c r="AC82" s="435" t="s">
        <v>1141</v>
      </c>
      <c r="AD82" s="77">
        <v>0.25</v>
      </c>
      <c r="AE82" s="84" t="s">
        <v>117</v>
      </c>
      <c r="AF82" s="84" t="s">
        <v>117</v>
      </c>
      <c r="AG82" s="84" t="s">
        <v>72</v>
      </c>
      <c r="AH82" s="84" t="s">
        <v>1101</v>
      </c>
      <c r="AI82" s="84" t="s">
        <v>304</v>
      </c>
      <c r="AJ82" s="93">
        <v>2000</v>
      </c>
      <c r="AK82" s="94" t="s">
        <v>305</v>
      </c>
    </row>
    <row r="83" spans="1:37" x14ac:dyDescent="0.35">
      <c r="A83" s="85" t="s">
        <v>1142</v>
      </c>
      <c r="B83" s="86" t="s">
        <v>301</v>
      </c>
      <c r="C83" s="86" t="s">
        <v>481</v>
      </c>
      <c r="D83" s="86" t="s">
        <v>1122</v>
      </c>
      <c r="E83" s="84">
        <v>603.1</v>
      </c>
      <c r="F83" s="84">
        <v>344.5</v>
      </c>
      <c r="G83" s="84">
        <v>615</v>
      </c>
      <c r="H83" s="91">
        <v>41503</v>
      </c>
      <c r="I83" s="104">
        <v>0.65277777777777779</v>
      </c>
      <c r="J83" s="91">
        <v>41503</v>
      </c>
      <c r="K83" s="104">
        <v>0.66319444444444442</v>
      </c>
      <c r="L83" s="91">
        <v>41503</v>
      </c>
      <c r="M83" s="104">
        <v>0.70833333333333337</v>
      </c>
      <c r="N83" s="84" t="s">
        <v>62</v>
      </c>
      <c r="O83" s="84">
        <v>0</v>
      </c>
      <c r="P83" s="84">
        <v>0.01</v>
      </c>
      <c r="Q83" s="84">
        <v>0</v>
      </c>
      <c r="R83" s="84">
        <v>0</v>
      </c>
      <c r="S83" s="84">
        <v>0</v>
      </c>
      <c r="T83" s="84">
        <v>0</v>
      </c>
      <c r="U83" s="84">
        <v>0</v>
      </c>
      <c r="V83" s="84">
        <v>0</v>
      </c>
      <c r="W83" s="84">
        <v>0</v>
      </c>
      <c r="X83" s="83">
        <v>0</v>
      </c>
      <c r="Y83" s="77">
        <v>0</v>
      </c>
      <c r="Z83" s="77">
        <v>0.01</v>
      </c>
      <c r="AA83" s="77">
        <v>0</v>
      </c>
      <c r="AB83" s="77">
        <v>0</v>
      </c>
      <c r="AC83" s="436">
        <v>0</v>
      </c>
      <c r="AD83" s="77">
        <v>0.01</v>
      </c>
      <c r="AE83" s="84" t="s">
        <v>117</v>
      </c>
      <c r="AF83" s="84" t="s">
        <v>117</v>
      </c>
      <c r="AG83" s="84" t="s">
        <v>72</v>
      </c>
      <c r="AH83" s="96" t="s">
        <v>1054</v>
      </c>
      <c r="AI83" s="84" t="s">
        <v>304</v>
      </c>
      <c r="AJ83" s="99">
        <v>14000</v>
      </c>
      <c r="AK83" s="94" t="s">
        <v>305</v>
      </c>
    </row>
    <row r="84" spans="1:37" x14ac:dyDescent="0.35">
      <c r="A84" s="85" t="s">
        <v>1143</v>
      </c>
      <c r="B84" s="86" t="s">
        <v>357</v>
      </c>
      <c r="C84" s="87" t="s">
        <v>447</v>
      </c>
      <c r="D84" s="86" t="s">
        <v>997</v>
      </c>
      <c r="E84" s="84">
        <v>537.79999999999995</v>
      </c>
      <c r="F84" s="84">
        <v>4035.4</v>
      </c>
      <c r="G84" s="84">
        <v>720</v>
      </c>
      <c r="H84" s="91">
        <v>41503</v>
      </c>
      <c r="I84" s="104">
        <v>0.68055555555555547</v>
      </c>
      <c r="J84" s="91">
        <v>41503</v>
      </c>
      <c r="K84" s="104">
        <v>0.69097222222222221</v>
      </c>
      <c r="L84" s="91">
        <v>41503</v>
      </c>
      <c r="M84" s="104">
        <v>0.72916666666666663</v>
      </c>
      <c r="N84" s="84" t="s">
        <v>62</v>
      </c>
      <c r="O84" s="84">
        <v>2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100" t="s">
        <v>1137</v>
      </c>
      <c r="Y84" s="77">
        <v>2</v>
      </c>
      <c r="Z84" s="77">
        <v>0</v>
      </c>
      <c r="AA84" s="77">
        <v>0</v>
      </c>
      <c r="AB84" s="77">
        <v>0</v>
      </c>
      <c r="AC84" s="438" t="s">
        <v>1137</v>
      </c>
      <c r="AD84" s="77">
        <v>2</v>
      </c>
      <c r="AE84" s="84" t="s">
        <v>117</v>
      </c>
      <c r="AF84" s="84" t="s">
        <v>117</v>
      </c>
      <c r="AG84" s="84" t="s">
        <v>57</v>
      </c>
      <c r="AH84" s="84" t="s">
        <v>1131</v>
      </c>
      <c r="AI84" s="98" t="s">
        <v>1039</v>
      </c>
      <c r="AJ84" s="101">
        <v>40000</v>
      </c>
      <c r="AK84" s="94" t="s">
        <v>305</v>
      </c>
    </row>
    <row r="85" spans="1:37" x14ac:dyDescent="0.35">
      <c r="A85" s="85" t="s">
        <v>1144</v>
      </c>
      <c r="B85" s="86" t="s">
        <v>312</v>
      </c>
      <c r="C85" s="86" t="s">
        <v>313</v>
      </c>
      <c r="D85" s="86" t="s">
        <v>1145</v>
      </c>
      <c r="E85" s="84">
        <v>612.20000000000005</v>
      </c>
      <c r="F85" s="84">
        <v>346</v>
      </c>
      <c r="G85" s="84">
        <v>569</v>
      </c>
      <c r="H85" s="91">
        <v>41503</v>
      </c>
      <c r="I85" s="104">
        <v>0.72916666666666663</v>
      </c>
      <c r="J85" s="91">
        <v>41503</v>
      </c>
      <c r="K85" s="104">
        <v>0.73611111111111116</v>
      </c>
      <c r="L85" s="91">
        <v>41503</v>
      </c>
      <c r="M85" s="104">
        <v>0.85416666666666663</v>
      </c>
      <c r="N85" s="84" t="s">
        <v>484</v>
      </c>
      <c r="O85" s="84">
        <v>0</v>
      </c>
      <c r="P85" s="84">
        <v>3</v>
      </c>
      <c r="Q85" s="84">
        <v>0</v>
      </c>
      <c r="R85" s="84">
        <v>0</v>
      </c>
      <c r="S85" s="84">
        <v>0</v>
      </c>
      <c r="T85" s="84">
        <v>0</v>
      </c>
      <c r="U85" s="84">
        <v>0</v>
      </c>
      <c r="V85" s="84">
        <v>0</v>
      </c>
      <c r="W85" s="84">
        <v>0</v>
      </c>
      <c r="X85" s="95">
        <v>0</v>
      </c>
      <c r="Y85" s="77">
        <v>0</v>
      </c>
      <c r="Z85" s="77">
        <v>3</v>
      </c>
      <c r="AA85" s="77">
        <v>0</v>
      </c>
      <c r="AB85" s="77">
        <v>0</v>
      </c>
      <c r="AC85" s="437">
        <v>0</v>
      </c>
      <c r="AD85" s="77">
        <v>3</v>
      </c>
      <c r="AE85" s="84" t="s">
        <v>117</v>
      </c>
      <c r="AF85" s="84" t="s">
        <v>117</v>
      </c>
      <c r="AG85" s="84" t="s">
        <v>57</v>
      </c>
      <c r="AH85" s="96" t="s">
        <v>1146</v>
      </c>
      <c r="AI85" s="84" t="s">
        <v>304</v>
      </c>
      <c r="AJ85" s="97">
        <v>539800</v>
      </c>
      <c r="AK85" s="94" t="s">
        <v>305</v>
      </c>
    </row>
    <row r="86" spans="1:37" x14ac:dyDescent="0.35">
      <c r="A86" s="85" t="s">
        <v>1147</v>
      </c>
      <c r="B86" s="86" t="s">
        <v>320</v>
      </c>
      <c r="C86" s="86" t="s">
        <v>321</v>
      </c>
      <c r="D86" s="86" t="s">
        <v>1019</v>
      </c>
      <c r="E86" s="84">
        <v>571.9</v>
      </c>
      <c r="F86" s="84">
        <v>4002.5</v>
      </c>
      <c r="G86" s="84">
        <v>996</v>
      </c>
      <c r="H86" s="91">
        <v>41504</v>
      </c>
      <c r="I86" s="104">
        <v>0.82291666666666663</v>
      </c>
      <c r="J86" s="91">
        <v>41504</v>
      </c>
      <c r="K86" s="104">
        <v>0.83333333333333337</v>
      </c>
      <c r="L86" s="91">
        <v>41504</v>
      </c>
      <c r="M86" s="104">
        <v>0.85416666666666663</v>
      </c>
      <c r="N86" s="84" t="s">
        <v>41</v>
      </c>
      <c r="O86" s="84">
        <v>0</v>
      </c>
      <c r="P86" s="84">
        <v>0</v>
      </c>
      <c r="Q86" s="84">
        <v>0.01</v>
      </c>
      <c r="R86" s="84">
        <v>0</v>
      </c>
      <c r="S86" s="84">
        <v>0</v>
      </c>
      <c r="T86" s="84">
        <v>0</v>
      </c>
      <c r="U86" s="84">
        <v>0</v>
      </c>
      <c r="V86" s="84">
        <v>0</v>
      </c>
      <c r="W86" s="84">
        <v>0</v>
      </c>
      <c r="X86" s="75" t="s">
        <v>1148</v>
      </c>
      <c r="Y86" s="77">
        <v>0</v>
      </c>
      <c r="Z86" s="77">
        <v>0</v>
      </c>
      <c r="AA86" s="77">
        <v>0.01</v>
      </c>
      <c r="AB86" s="77">
        <v>0</v>
      </c>
      <c r="AC86" s="435" t="s">
        <v>1148</v>
      </c>
      <c r="AD86" s="77">
        <v>0.01</v>
      </c>
      <c r="AE86" s="84" t="s">
        <v>117</v>
      </c>
      <c r="AF86" s="84" t="s">
        <v>117</v>
      </c>
      <c r="AG86" s="84" t="s">
        <v>72</v>
      </c>
      <c r="AH86" s="84" t="s">
        <v>1101</v>
      </c>
      <c r="AI86" s="84" t="s">
        <v>304</v>
      </c>
      <c r="AJ86" s="93">
        <v>500</v>
      </c>
      <c r="AK86" s="94" t="s">
        <v>305</v>
      </c>
    </row>
    <row r="87" spans="1:37" x14ac:dyDescent="0.35">
      <c r="A87" s="85" t="s">
        <v>1149</v>
      </c>
      <c r="B87" s="90" t="s">
        <v>626</v>
      </c>
      <c r="C87" s="90" t="s">
        <v>626</v>
      </c>
      <c r="D87" s="86" t="s">
        <v>1140</v>
      </c>
      <c r="E87" s="84">
        <v>581.70000000000005</v>
      </c>
      <c r="F87" s="84">
        <v>3996</v>
      </c>
      <c r="G87" s="84">
        <v>942</v>
      </c>
      <c r="H87" s="91">
        <v>41505</v>
      </c>
      <c r="I87" s="104">
        <v>0.4375</v>
      </c>
      <c r="J87" s="91">
        <v>41505</v>
      </c>
      <c r="K87" s="106">
        <v>0.44444444444444442</v>
      </c>
      <c r="L87" s="91">
        <v>41505</v>
      </c>
      <c r="M87" s="104">
        <v>0.4826388888888889</v>
      </c>
      <c r="N87" s="84" t="s">
        <v>62</v>
      </c>
      <c r="O87" s="84">
        <v>3.5</v>
      </c>
      <c r="P87" s="84">
        <v>0</v>
      </c>
      <c r="Q87" s="84">
        <v>0</v>
      </c>
      <c r="R87" s="84">
        <v>0</v>
      </c>
      <c r="S87" s="84">
        <v>0</v>
      </c>
      <c r="T87" s="84">
        <v>0</v>
      </c>
      <c r="U87" s="84">
        <v>0</v>
      </c>
      <c r="V87" s="84">
        <v>0</v>
      </c>
      <c r="W87" s="84">
        <v>0</v>
      </c>
      <c r="X87" s="83">
        <v>0</v>
      </c>
      <c r="Y87" s="77">
        <v>3.5</v>
      </c>
      <c r="Z87" s="77">
        <v>0</v>
      </c>
      <c r="AA87" s="77">
        <v>0</v>
      </c>
      <c r="AB87" s="77">
        <v>0</v>
      </c>
      <c r="AC87" s="436">
        <v>0</v>
      </c>
      <c r="AD87" s="77">
        <v>3.5</v>
      </c>
      <c r="AE87" s="84" t="s">
        <v>117</v>
      </c>
      <c r="AF87" s="84" t="s">
        <v>117</v>
      </c>
      <c r="AG87" s="84" t="s">
        <v>72</v>
      </c>
      <c r="AH87" s="84" t="s">
        <v>924</v>
      </c>
      <c r="AI87" s="84" t="s">
        <v>304</v>
      </c>
      <c r="AJ87" s="99">
        <v>26250</v>
      </c>
      <c r="AK87" s="94" t="s">
        <v>305</v>
      </c>
    </row>
    <row r="88" spans="1:37" x14ac:dyDescent="0.35">
      <c r="A88" s="85" t="s">
        <v>1150</v>
      </c>
      <c r="B88" s="90" t="s">
        <v>626</v>
      </c>
      <c r="C88" s="87" t="s">
        <v>974</v>
      </c>
      <c r="D88" s="86" t="s">
        <v>1151</v>
      </c>
      <c r="E88" s="84">
        <v>592.5</v>
      </c>
      <c r="F88" s="84">
        <v>39996.800000000003</v>
      </c>
      <c r="G88" s="84">
        <v>905</v>
      </c>
      <c r="H88" s="91">
        <v>41505</v>
      </c>
      <c r="I88" s="104">
        <v>0.47916666666666669</v>
      </c>
      <c r="J88" s="91">
        <v>41505</v>
      </c>
      <c r="K88" s="106">
        <v>0.4861111111111111</v>
      </c>
      <c r="L88" s="91">
        <v>41505</v>
      </c>
      <c r="M88" s="104">
        <v>0.52083333333333337</v>
      </c>
      <c r="N88" s="84" t="s">
        <v>41</v>
      </c>
      <c r="O88" s="84">
        <v>0</v>
      </c>
      <c r="P88" s="84">
        <v>0</v>
      </c>
      <c r="Q88" s="84">
        <v>0.25</v>
      </c>
      <c r="R88" s="84">
        <v>0</v>
      </c>
      <c r="S88" s="84">
        <v>0</v>
      </c>
      <c r="T88" s="84">
        <v>0</v>
      </c>
      <c r="U88" s="84">
        <v>0</v>
      </c>
      <c r="V88" s="84">
        <v>0</v>
      </c>
      <c r="W88" s="84">
        <v>0</v>
      </c>
      <c r="X88" s="95">
        <v>0</v>
      </c>
      <c r="Y88" s="77">
        <v>0</v>
      </c>
      <c r="Z88" s="77">
        <v>0</v>
      </c>
      <c r="AA88" s="77">
        <v>0.25</v>
      </c>
      <c r="AB88" s="77">
        <v>0</v>
      </c>
      <c r="AC88" s="437">
        <v>0</v>
      </c>
      <c r="AD88" s="77">
        <v>0.25</v>
      </c>
      <c r="AE88" s="84" t="s">
        <v>117</v>
      </c>
      <c r="AF88" s="84" t="s">
        <v>117</v>
      </c>
      <c r="AG88" s="84" t="s">
        <v>72</v>
      </c>
      <c r="AH88" s="84" t="s">
        <v>1017</v>
      </c>
      <c r="AI88" s="84" t="s">
        <v>304</v>
      </c>
      <c r="AJ88" s="97">
        <v>1500</v>
      </c>
      <c r="AK88" s="94" t="s">
        <v>305</v>
      </c>
    </row>
    <row r="89" spans="1:37" x14ac:dyDescent="0.35">
      <c r="A89" s="85" t="s">
        <v>1152</v>
      </c>
      <c r="B89" s="86" t="s">
        <v>281</v>
      </c>
      <c r="C89" s="86" t="s">
        <v>282</v>
      </c>
      <c r="D89" s="86" t="s">
        <v>565</v>
      </c>
      <c r="E89" s="84">
        <v>607.25</v>
      </c>
      <c r="F89" s="84">
        <v>4033.25</v>
      </c>
      <c r="G89" s="84">
        <v>908</v>
      </c>
      <c r="H89" s="91">
        <v>41505</v>
      </c>
      <c r="I89" s="104">
        <v>0.59027777777777779</v>
      </c>
      <c r="J89" s="91">
        <v>41505</v>
      </c>
      <c r="K89" s="106">
        <v>0.59722222222222221</v>
      </c>
      <c r="L89" s="91">
        <v>41505</v>
      </c>
      <c r="M89" s="104">
        <v>0.67013888888888884</v>
      </c>
      <c r="N89" s="84" t="s">
        <v>81</v>
      </c>
      <c r="O89" s="84">
        <v>0</v>
      </c>
      <c r="P89" s="84">
        <v>2</v>
      </c>
      <c r="Q89" s="84">
        <v>0</v>
      </c>
      <c r="R89" s="84">
        <v>0</v>
      </c>
      <c r="S89" s="84">
        <v>0</v>
      </c>
      <c r="T89" s="84">
        <v>0</v>
      </c>
      <c r="U89" s="84">
        <v>0</v>
      </c>
      <c r="V89" s="84">
        <v>0</v>
      </c>
      <c r="W89" s="84">
        <v>0</v>
      </c>
      <c r="X89" s="75" t="s">
        <v>1153</v>
      </c>
      <c r="Y89" s="77">
        <v>0</v>
      </c>
      <c r="Z89" s="77">
        <v>2</v>
      </c>
      <c r="AA89" s="77">
        <v>0</v>
      </c>
      <c r="AB89" s="77">
        <v>0</v>
      </c>
      <c r="AC89" s="435" t="s">
        <v>1153</v>
      </c>
      <c r="AD89" s="77">
        <v>2</v>
      </c>
      <c r="AE89" s="84" t="s">
        <v>66</v>
      </c>
      <c r="AF89" s="84" t="s">
        <v>117</v>
      </c>
      <c r="AG89" s="84" t="s">
        <v>72</v>
      </c>
      <c r="AH89" s="96" t="s">
        <v>1154</v>
      </c>
      <c r="AI89" s="84" t="s">
        <v>473</v>
      </c>
      <c r="AJ89" s="93">
        <v>3120</v>
      </c>
      <c r="AK89" s="94" t="s">
        <v>305</v>
      </c>
    </row>
    <row r="90" spans="1:37" x14ac:dyDescent="0.35">
      <c r="A90" s="85" t="s">
        <v>1155</v>
      </c>
      <c r="B90" s="86" t="s">
        <v>357</v>
      </c>
      <c r="C90" s="87" t="s">
        <v>1128</v>
      </c>
      <c r="D90" s="86" t="s">
        <v>1156</v>
      </c>
      <c r="E90" s="84">
        <v>546.20000000000005</v>
      </c>
      <c r="F90" s="84">
        <v>4038.6</v>
      </c>
      <c r="G90" s="84">
        <v>900</v>
      </c>
      <c r="H90" s="91">
        <v>41505</v>
      </c>
      <c r="I90" s="104">
        <v>0.625</v>
      </c>
      <c r="J90" s="91">
        <v>41505</v>
      </c>
      <c r="K90" s="104">
        <v>0.62847222222222221</v>
      </c>
      <c r="L90" s="91">
        <v>41505</v>
      </c>
      <c r="M90" s="104">
        <v>0.75</v>
      </c>
      <c r="N90" s="84" t="s">
        <v>62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5</v>
      </c>
      <c r="U90" s="84">
        <v>0</v>
      </c>
      <c r="V90" s="84">
        <v>0</v>
      </c>
      <c r="W90" s="84">
        <v>0</v>
      </c>
      <c r="X90" s="83" t="s">
        <v>1157</v>
      </c>
      <c r="Y90" s="77">
        <v>5</v>
      </c>
      <c r="Z90" s="77">
        <v>0</v>
      </c>
      <c r="AA90" s="77">
        <v>0</v>
      </c>
      <c r="AB90" s="77">
        <v>0</v>
      </c>
      <c r="AC90" s="436" t="s">
        <v>1157</v>
      </c>
      <c r="AD90" s="77">
        <v>5</v>
      </c>
      <c r="AE90" s="84" t="s">
        <v>117</v>
      </c>
      <c r="AF90" s="84" t="s">
        <v>117</v>
      </c>
      <c r="AG90" s="84" t="s">
        <v>57</v>
      </c>
      <c r="AH90" s="84" t="s">
        <v>1158</v>
      </c>
      <c r="AI90" s="98" t="s">
        <v>991</v>
      </c>
      <c r="AJ90" s="101">
        <v>20000</v>
      </c>
      <c r="AK90" s="94" t="s">
        <v>305</v>
      </c>
    </row>
    <row r="91" spans="1:37" x14ac:dyDescent="0.35">
      <c r="A91" s="85" t="s">
        <v>1159</v>
      </c>
      <c r="B91" s="90" t="s">
        <v>626</v>
      </c>
      <c r="C91" s="90" t="s">
        <v>626</v>
      </c>
      <c r="D91" s="86" t="s">
        <v>1160</v>
      </c>
      <c r="E91" s="84">
        <v>3996.2</v>
      </c>
      <c r="F91" s="84">
        <v>581.9</v>
      </c>
      <c r="G91" s="84">
        <v>824</v>
      </c>
      <c r="H91" s="91">
        <v>41506</v>
      </c>
      <c r="I91" s="104">
        <v>0.40972222222222227</v>
      </c>
      <c r="J91" s="91">
        <v>41506</v>
      </c>
      <c r="K91" s="106">
        <v>0.4201388888888889</v>
      </c>
      <c r="L91" s="91">
        <v>41506</v>
      </c>
      <c r="M91" s="104">
        <v>0.54166666666666663</v>
      </c>
      <c r="N91" s="84" t="s">
        <v>62</v>
      </c>
      <c r="O91" s="84">
        <v>1</v>
      </c>
      <c r="P91" s="84">
        <v>0</v>
      </c>
      <c r="Q91" s="84">
        <v>0</v>
      </c>
      <c r="R91" s="84">
        <v>0</v>
      </c>
      <c r="S91" s="84">
        <v>0</v>
      </c>
      <c r="T91" s="84">
        <v>1</v>
      </c>
      <c r="U91" s="84">
        <v>0</v>
      </c>
      <c r="V91" s="84">
        <v>0</v>
      </c>
      <c r="W91" s="84">
        <v>0</v>
      </c>
      <c r="X91" s="95">
        <v>0</v>
      </c>
      <c r="Y91" s="77">
        <v>2</v>
      </c>
      <c r="Z91" s="77">
        <v>0</v>
      </c>
      <c r="AA91" s="77">
        <v>0</v>
      </c>
      <c r="AB91" s="77">
        <v>0</v>
      </c>
      <c r="AC91" s="437">
        <v>0</v>
      </c>
      <c r="AD91" s="77">
        <v>2</v>
      </c>
      <c r="AE91" s="84" t="s">
        <v>117</v>
      </c>
      <c r="AF91" s="84" t="s">
        <v>117</v>
      </c>
      <c r="AG91" s="84" t="s">
        <v>72</v>
      </c>
      <c r="AH91" s="84" t="s">
        <v>1101</v>
      </c>
      <c r="AI91" s="84" t="s">
        <v>938</v>
      </c>
      <c r="AJ91" s="93">
        <v>10000</v>
      </c>
      <c r="AK91" s="94" t="s">
        <v>305</v>
      </c>
    </row>
    <row r="92" spans="1:37" x14ac:dyDescent="0.35">
      <c r="A92" s="85" t="s">
        <v>1161</v>
      </c>
      <c r="B92" s="86" t="s">
        <v>312</v>
      </c>
      <c r="C92" s="86" t="s">
        <v>313</v>
      </c>
      <c r="D92" s="86" t="s">
        <v>1145</v>
      </c>
      <c r="E92" s="84">
        <v>512</v>
      </c>
      <c r="F92" s="84">
        <v>344.8</v>
      </c>
      <c r="G92" s="84">
        <v>566</v>
      </c>
      <c r="H92" s="91">
        <v>41506</v>
      </c>
      <c r="I92" s="104">
        <v>0.58333333333333337</v>
      </c>
      <c r="J92" s="91">
        <v>41506</v>
      </c>
      <c r="K92" s="106">
        <v>0.59027777777777779</v>
      </c>
      <c r="L92" s="91">
        <v>41506</v>
      </c>
      <c r="M92" s="104">
        <v>0.60416666666666663</v>
      </c>
      <c r="N92" s="84" t="s">
        <v>484</v>
      </c>
      <c r="O92" s="84">
        <v>0</v>
      </c>
      <c r="P92" s="84">
        <v>1</v>
      </c>
      <c r="Q92" s="84">
        <v>0</v>
      </c>
      <c r="R92" s="84">
        <v>0</v>
      </c>
      <c r="S92" s="84">
        <v>0</v>
      </c>
      <c r="T92" s="84">
        <v>0</v>
      </c>
      <c r="U92" s="84">
        <v>0</v>
      </c>
      <c r="V92" s="84">
        <v>0</v>
      </c>
      <c r="W92" s="84">
        <v>0</v>
      </c>
      <c r="X92" s="75" t="s">
        <v>1162</v>
      </c>
      <c r="Y92" s="77">
        <v>0</v>
      </c>
      <c r="Z92" s="77">
        <v>1</v>
      </c>
      <c r="AA92" s="77">
        <v>0</v>
      </c>
      <c r="AB92" s="77">
        <v>0</v>
      </c>
      <c r="AC92" s="435" t="s">
        <v>1162</v>
      </c>
      <c r="AD92" s="77">
        <v>1</v>
      </c>
      <c r="AE92" s="84" t="s">
        <v>117</v>
      </c>
      <c r="AF92" s="84" t="s">
        <v>117</v>
      </c>
      <c r="AG92" s="84" t="s">
        <v>72</v>
      </c>
      <c r="AH92" s="96" t="s">
        <v>1123</v>
      </c>
      <c r="AI92" s="84" t="s">
        <v>304</v>
      </c>
      <c r="AJ92" s="93">
        <v>144200</v>
      </c>
      <c r="AK92" s="94" t="s">
        <v>305</v>
      </c>
    </row>
    <row r="93" spans="1:37" x14ac:dyDescent="0.35">
      <c r="A93" s="85" t="s">
        <v>1163</v>
      </c>
      <c r="B93" s="86" t="s">
        <v>316</v>
      </c>
      <c r="C93" s="87" t="s">
        <v>510</v>
      </c>
      <c r="D93" s="86" t="s">
        <v>1164</v>
      </c>
      <c r="E93" s="84">
        <v>568.20000000000005</v>
      </c>
      <c r="F93" s="84">
        <v>4016.6</v>
      </c>
      <c r="G93" s="84">
        <v>690</v>
      </c>
      <c r="H93" s="91">
        <v>41506</v>
      </c>
      <c r="I93" s="104">
        <v>0.66666666666666663</v>
      </c>
      <c r="J93" s="91">
        <v>41506</v>
      </c>
      <c r="K93" s="104">
        <v>0.67361111111111116</v>
      </c>
      <c r="L93" s="91">
        <v>41506</v>
      </c>
      <c r="M93" s="104">
        <v>0.77083333333333337</v>
      </c>
      <c r="N93" s="84" t="s">
        <v>62</v>
      </c>
      <c r="O93" s="84">
        <v>1</v>
      </c>
      <c r="P93" s="84">
        <v>0</v>
      </c>
      <c r="Q93" s="84">
        <v>0</v>
      </c>
      <c r="R93" s="84">
        <v>0</v>
      </c>
      <c r="S93" s="84">
        <v>0</v>
      </c>
      <c r="T93" s="84">
        <v>0</v>
      </c>
      <c r="U93" s="84">
        <v>0</v>
      </c>
      <c r="V93" s="84">
        <v>0</v>
      </c>
      <c r="W93" s="84">
        <v>0</v>
      </c>
      <c r="X93" s="100" t="s">
        <v>1165</v>
      </c>
      <c r="Y93" s="77">
        <v>1</v>
      </c>
      <c r="Z93" s="77">
        <v>0</v>
      </c>
      <c r="AA93" s="77">
        <v>0</v>
      </c>
      <c r="AB93" s="77">
        <v>0</v>
      </c>
      <c r="AC93" s="438" t="s">
        <v>1165</v>
      </c>
      <c r="AD93" s="77">
        <v>1</v>
      </c>
      <c r="AE93" s="84" t="s">
        <v>117</v>
      </c>
      <c r="AF93" s="84" t="s">
        <v>117</v>
      </c>
      <c r="AG93" s="84" t="s">
        <v>57</v>
      </c>
      <c r="AH93" s="96" t="s">
        <v>1166</v>
      </c>
      <c r="AI93" s="98" t="s">
        <v>991</v>
      </c>
      <c r="AJ93" s="101">
        <v>20000</v>
      </c>
      <c r="AK93" s="94" t="s">
        <v>305</v>
      </c>
    </row>
    <row r="94" spans="1:37" x14ac:dyDescent="0.35">
      <c r="A94" s="85" t="s">
        <v>1167</v>
      </c>
      <c r="B94" s="86" t="s">
        <v>281</v>
      </c>
      <c r="C94" s="86" t="s">
        <v>282</v>
      </c>
      <c r="D94" s="86" t="s">
        <v>1168</v>
      </c>
      <c r="E94" s="84">
        <v>341.8</v>
      </c>
      <c r="F94" s="84">
        <v>634.6</v>
      </c>
      <c r="G94" s="84">
        <v>542</v>
      </c>
      <c r="H94" s="91">
        <v>41506</v>
      </c>
      <c r="I94" s="104">
        <v>0.84027777777777779</v>
      </c>
      <c r="J94" s="91">
        <v>41506</v>
      </c>
      <c r="K94" s="106">
        <v>0.84722222222222221</v>
      </c>
      <c r="L94" s="91">
        <v>41506</v>
      </c>
      <c r="M94" s="104">
        <v>0.92708333333333337</v>
      </c>
      <c r="N94" s="84" t="s">
        <v>62</v>
      </c>
      <c r="O94" s="84">
        <v>5</v>
      </c>
      <c r="P94" s="84">
        <v>0</v>
      </c>
      <c r="Q94" s="84">
        <v>0</v>
      </c>
      <c r="R94" s="84">
        <v>0</v>
      </c>
      <c r="S94" s="84">
        <v>0</v>
      </c>
      <c r="T94" s="84">
        <v>0</v>
      </c>
      <c r="U94" s="84">
        <v>0</v>
      </c>
      <c r="V94" s="84">
        <v>0</v>
      </c>
      <c r="W94" s="84">
        <v>0</v>
      </c>
      <c r="X94" s="75">
        <v>0</v>
      </c>
      <c r="Y94" s="77">
        <v>5</v>
      </c>
      <c r="Z94" s="77">
        <v>0</v>
      </c>
      <c r="AA94" s="77">
        <v>0</v>
      </c>
      <c r="AB94" s="77">
        <v>0</v>
      </c>
      <c r="AC94" s="435">
        <v>0</v>
      </c>
      <c r="AD94" s="77">
        <v>5</v>
      </c>
      <c r="AE94" s="84" t="s">
        <v>66</v>
      </c>
      <c r="AF94" s="84" t="s">
        <v>117</v>
      </c>
      <c r="AG94" s="84" t="s">
        <v>72</v>
      </c>
      <c r="AH94" s="96" t="s">
        <v>1169</v>
      </c>
      <c r="AI94" s="84" t="s">
        <v>304</v>
      </c>
      <c r="AJ94" s="93">
        <v>11700</v>
      </c>
      <c r="AK94" s="94" t="s">
        <v>305</v>
      </c>
    </row>
    <row r="95" spans="1:37" x14ac:dyDescent="0.35">
      <c r="A95" s="85" t="s">
        <v>1170</v>
      </c>
      <c r="B95" s="86" t="s">
        <v>405</v>
      </c>
      <c r="C95" s="86" t="s">
        <v>405</v>
      </c>
      <c r="D95" s="86" t="s">
        <v>1171</v>
      </c>
      <c r="E95" s="84">
        <v>559.79999999999995</v>
      </c>
      <c r="F95" s="84">
        <v>4030.1</v>
      </c>
      <c r="G95" s="84">
        <v>680</v>
      </c>
      <c r="H95" s="91">
        <v>41507</v>
      </c>
      <c r="I95" s="104">
        <v>0.64236111111111105</v>
      </c>
      <c r="J95" s="92" t="s">
        <v>175</v>
      </c>
      <c r="K95" s="92" t="s">
        <v>175</v>
      </c>
      <c r="L95" s="91">
        <v>41507</v>
      </c>
      <c r="M95" s="104">
        <v>0.79166666666666663</v>
      </c>
      <c r="N95" s="84" t="s">
        <v>81</v>
      </c>
      <c r="O95" s="84">
        <v>0</v>
      </c>
      <c r="P95" s="84">
        <v>2</v>
      </c>
      <c r="Q95" s="84">
        <v>0</v>
      </c>
      <c r="R95" s="84">
        <v>0</v>
      </c>
      <c r="S95" s="84">
        <v>0</v>
      </c>
      <c r="T95" s="84">
        <v>0</v>
      </c>
      <c r="U95" s="84">
        <v>0</v>
      </c>
      <c r="V95" s="84">
        <v>0</v>
      </c>
      <c r="W95" s="84">
        <v>0</v>
      </c>
      <c r="X95" s="83" t="s">
        <v>1172</v>
      </c>
      <c r="Y95" s="77">
        <v>0</v>
      </c>
      <c r="Z95" s="77">
        <v>2</v>
      </c>
      <c r="AA95" s="77">
        <v>0</v>
      </c>
      <c r="AB95" s="77">
        <v>0</v>
      </c>
      <c r="AC95" s="436" t="s">
        <v>1172</v>
      </c>
      <c r="AD95" s="77">
        <v>2</v>
      </c>
      <c r="AE95" s="84" t="s">
        <v>117</v>
      </c>
      <c r="AF95" s="84" t="s">
        <v>117</v>
      </c>
      <c r="AG95" s="84" t="s">
        <v>72</v>
      </c>
      <c r="AH95" s="96" t="s">
        <v>1166</v>
      </c>
      <c r="AI95" s="98" t="s">
        <v>175</v>
      </c>
      <c r="AJ95" s="101">
        <v>20000</v>
      </c>
      <c r="AK95" s="94" t="s">
        <v>305</v>
      </c>
    </row>
    <row r="96" spans="1:37" x14ac:dyDescent="0.35">
      <c r="A96" s="85" t="s">
        <v>1173</v>
      </c>
      <c r="B96" s="86" t="s">
        <v>344</v>
      </c>
      <c r="C96" s="86" t="s">
        <v>1030</v>
      </c>
      <c r="D96" s="86" t="s">
        <v>1174</v>
      </c>
      <c r="E96" s="84">
        <v>555.9</v>
      </c>
      <c r="F96" s="84">
        <v>3999.5</v>
      </c>
      <c r="G96" s="84">
        <v>1300</v>
      </c>
      <c r="H96" s="91">
        <v>41507</v>
      </c>
      <c r="I96" s="104">
        <v>0.65277777777777779</v>
      </c>
      <c r="J96" s="91">
        <v>41507</v>
      </c>
      <c r="K96" s="92">
        <v>0.66319444444444442</v>
      </c>
      <c r="L96" s="91">
        <v>41507</v>
      </c>
      <c r="M96" s="104">
        <v>0.72916666666666663</v>
      </c>
      <c r="N96" s="84" t="s">
        <v>81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2</v>
      </c>
      <c r="V96" s="84">
        <v>0</v>
      </c>
      <c r="W96" s="84">
        <v>0</v>
      </c>
      <c r="X96" s="95">
        <v>0</v>
      </c>
      <c r="Y96" s="77">
        <v>0</v>
      </c>
      <c r="Z96" s="77">
        <v>2</v>
      </c>
      <c r="AA96" s="77">
        <v>0</v>
      </c>
      <c r="AB96" s="77">
        <v>0</v>
      </c>
      <c r="AC96" s="437">
        <v>0</v>
      </c>
      <c r="AD96" s="77">
        <v>2</v>
      </c>
      <c r="AE96" s="84" t="s">
        <v>117</v>
      </c>
      <c r="AF96" s="84" t="s">
        <v>117</v>
      </c>
      <c r="AG96" s="84" t="s">
        <v>72</v>
      </c>
      <c r="AH96" s="84" t="s">
        <v>948</v>
      </c>
      <c r="AI96" s="84" t="s">
        <v>1175</v>
      </c>
      <c r="AJ96" s="93">
        <v>10000</v>
      </c>
      <c r="AK96" s="94" t="s">
        <v>305</v>
      </c>
    </row>
    <row r="97" spans="1:37" x14ac:dyDescent="0.35">
      <c r="A97" s="85" t="s">
        <v>1176</v>
      </c>
      <c r="B97" s="86" t="s">
        <v>301</v>
      </c>
      <c r="C97" s="86" t="s">
        <v>301</v>
      </c>
      <c r="D97" s="86" t="s">
        <v>1177</v>
      </c>
      <c r="E97" s="84">
        <v>610.5</v>
      </c>
      <c r="F97" s="84">
        <v>348.5</v>
      </c>
      <c r="G97" s="84">
        <v>885</v>
      </c>
      <c r="H97" s="91">
        <v>41508</v>
      </c>
      <c r="I97" s="104">
        <v>0.46875</v>
      </c>
      <c r="J97" s="91">
        <v>41508</v>
      </c>
      <c r="K97" s="92">
        <v>0.47916666666666669</v>
      </c>
      <c r="L97" s="91">
        <v>41508</v>
      </c>
      <c r="M97" s="104">
        <v>0.48958333333333331</v>
      </c>
      <c r="N97" s="84" t="s">
        <v>41</v>
      </c>
      <c r="O97" s="84">
        <v>0</v>
      </c>
      <c r="P97" s="84">
        <v>0</v>
      </c>
      <c r="Q97" s="84">
        <v>1.5</v>
      </c>
      <c r="R97" s="84">
        <v>0</v>
      </c>
      <c r="S97" s="84">
        <v>0</v>
      </c>
      <c r="T97" s="84">
        <v>0</v>
      </c>
      <c r="U97" s="84">
        <v>0</v>
      </c>
      <c r="V97" s="84">
        <v>0</v>
      </c>
      <c r="W97" s="84">
        <v>0</v>
      </c>
      <c r="X97" s="75" t="s">
        <v>1178</v>
      </c>
      <c r="Y97" s="77">
        <v>0</v>
      </c>
      <c r="Z97" s="77">
        <v>0</v>
      </c>
      <c r="AA97" s="77">
        <v>1.5</v>
      </c>
      <c r="AB97" s="77">
        <v>0</v>
      </c>
      <c r="AC97" s="435" t="s">
        <v>1178</v>
      </c>
      <c r="AD97" s="77">
        <v>1.5</v>
      </c>
      <c r="AE97" s="84" t="s">
        <v>117</v>
      </c>
      <c r="AF97" s="84" t="s">
        <v>117</v>
      </c>
      <c r="AG97" s="84" t="s">
        <v>72</v>
      </c>
      <c r="AH97" s="96" t="s">
        <v>1179</v>
      </c>
      <c r="AI97" s="84" t="s">
        <v>304</v>
      </c>
      <c r="AJ97" s="97">
        <v>211500</v>
      </c>
      <c r="AK97" s="94" t="s">
        <v>305</v>
      </c>
    </row>
    <row r="98" spans="1:37" x14ac:dyDescent="0.35">
      <c r="A98" s="85" t="s">
        <v>1180</v>
      </c>
      <c r="B98" s="86" t="s">
        <v>281</v>
      </c>
      <c r="C98" s="86" t="s">
        <v>307</v>
      </c>
      <c r="D98" s="86" t="s">
        <v>1181</v>
      </c>
      <c r="E98" s="84">
        <v>332.6</v>
      </c>
      <c r="F98" s="84">
        <v>629.20000000000005</v>
      </c>
      <c r="G98" s="84">
        <v>550</v>
      </c>
      <c r="H98" s="91">
        <v>41508</v>
      </c>
      <c r="I98" s="104">
        <v>0.52152777777777781</v>
      </c>
      <c r="J98" s="91">
        <v>41508</v>
      </c>
      <c r="K98" s="92">
        <v>0.53125</v>
      </c>
      <c r="L98" s="91">
        <v>41508</v>
      </c>
      <c r="M98" s="104">
        <v>0.81041666666666667</v>
      </c>
      <c r="N98" s="84" t="s">
        <v>41</v>
      </c>
      <c r="O98" s="84">
        <v>10</v>
      </c>
      <c r="P98" s="84">
        <v>0</v>
      </c>
      <c r="Q98" s="84">
        <v>20</v>
      </c>
      <c r="R98" s="84">
        <v>0</v>
      </c>
      <c r="S98" s="84">
        <v>0</v>
      </c>
      <c r="T98" s="84">
        <v>0</v>
      </c>
      <c r="U98" s="84">
        <v>0</v>
      </c>
      <c r="V98" s="84">
        <v>0</v>
      </c>
      <c r="W98" s="84">
        <v>0</v>
      </c>
      <c r="X98" s="75" t="s">
        <v>998</v>
      </c>
      <c r="Y98" s="77">
        <v>10</v>
      </c>
      <c r="Z98" s="77">
        <v>0</v>
      </c>
      <c r="AA98" s="77">
        <v>20</v>
      </c>
      <c r="AB98" s="77">
        <v>0</v>
      </c>
      <c r="AC98" s="435" t="s">
        <v>998</v>
      </c>
      <c r="AD98" s="77">
        <v>30</v>
      </c>
      <c r="AE98" s="84" t="s">
        <v>368</v>
      </c>
      <c r="AF98" s="84" t="s">
        <v>117</v>
      </c>
      <c r="AG98" s="84" t="s">
        <v>57</v>
      </c>
      <c r="AH98" s="96" t="s">
        <v>1182</v>
      </c>
      <c r="AI98" s="84" t="s">
        <v>304</v>
      </c>
      <c r="AJ98" s="93">
        <v>841500</v>
      </c>
      <c r="AK98" s="94" t="s">
        <v>305</v>
      </c>
    </row>
    <row r="99" spans="1:37" x14ac:dyDescent="0.35">
      <c r="A99" s="85" t="s">
        <v>1183</v>
      </c>
      <c r="B99" s="86" t="s">
        <v>344</v>
      </c>
      <c r="C99" s="86" t="s">
        <v>1030</v>
      </c>
      <c r="D99" s="86" t="s">
        <v>1184</v>
      </c>
      <c r="E99" s="84">
        <v>556.5</v>
      </c>
      <c r="F99" s="84">
        <v>4000</v>
      </c>
      <c r="G99" s="84">
        <v>1128</v>
      </c>
      <c r="H99" s="91">
        <v>41508</v>
      </c>
      <c r="I99" s="104">
        <v>0.53125</v>
      </c>
      <c r="J99" s="91">
        <v>41508</v>
      </c>
      <c r="K99" s="92">
        <v>0.54166666666666663</v>
      </c>
      <c r="L99" s="91">
        <v>41508</v>
      </c>
      <c r="M99" s="104">
        <v>0.70486111111111116</v>
      </c>
      <c r="N99" s="84" t="s">
        <v>81</v>
      </c>
      <c r="O99" s="84">
        <v>0</v>
      </c>
      <c r="P99" s="84">
        <v>0</v>
      </c>
      <c r="Q99" s="84">
        <v>0</v>
      </c>
      <c r="R99" s="84">
        <v>0</v>
      </c>
      <c r="S99" s="84">
        <v>0</v>
      </c>
      <c r="T99" s="84">
        <v>0</v>
      </c>
      <c r="U99" s="84">
        <v>1.5</v>
      </c>
      <c r="V99" s="84">
        <v>0</v>
      </c>
      <c r="W99" s="84">
        <v>0</v>
      </c>
      <c r="X99" s="83">
        <v>0</v>
      </c>
      <c r="Y99" s="77">
        <v>0</v>
      </c>
      <c r="Z99" s="77">
        <v>1.5</v>
      </c>
      <c r="AA99" s="77">
        <v>0</v>
      </c>
      <c r="AB99" s="77">
        <v>0</v>
      </c>
      <c r="AC99" s="436">
        <v>0</v>
      </c>
      <c r="AD99" s="77">
        <v>1.5</v>
      </c>
      <c r="AE99" s="84" t="s">
        <v>117</v>
      </c>
      <c r="AF99" s="84" t="s">
        <v>117</v>
      </c>
      <c r="AG99" s="84" t="s">
        <v>72</v>
      </c>
      <c r="AH99" s="84" t="s">
        <v>924</v>
      </c>
      <c r="AI99" s="84" t="s">
        <v>938</v>
      </c>
      <c r="AJ99" s="99">
        <v>7500</v>
      </c>
      <c r="AK99" s="94" t="s">
        <v>305</v>
      </c>
    </row>
    <row r="100" spans="1:37" x14ac:dyDescent="0.35">
      <c r="A100" s="85" t="s">
        <v>1185</v>
      </c>
      <c r="B100" s="86" t="s">
        <v>316</v>
      </c>
      <c r="C100" s="86" t="s">
        <v>316</v>
      </c>
      <c r="D100" s="86" t="s">
        <v>1186</v>
      </c>
      <c r="E100" s="84">
        <v>564.20000000000005</v>
      </c>
      <c r="F100" s="84">
        <v>1038.0999999999999</v>
      </c>
      <c r="G100" s="84">
        <v>480</v>
      </c>
      <c r="H100" s="91">
        <v>41508</v>
      </c>
      <c r="I100" s="104">
        <v>0.53472222222222221</v>
      </c>
      <c r="J100" s="91">
        <v>41508</v>
      </c>
      <c r="K100" s="104">
        <v>0.54166666666666663</v>
      </c>
      <c r="L100" s="91">
        <v>41508</v>
      </c>
      <c r="M100" s="104">
        <v>0.57638888888888895</v>
      </c>
      <c r="N100" s="91" t="s">
        <v>1187</v>
      </c>
      <c r="O100" s="107">
        <v>0</v>
      </c>
      <c r="P100" s="84">
        <v>0</v>
      </c>
      <c r="Q100" s="84">
        <v>0</v>
      </c>
      <c r="R100" s="84">
        <v>0</v>
      </c>
      <c r="S100" s="84">
        <v>0</v>
      </c>
      <c r="T100" s="84">
        <v>0.5</v>
      </c>
      <c r="U100" s="84">
        <v>0</v>
      </c>
      <c r="V100" s="84">
        <v>0</v>
      </c>
      <c r="W100" s="84">
        <v>0</v>
      </c>
      <c r="X100" s="75" t="s">
        <v>998</v>
      </c>
      <c r="Y100" s="77">
        <v>0.5</v>
      </c>
      <c r="Z100" s="77">
        <v>0</v>
      </c>
      <c r="AA100" s="77">
        <v>0</v>
      </c>
      <c r="AB100" s="77">
        <v>0</v>
      </c>
      <c r="AC100" s="435" t="s">
        <v>998</v>
      </c>
      <c r="AD100" s="77">
        <v>0.5</v>
      </c>
      <c r="AE100" s="84" t="s">
        <v>117</v>
      </c>
      <c r="AF100" s="84" t="s">
        <v>117</v>
      </c>
      <c r="AG100" s="84" t="s">
        <v>57</v>
      </c>
      <c r="AH100" s="84" t="s">
        <v>999</v>
      </c>
      <c r="AI100" s="98" t="s">
        <v>991</v>
      </c>
      <c r="AJ100" s="97">
        <v>15000</v>
      </c>
      <c r="AK100" s="94" t="s">
        <v>305</v>
      </c>
    </row>
    <row r="101" spans="1:37" x14ac:dyDescent="0.35">
      <c r="A101" s="85" t="s">
        <v>1188</v>
      </c>
      <c r="B101" s="86" t="s">
        <v>344</v>
      </c>
      <c r="C101" s="86" t="s">
        <v>1133</v>
      </c>
      <c r="D101" s="86" t="s">
        <v>1189</v>
      </c>
      <c r="E101" s="84" t="s">
        <v>1190</v>
      </c>
      <c r="F101" s="84" t="s">
        <v>1191</v>
      </c>
      <c r="G101" s="84">
        <v>903</v>
      </c>
      <c r="H101" s="91">
        <v>41508</v>
      </c>
      <c r="I101" s="104">
        <v>0.54166666666666663</v>
      </c>
      <c r="J101" s="91">
        <v>41508</v>
      </c>
      <c r="K101" s="92">
        <v>0.55208333333333337</v>
      </c>
      <c r="L101" s="91">
        <v>41508</v>
      </c>
      <c r="M101" s="104">
        <v>0.58333333333333337</v>
      </c>
      <c r="N101" s="84" t="s">
        <v>41</v>
      </c>
      <c r="O101" s="107">
        <v>0</v>
      </c>
      <c r="P101" s="84">
        <v>0</v>
      </c>
      <c r="Q101" s="84">
        <v>0</v>
      </c>
      <c r="R101" s="84">
        <v>0</v>
      </c>
      <c r="S101" s="84">
        <v>0</v>
      </c>
      <c r="T101" s="84">
        <v>0</v>
      </c>
      <c r="U101" s="84">
        <v>0</v>
      </c>
      <c r="V101" s="84">
        <v>1.5</v>
      </c>
      <c r="W101" s="84">
        <v>0</v>
      </c>
      <c r="X101" s="75" t="s">
        <v>1192</v>
      </c>
      <c r="Y101" s="77">
        <v>0</v>
      </c>
      <c r="Z101" s="77">
        <v>0</v>
      </c>
      <c r="AA101" s="77">
        <v>1.5</v>
      </c>
      <c r="AB101" s="77">
        <v>0</v>
      </c>
      <c r="AC101" s="435" t="s">
        <v>1192</v>
      </c>
      <c r="AD101" s="77">
        <v>1.5</v>
      </c>
      <c r="AE101" s="84" t="s">
        <v>117</v>
      </c>
      <c r="AF101" s="84" t="s">
        <v>117</v>
      </c>
      <c r="AG101" s="84" t="s">
        <v>72</v>
      </c>
      <c r="AH101" s="84" t="s">
        <v>924</v>
      </c>
      <c r="AI101" s="84" t="s">
        <v>65</v>
      </c>
      <c r="AJ101" s="93">
        <v>2500</v>
      </c>
      <c r="AK101" s="94" t="s">
        <v>305</v>
      </c>
    </row>
    <row r="102" spans="1:37" x14ac:dyDescent="0.35">
      <c r="A102" s="85" t="s">
        <v>1193</v>
      </c>
      <c r="B102" s="90" t="s">
        <v>626</v>
      </c>
      <c r="C102" s="90" t="s">
        <v>626</v>
      </c>
      <c r="D102" s="86" t="s">
        <v>1194</v>
      </c>
      <c r="E102" s="84">
        <v>588.20000000000005</v>
      </c>
      <c r="F102" s="84">
        <v>39994.699999999997</v>
      </c>
      <c r="G102" s="84">
        <v>804</v>
      </c>
      <c r="H102" s="91">
        <v>41508</v>
      </c>
      <c r="I102" s="104">
        <v>0.8125</v>
      </c>
      <c r="J102" s="91">
        <v>41508</v>
      </c>
      <c r="K102" s="92">
        <v>0.81944444444444453</v>
      </c>
      <c r="L102" s="91">
        <v>41508</v>
      </c>
      <c r="M102" s="104">
        <v>0.84375</v>
      </c>
      <c r="N102" s="84" t="s">
        <v>62</v>
      </c>
      <c r="O102" s="107">
        <v>1</v>
      </c>
      <c r="P102" s="84">
        <v>0</v>
      </c>
      <c r="Q102" s="84">
        <v>0</v>
      </c>
      <c r="R102" s="84">
        <v>0</v>
      </c>
      <c r="S102" s="84">
        <v>0</v>
      </c>
      <c r="T102" s="84">
        <v>0</v>
      </c>
      <c r="U102" s="84">
        <v>0</v>
      </c>
      <c r="V102" s="84">
        <v>0</v>
      </c>
      <c r="W102" s="84">
        <v>0</v>
      </c>
      <c r="X102" s="95">
        <v>0</v>
      </c>
      <c r="Y102" s="77">
        <v>1</v>
      </c>
      <c r="Z102" s="77">
        <v>0</v>
      </c>
      <c r="AA102" s="77">
        <v>0</v>
      </c>
      <c r="AB102" s="77">
        <v>0</v>
      </c>
      <c r="AC102" s="437">
        <v>0</v>
      </c>
      <c r="AD102" s="77">
        <v>1</v>
      </c>
      <c r="AE102" s="84" t="s">
        <v>117</v>
      </c>
      <c r="AF102" s="84" t="s">
        <v>117</v>
      </c>
      <c r="AG102" s="84" t="s">
        <v>72</v>
      </c>
      <c r="AH102" s="84" t="s">
        <v>1101</v>
      </c>
      <c r="AI102" s="84" t="s">
        <v>304</v>
      </c>
      <c r="AJ102" s="93">
        <v>7500</v>
      </c>
      <c r="AK102" s="94" t="s">
        <v>305</v>
      </c>
    </row>
    <row r="103" spans="1:37" x14ac:dyDescent="0.35">
      <c r="A103" s="85" t="s">
        <v>1195</v>
      </c>
      <c r="B103" s="86" t="s">
        <v>301</v>
      </c>
      <c r="C103" s="86" t="s">
        <v>481</v>
      </c>
      <c r="D103" s="86" t="s">
        <v>1056</v>
      </c>
      <c r="E103" s="84">
        <v>601</v>
      </c>
      <c r="F103" s="84">
        <v>345.5</v>
      </c>
      <c r="G103" s="84">
        <v>730</v>
      </c>
      <c r="H103" s="91">
        <v>41509</v>
      </c>
      <c r="I103" s="104">
        <v>0.58680555555555558</v>
      </c>
      <c r="J103" s="91">
        <v>41509</v>
      </c>
      <c r="K103" s="104">
        <v>0.59375</v>
      </c>
      <c r="L103" s="91">
        <v>41509</v>
      </c>
      <c r="M103" s="104">
        <v>0.65555555555555556</v>
      </c>
      <c r="N103" s="84" t="s">
        <v>41</v>
      </c>
      <c r="O103" s="107">
        <v>0</v>
      </c>
      <c r="P103" s="84">
        <v>0</v>
      </c>
      <c r="Q103" s="84">
        <v>0.5</v>
      </c>
      <c r="R103" s="84">
        <v>0</v>
      </c>
      <c r="S103" s="84">
        <v>0</v>
      </c>
      <c r="T103" s="84">
        <v>0</v>
      </c>
      <c r="U103" s="84">
        <v>0</v>
      </c>
      <c r="V103" s="84">
        <v>0</v>
      </c>
      <c r="W103" s="84">
        <v>0</v>
      </c>
      <c r="X103" s="75" t="s">
        <v>1196</v>
      </c>
      <c r="Y103" s="77">
        <v>0</v>
      </c>
      <c r="Z103" s="77">
        <v>0</v>
      </c>
      <c r="AA103" s="77">
        <v>0.5</v>
      </c>
      <c r="AB103" s="77">
        <v>0</v>
      </c>
      <c r="AC103" s="435" t="s">
        <v>1196</v>
      </c>
      <c r="AD103" s="77">
        <v>0.5</v>
      </c>
      <c r="AE103" s="84" t="s">
        <v>117</v>
      </c>
      <c r="AF103" s="84" t="s">
        <v>117</v>
      </c>
      <c r="AG103" s="84" t="s">
        <v>72</v>
      </c>
      <c r="AH103" s="96" t="s">
        <v>1197</v>
      </c>
      <c r="AI103" s="84" t="s">
        <v>65</v>
      </c>
      <c r="AJ103" s="97">
        <v>70000</v>
      </c>
      <c r="AK103" s="94" t="s">
        <v>305</v>
      </c>
    </row>
    <row r="104" spans="1:37" x14ac:dyDescent="0.35">
      <c r="A104" s="85" t="s">
        <v>1198</v>
      </c>
      <c r="B104" s="86" t="s">
        <v>281</v>
      </c>
      <c r="C104" s="86" t="s">
        <v>281</v>
      </c>
      <c r="D104" s="86" t="s">
        <v>1199</v>
      </c>
      <c r="E104" s="84">
        <v>3414.9</v>
      </c>
      <c r="F104" s="84">
        <v>634.70000000000005</v>
      </c>
      <c r="G104" s="84">
        <v>550</v>
      </c>
      <c r="H104" s="91">
        <v>41509</v>
      </c>
      <c r="I104" s="104">
        <v>0.58680555555555558</v>
      </c>
      <c r="J104" s="91">
        <v>41509</v>
      </c>
      <c r="K104" s="104">
        <v>0.59375</v>
      </c>
      <c r="L104" s="91">
        <v>41509</v>
      </c>
      <c r="M104" s="104">
        <v>0.63888888888888895</v>
      </c>
      <c r="N104" s="84" t="s">
        <v>41</v>
      </c>
      <c r="O104" s="107">
        <v>3</v>
      </c>
      <c r="P104" s="84">
        <v>0</v>
      </c>
      <c r="Q104" s="84">
        <v>8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X104" s="75">
        <v>0</v>
      </c>
      <c r="Y104" s="77">
        <v>3</v>
      </c>
      <c r="Z104" s="77">
        <v>0</v>
      </c>
      <c r="AA104" s="77">
        <v>8</v>
      </c>
      <c r="AB104" s="77">
        <v>0</v>
      </c>
      <c r="AC104" s="435">
        <v>0</v>
      </c>
      <c r="AD104" s="77">
        <v>11</v>
      </c>
      <c r="AE104" s="84" t="s">
        <v>66</v>
      </c>
      <c r="AF104" s="84" t="s">
        <v>117</v>
      </c>
      <c r="AG104" s="84" t="s">
        <v>493</v>
      </c>
      <c r="AH104" s="96" t="s">
        <v>1200</v>
      </c>
      <c r="AI104" s="84" t="s">
        <v>304</v>
      </c>
      <c r="AJ104" s="93">
        <v>21060</v>
      </c>
      <c r="AK104" s="94" t="s">
        <v>305</v>
      </c>
    </row>
    <row r="105" spans="1:37" x14ac:dyDescent="0.35">
      <c r="A105" s="85" t="s">
        <v>1201</v>
      </c>
      <c r="B105" s="86" t="s">
        <v>281</v>
      </c>
      <c r="C105" s="86" t="s">
        <v>307</v>
      </c>
      <c r="D105" s="86" t="s">
        <v>1202</v>
      </c>
      <c r="E105" s="84">
        <v>332.25</v>
      </c>
      <c r="F105" s="84">
        <v>631</v>
      </c>
      <c r="G105" s="84">
        <v>540</v>
      </c>
      <c r="H105" s="91">
        <v>41509</v>
      </c>
      <c r="I105" s="104">
        <v>0.61805555555555558</v>
      </c>
      <c r="J105" s="91">
        <v>41509</v>
      </c>
      <c r="K105" s="104">
        <v>0.625</v>
      </c>
      <c r="L105" s="91">
        <v>41509</v>
      </c>
      <c r="M105" s="104">
        <v>0.83680555555555547</v>
      </c>
      <c r="N105" s="84" t="s">
        <v>41</v>
      </c>
      <c r="O105" s="107">
        <v>5</v>
      </c>
      <c r="P105" s="84">
        <v>0</v>
      </c>
      <c r="Q105" s="84">
        <v>15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75" t="s">
        <v>1203</v>
      </c>
      <c r="Y105" s="77">
        <v>5</v>
      </c>
      <c r="Z105" s="77">
        <v>0</v>
      </c>
      <c r="AA105" s="77">
        <v>15</v>
      </c>
      <c r="AB105" s="77">
        <v>0</v>
      </c>
      <c r="AC105" s="435" t="s">
        <v>1203</v>
      </c>
      <c r="AD105" s="77">
        <v>20</v>
      </c>
      <c r="AE105" s="84" t="s">
        <v>66</v>
      </c>
      <c r="AF105" s="84" t="s">
        <v>117</v>
      </c>
      <c r="AG105" s="84" t="s">
        <v>72</v>
      </c>
      <c r="AH105" s="96" t="s">
        <v>1204</v>
      </c>
      <c r="AI105" s="84" t="s">
        <v>304</v>
      </c>
      <c r="AJ105" s="93">
        <v>5759780</v>
      </c>
      <c r="AK105" s="94" t="s">
        <v>305</v>
      </c>
    </row>
    <row r="106" spans="1:37" x14ac:dyDescent="0.35">
      <c r="A106" s="85" t="s">
        <v>1205</v>
      </c>
      <c r="B106" s="86" t="s">
        <v>281</v>
      </c>
      <c r="C106" s="86" t="s">
        <v>281</v>
      </c>
      <c r="D106" s="86" t="s">
        <v>1199</v>
      </c>
      <c r="E106" s="102">
        <v>342.1</v>
      </c>
      <c r="F106" s="102">
        <v>634.65</v>
      </c>
      <c r="G106" s="102">
        <v>555</v>
      </c>
      <c r="H106" s="91">
        <v>41510</v>
      </c>
      <c r="I106" s="104">
        <v>0.44444444444444442</v>
      </c>
      <c r="J106" s="91">
        <v>41510</v>
      </c>
      <c r="K106" s="104">
        <v>0.4548611111111111</v>
      </c>
      <c r="L106" s="91">
        <v>41510</v>
      </c>
      <c r="M106" s="104">
        <v>0.5625</v>
      </c>
      <c r="N106" s="84" t="s">
        <v>62</v>
      </c>
      <c r="O106" s="107">
        <v>1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0</v>
      </c>
      <c r="V106" s="84">
        <v>0</v>
      </c>
      <c r="W106" s="84">
        <v>0</v>
      </c>
      <c r="X106" s="75" t="s">
        <v>1206</v>
      </c>
      <c r="Y106" s="77">
        <v>1</v>
      </c>
      <c r="Z106" s="77">
        <v>0</v>
      </c>
      <c r="AA106" s="77">
        <v>0</v>
      </c>
      <c r="AB106" s="77">
        <v>0</v>
      </c>
      <c r="AC106" s="435" t="s">
        <v>1206</v>
      </c>
      <c r="AD106" s="77">
        <v>1</v>
      </c>
      <c r="AE106" s="84" t="s">
        <v>66</v>
      </c>
      <c r="AF106" s="84" t="s">
        <v>117</v>
      </c>
      <c r="AG106" s="84" t="s">
        <v>57</v>
      </c>
      <c r="AH106" s="96" t="s">
        <v>1207</v>
      </c>
      <c r="AI106" s="84" t="s">
        <v>304</v>
      </c>
      <c r="AJ106" s="93">
        <v>2340</v>
      </c>
      <c r="AK106" s="94" t="s">
        <v>305</v>
      </c>
    </row>
    <row r="107" spans="1:37" x14ac:dyDescent="0.35">
      <c r="A107" s="85" t="s">
        <v>1208</v>
      </c>
      <c r="B107" s="86" t="s">
        <v>344</v>
      </c>
      <c r="C107" s="86" t="s">
        <v>1030</v>
      </c>
      <c r="D107" s="86" t="s">
        <v>1209</v>
      </c>
      <c r="E107" s="84">
        <v>556.20000000000005</v>
      </c>
      <c r="F107" s="84">
        <v>3998.2</v>
      </c>
      <c r="G107" s="84">
        <v>1167</v>
      </c>
      <c r="H107" s="91">
        <v>41510</v>
      </c>
      <c r="I107" s="104">
        <v>0.55208333333333337</v>
      </c>
      <c r="J107" s="91">
        <v>41510</v>
      </c>
      <c r="K107" s="104">
        <v>0.55902777777777779</v>
      </c>
      <c r="L107" s="91">
        <v>41510</v>
      </c>
      <c r="M107" s="104">
        <v>0.64236111111111105</v>
      </c>
      <c r="N107" s="84" t="s">
        <v>41</v>
      </c>
      <c r="O107" s="107">
        <v>0</v>
      </c>
      <c r="P107" s="84">
        <v>0</v>
      </c>
      <c r="Q107" s="84">
        <v>0</v>
      </c>
      <c r="R107" s="84">
        <v>0</v>
      </c>
      <c r="S107" s="84">
        <v>0</v>
      </c>
      <c r="T107" s="84">
        <v>0</v>
      </c>
      <c r="U107" s="84">
        <v>0</v>
      </c>
      <c r="V107" s="84">
        <v>0.02</v>
      </c>
      <c r="W107" s="84">
        <v>0</v>
      </c>
      <c r="X107" s="100">
        <v>0</v>
      </c>
      <c r="Y107" s="77">
        <v>0</v>
      </c>
      <c r="Z107" s="77">
        <v>0</v>
      </c>
      <c r="AA107" s="77">
        <v>0.02</v>
      </c>
      <c r="AB107" s="77">
        <v>0</v>
      </c>
      <c r="AC107" s="438">
        <v>0</v>
      </c>
      <c r="AD107" s="77">
        <v>0.02</v>
      </c>
      <c r="AE107" s="84" t="s">
        <v>117</v>
      </c>
      <c r="AF107" s="84" t="s">
        <v>117</v>
      </c>
      <c r="AG107" s="84" t="s">
        <v>57</v>
      </c>
      <c r="AH107" s="84" t="s">
        <v>937</v>
      </c>
      <c r="AI107" s="84" t="s">
        <v>304</v>
      </c>
      <c r="AJ107" s="101">
        <v>1000</v>
      </c>
      <c r="AK107" s="94" t="s">
        <v>305</v>
      </c>
    </row>
    <row r="108" spans="1:37" x14ac:dyDescent="0.35">
      <c r="A108" s="85" t="s">
        <v>1210</v>
      </c>
      <c r="B108" s="86" t="s">
        <v>281</v>
      </c>
      <c r="C108" s="86" t="s">
        <v>281</v>
      </c>
      <c r="D108" s="86" t="s">
        <v>1211</v>
      </c>
      <c r="E108" s="84">
        <v>331.55</v>
      </c>
      <c r="F108" s="84">
        <v>630.65</v>
      </c>
      <c r="G108" s="84">
        <v>600</v>
      </c>
      <c r="H108" s="91">
        <v>41510</v>
      </c>
      <c r="I108" s="104">
        <v>0.54166666666666663</v>
      </c>
      <c r="J108" s="91">
        <v>41510</v>
      </c>
      <c r="K108" s="104">
        <v>0.55208333333333337</v>
      </c>
      <c r="L108" s="91">
        <v>41510</v>
      </c>
      <c r="M108" s="104">
        <v>0.74305555555555547</v>
      </c>
      <c r="N108" s="84" t="s">
        <v>62</v>
      </c>
      <c r="O108" s="107">
        <v>1</v>
      </c>
      <c r="P108" s="84">
        <v>0</v>
      </c>
      <c r="Q108" s="84">
        <v>1</v>
      </c>
      <c r="R108" s="84">
        <v>0</v>
      </c>
      <c r="S108" s="84">
        <v>0</v>
      </c>
      <c r="T108" s="84">
        <v>0</v>
      </c>
      <c r="U108" s="84">
        <v>0</v>
      </c>
      <c r="V108" s="84">
        <v>0</v>
      </c>
      <c r="W108" s="84">
        <v>0</v>
      </c>
      <c r="X108" s="75" t="s">
        <v>1212</v>
      </c>
      <c r="Y108" s="77">
        <v>1</v>
      </c>
      <c r="Z108" s="77">
        <v>0</v>
      </c>
      <c r="AA108" s="77">
        <v>1</v>
      </c>
      <c r="AB108" s="77">
        <v>0</v>
      </c>
      <c r="AC108" s="435" t="s">
        <v>1212</v>
      </c>
      <c r="AD108" s="77">
        <v>2</v>
      </c>
      <c r="AE108" s="84" t="s">
        <v>66</v>
      </c>
      <c r="AF108" s="84" t="s">
        <v>117</v>
      </c>
      <c r="AG108" s="84" t="s">
        <v>57</v>
      </c>
      <c r="AH108" s="96" t="s">
        <v>1213</v>
      </c>
      <c r="AI108" s="84" t="s">
        <v>304</v>
      </c>
      <c r="AJ108" s="93">
        <v>241360</v>
      </c>
      <c r="AK108" s="94" t="s">
        <v>305</v>
      </c>
    </row>
    <row r="109" spans="1:37" x14ac:dyDescent="0.35">
      <c r="A109" s="85" t="s">
        <v>1214</v>
      </c>
      <c r="B109" s="90" t="s">
        <v>626</v>
      </c>
      <c r="C109" s="90" t="s">
        <v>626</v>
      </c>
      <c r="D109" s="86" t="s">
        <v>1215</v>
      </c>
      <c r="E109" s="84">
        <v>582.20000000000005</v>
      </c>
      <c r="F109" s="84">
        <v>3996.5</v>
      </c>
      <c r="G109" s="84">
        <v>941</v>
      </c>
      <c r="H109" s="91">
        <v>41510</v>
      </c>
      <c r="I109" s="104">
        <v>0.52083333333333337</v>
      </c>
      <c r="J109" s="91">
        <v>41510</v>
      </c>
      <c r="K109" s="104">
        <v>0.53125</v>
      </c>
      <c r="L109" s="91">
        <v>41510</v>
      </c>
      <c r="M109" s="104">
        <v>0.77083333333333337</v>
      </c>
      <c r="N109" s="84" t="s">
        <v>62</v>
      </c>
      <c r="O109" s="107">
        <v>0.5</v>
      </c>
      <c r="P109" s="84">
        <v>0</v>
      </c>
      <c r="Q109" s="84">
        <v>0.5</v>
      </c>
      <c r="R109" s="84">
        <v>0</v>
      </c>
      <c r="S109" s="84">
        <v>0</v>
      </c>
      <c r="T109" s="84">
        <v>0</v>
      </c>
      <c r="U109" s="84">
        <v>0</v>
      </c>
      <c r="V109" s="84">
        <v>0</v>
      </c>
      <c r="W109" s="84">
        <v>0</v>
      </c>
      <c r="X109" s="83">
        <v>0</v>
      </c>
      <c r="Y109" s="77">
        <v>0.5</v>
      </c>
      <c r="Z109" s="77">
        <v>0</v>
      </c>
      <c r="AA109" s="77">
        <v>0.5</v>
      </c>
      <c r="AB109" s="77">
        <v>0</v>
      </c>
      <c r="AC109" s="436">
        <v>0</v>
      </c>
      <c r="AD109" s="77">
        <v>1</v>
      </c>
      <c r="AE109" s="84" t="s">
        <v>117</v>
      </c>
      <c r="AF109" s="84" t="s">
        <v>117</v>
      </c>
      <c r="AG109" s="84" t="s">
        <v>72</v>
      </c>
      <c r="AH109" s="84" t="s">
        <v>924</v>
      </c>
      <c r="AI109" s="84" t="s">
        <v>304</v>
      </c>
      <c r="AJ109" s="99">
        <v>5000</v>
      </c>
      <c r="AK109" s="94" t="s">
        <v>305</v>
      </c>
    </row>
    <row r="110" spans="1:37" x14ac:dyDescent="0.35">
      <c r="A110" s="85" t="s">
        <v>1216</v>
      </c>
      <c r="B110" s="90" t="s">
        <v>626</v>
      </c>
      <c r="C110" s="87" t="s">
        <v>974</v>
      </c>
      <c r="D110" s="86" t="s">
        <v>1217</v>
      </c>
      <c r="E110" s="84">
        <v>592.70000000000005</v>
      </c>
      <c r="F110" s="84">
        <v>3997.4</v>
      </c>
      <c r="G110" s="84">
        <v>945</v>
      </c>
      <c r="H110" s="91">
        <v>41510</v>
      </c>
      <c r="I110" s="104">
        <v>0.64583333333333337</v>
      </c>
      <c r="J110" s="91">
        <v>41510</v>
      </c>
      <c r="K110" s="104">
        <v>0.65625</v>
      </c>
      <c r="L110" s="91">
        <v>41510</v>
      </c>
      <c r="M110" s="104">
        <v>0.77083333333333337</v>
      </c>
      <c r="N110" s="84" t="s">
        <v>62</v>
      </c>
      <c r="O110" s="107">
        <v>0</v>
      </c>
      <c r="P110" s="84">
        <v>0</v>
      </c>
      <c r="Q110" s="84">
        <v>0</v>
      </c>
      <c r="R110" s="84">
        <v>0</v>
      </c>
      <c r="S110" s="84">
        <v>0</v>
      </c>
      <c r="T110" s="84">
        <v>1.5</v>
      </c>
      <c r="U110" s="84">
        <v>0</v>
      </c>
      <c r="V110" s="84">
        <v>0</v>
      </c>
      <c r="W110" s="84">
        <v>0</v>
      </c>
      <c r="X110" s="95" t="s">
        <v>1218</v>
      </c>
      <c r="Y110" s="77">
        <v>1.5</v>
      </c>
      <c r="Z110" s="77">
        <v>0</v>
      </c>
      <c r="AA110" s="77">
        <v>0</v>
      </c>
      <c r="AB110" s="77">
        <v>0</v>
      </c>
      <c r="AC110" s="437" t="s">
        <v>1218</v>
      </c>
      <c r="AD110" s="77">
        <v>1.5</v>
      </c>
      <c r="AE110" s="84" t="s">
        <v>117</v>
      </c>
      <c r="AF110" s="84" t="s">
        <v>117</v>
      </c>
      <c r="AG110" s="84" t="s">
        <v>628</v>
      </c>
      <c r="AH110" s="84" t="s">
        <v>1138</v>
      </c>
      <c r="AI110" s="84" t="s">
        <v>938</v>
      </c>
      <c r="AJ110" s="93">
        <v>3750</v>
      </c>
      <c r="AK110" s="94" t="s">
        <v>305</v>
      </c>
    </row>
    <row r="111" spans="1:37" x14ac:dyDescent="0.35">
      <c r="A111" s="85" t="s">
        <v>1219</v>
      </c>
      <c r="B111" s="86" t="s">
        <v>301</v>
      </c>
      <c r="C111" s="86" t="s">
        <v>301</v>
      </c>
      <c r="D111" s="86" t="s">
        <v>943</v>
      </c>
      <c r="E111" s="84">
        <v>605</v>
      </c>
      <c r="F111" s="84">
        <v>345.7</v>
      </c>
      <c r="G111" s="84">
        <v>395</v>
      </c>
      <c r="H111" s="91">
        <v>41510</v>
      </c>
      <c r="I111" s="104">
        <v>0.64930555555555558</v>
      </c>
      <c r="J111" s="91">
        <v>41510</v>
      </c>
      <c r="K111" s="104">
        <v>0.65625</v>
      </c>
      <c r="L111" s="91">
        <v>41510</v>
      </c>
      <c r="M111" s="104">
        <v>0.83333333333333337</v>
      </c>
      <c r="N111" s="91" t="s">
        <v>1187</v>
      </c>
      <c r="O111" s="107">
        <v>2</v>
      </c>
      <c r="P111" s="84">
        <v>0</v>
      </c>
      <c r="Q111" s="84">
        <v>0</v>
      </c>
      <c r="R111" s="84">
        <v>0</v>
      </c>
      <c r="S111" s="84">
        <v>0</v>
      </c>
      <c r="T111" s="84">
        <v>0</v>
      </c>
      <c r="U111" s="84">
        <v>0</v>
      </c>
      <c r="V111" s="84">
        <v>0</v>
      </c>
      <c r="W111" s="84">
        <v>0</v>
      </c>
      <c r="X111" s="75" t="s">
        <v>1220</v>
      </c>
      <c r="Y111" s="77">
        <v>2</v>
      </c>
      <c r="Z111" s="77">
        <v>0</v>
      </c>
      <c r="AA111" s="77">
        <v>0</v>
      </c>
      <c r="AB111" s="77">
        <v>0</v>
      </c>
      <c r="AC111" s="435" t="s">
        <v>1220</v>
      </c>
      <c r="AD111" s="77">
        <v>2</v>
      </c>
      <c r="AE111" s="84" t="s">
        <v>117</v>
      </c>
      <c r="AF111" s="84" t="s">
        <v>117</v>
      </c>
      <c r="AG111" s="84" t="s">
        <v>72</v>
      </c>
      <c r="AH111" s="96" t="s">
        <v>1221</v>
      </c>
      <c r="AI111" s="84" t="s">
        <v>304</v>
      </c>
      <c r="AJ111" s="93">
        <v>870000</v>
      </c>
      <c r="AK111" s="94" t="s">
        <v>305</v>
      </c>
    </row>
    <row r="112" spans="1:37" x14ac:dyDescent="0.35">
      <c r="A112" s="85" t="s">
        <v>1222</v>
      </c>
      <c r="B112" s="86" t="s">
        <v>344</v>
      </c>
      <c r="C112" s="86" t="s">
        <v>1030</v>
      </c>
      <c r="D112" s="86" t="s">
        <v>1223</v>
      </c>
      <c r="E112" s="84">
        <v>555.9</v>
      </c>
      <c r="F112" s="84">
        <v>4001.1</v>
      </c>
      <c r="G112" s="84">
        <v>1230</v>
      </c>
      <c r="H112" s="91">
        <v>41510</v>
      </c>
      <c r="I112" s="104">
        <v>0.69791666666666663</v>
      </c>
      <c r="J112" s="91">
        <v>41510</v>
      </c>
      <c r="K112" s="104">
        <v>0.70486111111111116</v>
      </c>
      <c r="L112" s="91">
        <v>41510</v>
      </c>
      <c r="M112" s="104">
        <v>0.79166666666666663</v>
      </c>
      <c r="N112" s="84" t="s">
        <v>41</v>
      </c>
      <c r="O112" s="107">
        <v>0.5</v>
      </c>
      <c r="P112" s="84">
        <v>0</v>
      </c>
      <c r="Q112" s="84">
        <v>1</v>
      </c>
      <c r="R112" s="84">
        <v>0</v>
      </c>
      <c r="S112" s="84">
        <v>0</v>
      </c>
      <c r="T112" s="84">
        <v>0</v>
      </c>
      <c r="U112" s="84">
        <v>0</v>
      </c>
      <c r="V112" s="84">
        <v>0</v>
      </c>
      <c r="W112" s="84">
        <v>0</v>
      </c>
      <c r="X112" s="100">
        <v>0</v>
      </c>
      <c r="Y112" s="77">
        <v>0.5</v>
      </c>
      <c r="Z112" s="77">
        <v>0</v>
      </c>
      <c r="AA112" s="77">
        <v>1</v>
      </c>
      <c r="AB112" s="77">
        <v>0</v>
      </c>
      <c r="AC112" s="438">
        <v>0</v>
      </c>
      <c r="AD112" s="77">
        <v>1.5</v>
      </c>
      <c r="AE112" s="84" t="s">
        <v>117</v>
      </c>
      <c r="AF112" s="84" t="s">
        <v>117</v>
      </c>
      <c r="AG112" s="84" t="s">
        <v>72</v>
      </c>
      <c r="AH112" s="84" t="s">
        <v>924</v>
      </c>
      <c r="AI112" s="84" t="s">
        <v>304</v>
      </c>
      <c r="AJ112" s="97">
        <v>3750</v>
      </c>
      <c r="AK112" s="94" t="s">
        <v>305</v>
      </c>
    </row>
    <row r="113" spans="1:37" x14ac:dyDescent="0.35">
      <c r="A113" s="85" t="s">
        <v>1224</v>
      </c>
      <c r="B113" s="86" t="s">
        <v>281</v>
      </c>
      <c r="C113" s="86" t="s">
        <v>282</v>
      </c>
      <c r="D113" s="86" t="s">
        <v>1225</v>
      </c>
      <c r="E113" s="84">
        <v>609.45000000000005</v>
      </c>
      <c r="F113" s="84">
        <v>4029.95</v>
      </c>
      <c r="G113" s="84">
        <v>973</v>
      </c>
      <c r="H113" s="91">
        <v>41511</v>
      </c>
      <c r="I113" s="92">
        <v>0.59722222222222221</v>
      </c>
      <c r="J113" s="91">
        <v>41511</v>
      </c>
      <c r="K113" s="92">
        <v>0.60416666666666663</v>
      </c>
      <c r="L113" s="91">
        <v>41511</v>
      </c>
      <c r="M113" s="92">
        <v>0.63194444444444442</v>
      </c>
      <c r="N113" s="84" t="s">
        <v>81</v>
      </c>
      <c r="O113" s="84">
        <v>0</v>
      </c>
      <c r="P113" s="84">
        <v>0</v>
      </c>
      <c r="Q113" s="84">
        <v>0</v>
      </c>
      <c r="R113" s="84">
        <v>0</v>
      </c>
      <c r="S113" s="84">
        <v>0</v>
      </c>
      <c r="T113" s="84">
        <v>0</v>
      </c>
      <c r="U113" s="84">
        <v>0.5</v>
      </c>
      <c r="V113" s="84">
        <v>0</v>
      </c>
      <c r="W113" s="84">
        <v>0</v>
      </c>
      <c r="X113" s="75" t="s">
        <v>1192</v>
      </c>
      <c r="Y113" s="77">
        <v>0</v>
      </c>
      <c r="Z113" s="77">
        <v>0.5</v>
      </c>
      <c r="AA113" s="77">
        <v>0</v>
      </c>
      <c r="AB113" s="77">
        <v>0</v>
      </c>
      <c r="AC113" s="435" t="s">
        <v>1192</v>
      </c>
      <c r="AD113" s="77">
        <v>0.5</v>
      </c>
      <c r="AE113" s="84" t="s">
        <v>368</v>
      </c>
      <c r="AF113" s="84" t="s">
        <v>117</v>
      </c>
      <c r="AG113" s="84" t="s">
        <v>57</v>
      </c>
      <c r="AH113" s="96" t="s">
        <v>1098</v>
      </c>
      <c r="AI113" s="84" t="s">
        <v>473</v>
      </c>
      <c r="AJ113" s="93">
        <v>1300</v>
      </c>
      <c r="AK113" s="94" t="s">
        <v>305</v>
      </c>
    </row>
    <row r="114" spans="1:37" x14ac:dyDescent="0.35">
      <c r="A114" s="85" t="s">
        <v>1226</v>
      </c>
      <c r="B114" s="86" t="s">
        <v>344</v>
      </c>
      <c r="C114" s="86" t="s">
        <v>344</v>
      </c>
      <c r="D114" s="86" t="s">
        <v>1227</v>
      </c>
      <c r="E114" s="84">
        <v>564.9</v>
      </c>
      <c r="F114" s="84">
        <v>4005</v>
      </c>
      <c r="G114" s="84">
        <v>915</v>
      </c>
      <c r="H114" s="91">
        <v>41512</v>
      </c>
      <c r="I114" s="92">
        <v>0.44791666666666669</v>
      </c>
      <c r="J114" s="91">
        <v>41512</v>
      </c>
      <c r="K114" s="92" t="s">
        <v>1228</v>
      </c>
      <c r="L114" s="91">
        <v>41512</v>
      </c>
      <c r="M114" s="92">
        <v>0.50694444444444442</v>
      </c>
      <c r="N114" s="84" t="s">
        <v>70</v>
      </c>
      <c r="O114" s="107">
        <v>0</v>
      </c>
      <c r="P114" s="84">
        <v>0</v>
      </c>
      <c r="Q114" s="84">
        <v>0</v>
      </c>
      <c r="R114" s="84">
        <v>0</v>
      </c>
      <c r="S114" s="84">
        <v>0</v>
      </c>
      <c r="T114" s="84">
        <v>0</v>
      </c>
      <c r="U114" s="84">
        <v>2</v>
      </c>
      <c r="V114" s="84">
        <v>0</v>
      </c>
      <c r="W114" s="84">
        <v>0</v>
      </c>
      <c r="X114" s="100">
        <v>0</v>
      </c>
      <c r="Y114" s="77">
        <v>0</v>
      </c>
      <c r="Z114" s="77">
        <v>2</v>
      </c>
      <c r="AA114" s="77">
        <v>0</v>
      </c>
      <c r="AB114" s="77">
        <v>0</v>
      </c>
      <c r="AC114" s="438">
        <v>0</v>
      </c>
      <c r="AD114" s="77">
        <v>2</v>
      </c>
      <c r="AE114" s="84" t="s">
        <v>117</v>
      </c>
      <c r="AF114" s="84" t="s">
        <v>117</v>
      </c>
      <c r="AG114" s="84" t="s">
        <v>72</v>
      </c>
      <c r="AH114" s="84" t="s">
        <v>937</v>
      </c>
      <c r="AI114" s="84" t="s">
        <v>304</v>
      </c>
      <c r="AJ114" s="101">
        <v>5000</v>
      </c>
      <c r="AK114" s="94" t="s">
        <v>305</v>
      </c>
    </row>
    <row r="115" spans="1:37" x14ac:dyDescent="0.35">
      <c r="A115" s="85" t="s">
        <v>1229</v>
      </c>
      <c r="B115" s="86" t="s">
        <v>281</v>
      </c>
      <c r="C115" s="86" t="s">
        <v>281</v>
      </c>
      <c r="D115" s="86" t="s">
        <v>1230</v>
      </c>
      <c r="E115" s="84">
        <v>341</v>
      </c>
      <c r="F115" s="84">
        <v>634.54999999999995</v>
      </c>
      <c r="G115" s="84">
        <v>480</v>
      </c>
      <c r="H115" s="91">
        <v>41512</v>
      </c>
      <c r="I115" s="92">
        <v>0.54166666666666663</v>
      </c>
      <c r="J115" s="91">
        <v>41512</v>
      </c>
      <c r="K115" s="92">
        <v>0.55208333333333337</v>
      </c>
      <c r="L115" s="91">
        <v>41512</v>
      </c>
      <c r="M115" s="92">
        <v>0.75</v>
      </c>
      <c r="N115" s="84" t="s">
        <v>62</v>
      </c>
      <c r="O115" s="107">
        <v>1</v>
      </c>
      <c r="P115" s="84">
        <v>0</v>
      </c>
      <c r="Q115" s="84">
        <v>0</v>
      </c>
      <c r="R115" s="84">
        <v>0</v>
      </c>
      <c r="S115" s="84">
        <v>0</v>
      </c>
      <c r="T115" s="84">
        <v>0</v>
      </c>
      <c r="U115" s="84">
        <v>0</v>
      </c>
      <c r="V115" s="84">
        <v>0</v>
      </c>
      <c r="W115" s="84">
        <v>0</v>
      </c>
      <c r="X115" s="75" t="s">
        <v>1113</v>
      </c>
      <c r="Y115" s="77">
        <v>1</v>
      </c>
      <c r="Z115" s="77">
        <v>0</v>
      </c>
      <c r="AA115" s="77">
        <v>0</v>
      </c>
      <c r="AB115" s="77">
        <v>0</v>
      </c>
      <c r="AC115" s="435" t="s">
        <v>1113</v>
      </c>
      <c r="AD115" s="77">
        <v>1</v>
      </c>
      <c r="AE115" s="84" t="s">
        <v>368</v>
      </c>
      <c r="AF115" s="84" t="s">
        <v>117</v>
      </c>
      <c r="AG115" s="84" t="s">
        <v>628</v>
      </c>
      <c r="AH115" s="96" t="s">
        <v>1231</v>
      </c>
      <c r="AI115" s="84" t="s">
        <v>304</v>
      </c>
      <c r="AJ115" s="93">
        <v>7020</v>
      </c>
      <c r="AK115" s="94" t="s">
        <v>305</v>
      </c>
    </row>
    <row r="116" spans="1:37" x14ac:dyDescent="0.35">
      <c r="A116" s="85" t="s">
        <v>1232</v>
      </c>
      <c r="B116" s="86" t="s">
        <v>316</v>
      </c>
      <c r="C116" s="86" t="s">
        <v>1233</v>
      </c>
      <c r="D116" s="86" t="s">
        <v>1234</v>
      </c>
      <c r="E116" s="84">
        <v>568.6</v>
      </c>
      <c r="F116" s="84">
        <v>4033.5</v>
      </c>
      <c r="G116" s="84">
        <v>750</v>
      </c>
      <c r="H116" s="91">
        <v>41512</v>
      </c>
      <c r="I116" s="92">
        <v>0.79166666666666663</v>
      </c>
      <c r="J116" s="92" t="s">
        <v>175</v>
      </c>
      <c r="K116" s="92" t="s">
        <v>175</v>
      </c>
      <c r="L116" s="91">
        <v>41512</v>
      </c>
      <c r="M116" s="92">
        <v>0.95833333333333337</v>
      </c>
      <c r="N116" s="84" t="s">
        <v>62</v>
      </c>
      <c r="O116" s="107">
        <v>0</v>
      </c>
      <c r="P116" s="84">
        <v>0</v>
      </c>
      <c r="Q116" s="84">
        <v>0</v>
      </c>
      <c r="R116" s="84">
        <v>0</v>
      </c>
      <c r="S116" s="84">
        <v>0</v>
      </c>
      <c r="T116" s="84">
        <v>1</v>
      </c>
      <c r="U116" s="84">
        <v>0</v>
      </c>
      <c r="V116" s="84">
        <v>0.5</v>
      </c>
      <c r="W116" s="84">
        <v>0</v>
      </c>
      <c r="X116" s="83" t="s">
        <v>1235</v>
      </c>
      <c r="Y116" s="77">
        <v>1</v>
      </c>
      <c r="Z116" s="77">
        <v>0</v>
      </c>
      <c r="AA116" s="77">
        <v>0.5</v>
      </c>
      <c r="AB116" s="77">
        <v>0</v>
      </c>
      <c r="AC116" s="436" t="s">
        <v>1235</v>
      </c>
      <c r="AD116" s="77">
        <v>1.5</v>
      </c>
      <c r="AE116" s="84" t="s">
        <v>117</v>
      </c>
      <c r="AF116" s="84" t="s">
        <v>117</v>
      </c>
      <c r="AG116" s="84" t="s">
        <v>57</v>
      </c>
      <c r="AH116" s="84" t="s">
        <v>924</v>
      </c>
      <c r="AI116" s="98" t="s">
        <v>175</v>
      </c>
      <c r="AJ116" s="93">
        <v>22500</v>
      </c>
      <c r="AK116" s="94" t="s">
        <v>305</v>
      </c>
    </row>
    <row r="117" spans="1:37" x14ac:dyDescent="0.35">
      <c r="A117" s="85" t="s">
        <v>1236</v>
      </c>
      <c r="B117" s="86" t="s">
        <v>316</v>
      </c>
      <c r="C117" s="86" t="s">
        <v>316</v>
      </c>
      <c r="D117" s="86" t="s">
        <v>1237</v>
      </c>
      <c r="E117" s="84">
        <v>561.20000000000005</v>
      </c>
      <c r="F117" s="84">
        <v>4040.9</v>
      </c>
      <c r="G117" s="84">
        <v>590</v>
      </c>
      <c r="H117" s="91">
        <v>41514</v>
      </c>
      <c r="I117" s="92">
        <v>0.66666666666666663</v>
      </c>
      <c r="J117" s="91">
        <v>41514</v>
      </c>
      <c r="K117" s="92">
        <v>0.67361111111111116</v>
      </c>
      <c r="L117" s="91">
        <v>41514</v>
      </c>
      <c r="M117" s="92">
        <v>1.7326388888888888</v>
      </c>
      <c r="N117" s="84" t="s">
        <v>62</v>
      </c>
      <c r="O117" s="107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0.5</v>
      </c>
      <c r="U117" s="84">
        <v>0</v>
      </c>
      <c r="V117" s="84">
        <v>0</v>
      </c>
      <c r="W117" s="84">
        <v>0</v>
      </c>
      <c r="X117" s="75">
        <v>0</v>
      </c>
      <c r="Y117" s="77">
        <v>0.5</v>
      </c>
      <c r="Z117" s="77">
        <v>0</v>
      </c>
      <c r="AA117" s="77">
        <v>0</v>
      </c>
      <c r="AB117" s="77">
        <v>0</v>
      </c>
      <c r="AC117" s="435">
        <v>0</v>
      </c>
      <c r="AD117" s="77">
        <v>0.5</v>
      </c>
      <c r="AE117" s="84" t="s">
        <v>117</v>
      </c>
      <c r="AF117" s="84" t="s">
        <v>117</v>
      </c>
      <c r="AG117" s="84" t="s">
        <v>57</v>
      </c>
      <c r="AH117" s="84" t="s">
        <v>924</v>
      </c>
      <c r="AI117" s="84" t="s">
        <v>65</v>
      </c>
      <c r="AJ117" s="93">
        <v>10000</v>
      </c>
      <c r="AK117" s="94" t="s">
        <v>305</v>
      </c>
    </row>
    <row r="118" spans="1:37" x14ac:dyDescent="0.35">
      <c r="A118" s="108" t="s">
        <v>1238</v>
      </c>
      <c r="B118" s="86" t="s">
        <v>301</v>
      </c>
      <c r="C118" s="71" t="s">
        <v>481</v>
      </c>
      <c r="D118" s="71" t="s">
        <v>1116</v>
      </c>
      <c r="E118" s="76">
        <v>603</v>
      </c>
      <c r="F118" s="76">
        <v>344</v>
      </c>
      <c r="G118" s="76">
        <v>650</v>
      </c>
      <c r="H118" s="81">
        <v>41520</v>
      </c>
      <c r="I118" s="82">
        <v>0.57291666666666663</v>
      </c>
      <c r="J118" s="81">
        <v>41520</v>
      </c>
      <c r="K118" s="82">
        <v>0.57638888888888895</v>
      </c>
      <c r="L118" s="81">
        <v>41520</v>
      </c>
      <c r="M118" s="82">
        <v>0.59375</v>
      </c>
      <c r="N118" s="76" t="s">
        <v>41</v>
      </c>
      <c r="O118" s="76">
        <v>0</v>
      </c>
      <c r="P118" s="76">
        <v>0</v>
      </c>
      <c r="Q118" s="76">
        <v>0.02</v>
      </c>
      <c r="R118" s="76">
        <v>0</v>
      </c>
      <c r="S118" s="76">
        <v>0</v>
      </c>
      <c r="T118" s="76">
        <v>0</v>
      </c>
      <c r="U118" s="76">
        <v>0</v>
      </c>
      <c r="V118" s="76">
        <v>0</v>
      </c>
      <c r="W118" s="76">
        <v>0</v>
      </c>
      <c r="X118" s="95" t="s">
        <v>1239</v>
      </c>
      <c r="Y118" s="77">
        <v>0</v>
      </c>
      <c r="Z118" s="77">
        <v>0</v>
      </c>
      <c r="AA118" s="77">
        <v>0.02</v>
      </c>
      <c r="AB118" s="77">
        <v>0</v>
      </c>
      <c r="AC118" s="437" t="s">
        <v>1239</v>
      </c>
      <c r="AD118" s="77">
        <v>0.02</v>
      </c>
      <c r="AE118" s="76" t="s">
        <v>117</v>
      </c>
      <c r="AF118" s="76" t="s">
        <v>117</v>
      </c>
      <c r="AG118" s="77" t="s">
        <v>72</v>
      </c>
      <c r="AH118" s="80" t="s">
        <v>1240</v>
      </c>
      <c r="AI118" s="77" t="s">
        <v>304</v>
      </c>
      <c r="AJ118" s="93">
        <v>2884</v>
      </c>
      <c r="AK118" s="79" t="s">
        <v>305</v>
      </c>
    </row>
    <row r="119" spans="1:37" x14ac:dyDescent="0.35">
      <c r="A119" s="108" t="s">
        <v>1241</v>
      </c>
      <c r="B119" s="86" t="s">
        <v>301</v>
      </c>
      <c r="C119" s="71" t="s">
        <v>481</v>
      </c>
      <c r="D119" s="71" t="s">
        <v>1056</v>
      </c>
      <c r="E119" s="76">
        <v>344.8</v>
      </c>
      <c r="F119" s="76">
        <v>603</v>
      </c>
      <c r="G119" s="76">
        <v>645</v>
      </c>
      <c r="H119" s="81">
        <v>41521</v>
      </c>
      <c r="I119" s="82">
        <v>0.59375</v>
      </c>
      <c r="J119" s="81">
        <v>41521</v>
      </c>
      <c r="K119" s="82">
        <v>0.60069444444444442</v>
      </c>
      <c r="L119" s="81">
        <v>41521</v>
      </c>
      <c r="M119" s="82">
        <v>0.77083333333333337</v>
      </c>
      <c r="N119" s="76" t="s">
        <v>277</v>
      </c>
      <c r="O119" s="76">
        <v>1.5</v>
      </c>
      <c r="P119" s="76">
        <v>0</v>
      </c>
      <c r="Q119" s="76">
        <v>3.5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95" t="s">
        <v>1242</v>
      </c>
      <c r="Y119" s="77">
        <v>1.5</v>
      </c>
      <c r="Z119" s="77">
        <v>0</v>
      </c>
      <c r="AA119" s="77">
        <v>3.5</v>
      </c>
      <c r="AB119" s="77">
        <v>0</v>
      </c>
      <c r="AC119" s="437" t="s">
        <v>1242</v>
      </c>
      <c r="AD119" s="77">
        <v>5</v>
      </c>
      <c r="AE119" s="76" t="s">
        <v>117</v>
      </c>
      <c r="AF119" s="76" t="s">
        <v>117</v>
      </c>
      <c r="AG119" s="77" t="s">
        <v>72</v>
      </c>
      <c r="AH119" s="80" t="s">
        <v>1243</v>
      </c>
      <c r="AI119" s="77" t="s">
        <v>304</v>
      </c>
      <c r="AJ119" s="109">
        <v>706000</v>
      </c>
      <c r="AK119" s="79" t="s">
        <v>305</v>
      </c>
    </row>
    <row r="120" spans="1:37" x14ac:dyDescent="0.35">
      <c r="A120" s="108" t="s">
        <v>1244</v>
      </c>
      <c r="B120" s="86" t="s">
        <v>301</v>
      </c>
      <c r="C120" s="71" t="s">
        <v>481</v>
      </c>
      <c r="D120" s="71" t="s">
        <v>1116</v>
      </c>
      <c r="E120" s="76">
        <v>603</v>
      </c>
      <c r="F120" s="76">
        <v>344</v>
      </c>
      <c r="G120" s="76">
        <v>650</v>
      </c>
      <c r="H120" s="81">
        <v>41522</v>
      </c>
      <c r="I120" s="82">
        <v>0.61111111111111105</v>
      </c>
      <c r="J120" s="81">
        <v>41522</v>
      </c>
      <c r="K120" s="82">
        <v>0.59027777777777779</v>
      </c>
      <c r="L120" s="81">
        <v>41522</v>
      </c>
      <c r="M120" s="82">
        <v>0.60416666666666663</v>
      </c>
      <c r="N120" s="76" t="s">
        <v>41</v>
      </c>
      <c r="O120" s="76">
        <v>0</v>
      </c>
      <c r="P120" s="76">
        <v>0</v>
      </c>
      <c r="Q120" s="76">
        <v>0.03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95" t="s">
        <v>1245</v>
      </c>
      <c r="Y120" s="77">
        <v>0</v>
      </c>
      <c r="Z120" s="77">
        <v>0</v>
      </c>
      <c r="AA120" s="77">
        <v>0.03</v>
      </c>
      <c r="AB120" s="77">
        <v>0</v>
      </c>
      <c r="AC120" s="437" t="s">
        <v>1245</v>
      </c>
      <c r="AD120" s="77">
        <v>0.03</v>
      </c>
      <c r="AE120" s="76" t="s">
        <v>117</v>
      </c>
      <c r="AF120" s="76" t="s">
        <v>117</v>
      </c>
      <c r="AG120" s="77" t="s">
        <v>72</v>
      </c>
      <c r="AH120" s="80" t="s">
        <v>1246</v>
      </c>
      <c r="AI120" s="77" t="s">
        <v>304</v>
      </c>
      <c r="AJ120" s="109">
        <v>4200</v>
      </c>
      <c r="AK120" s="79" t="s">
        <v>305</v>
      </c>
    </row>
    <row r="121" spans="1:37" x14ac:dyDescent="0.35">
      <c r="A121" s="108" t="s">
        <v>1247</v>
      </c>
      <c r="B121" s="71" t="s">
        <v>281</v>
      </c>
      <c r="C121" s="71" t="s">
        <v>281</v>
      </c>
      <c r="D121" s="88" t="s">
        <v>1248</v>
      </c>
      <c r="E121" s="72">
        <v>341.4</v>
      </c>
      <c r="F121" s="72">
        <v>632.9</v>
      </c>
      <c r="G121" s="72">
        <v>422</v>
      </c>
      <c r="H121" s="73">
        <v>41524</v>
      </c>
      <c r="I121" s="110">
        <v>0.60416666666666663</v>
      </c>
      <c r="J121" s="73">
        <v>41524</v>
      </c>
      <c r="K121" s="110">
        <v>0.60763888888888895</v>
      </c>
      <c r="L121" s="73">
        <v>41524</v>
      </c>
      <c r="M121" s="110">
        <v>0.77083333333333337</v>
      </c>
      <c r="N121" s="72" t="s">
        <v>62</v>
      </c>
      <c r="O121" s="72">
        <v>1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  <c r="X121" s="95" t="s">
        <v>1249</v>
      </c>
      <c r="Y121" s="278">
        <v>1</v>
      </c>
      <c r="Z121" s="278">
        <v>0</v>
      </c>
      <c r="AA121" s="278">
        <v>0</v>
      </c>
      <c r="AB121" s="278">
        <v>0</v>
      </c>
      <c r="AC121" s="437" t="s">
        <v>1249</v>
      </c>
      <c r="AD121" s="278">
        <v>1</v>
      </c>
      <c r="AE121" s="84" t="s">
        <v>368</v>
      </c>
      <c r="AF121" s="76" t="s">
        <v>117</v>
      </c>
      <c r="AG121" s="72" t="s">
        <v>57</v>
      </c>
      <c r="AH121" s="80" t="s">
        <v>1250</v>
      </c>
      <c r="AI121" s="77" t="s">
        <v>304</v>
      </c>
      <c r="AJ121" s="111">
        <v>34180</v>
      </c>
      <c r="AK121" s="79" t="s">
        <v>305</v>
      </c>
    </row>
    <row r="122" spans="1:37" x14ac:dyDescent="0.35">
      <c r="A122" s="108" t="s">
        <v>1251</v>
      </c>
      <c r="B122" s="86" t="s">
        <v>301</v>
      </c>
      <c r="C122" s="71" t="s">
        <v>481</v>
      </c>
      <c r="D122" s="71" t="s">
        <v>1056</v>
      </c>
      <c r="E122" s="76">
        <v>602</v>
      </c>
      <c r="F122" s="76">
        <v>345</v>
      </c>
      <c r="G122" s="76">
        <v>685</v>
      </c>
      <c r="H122" s="81">
        <v>41537</v>
      </c>
      <c r="I122" s="82">
        <v>0.625</v>
      </c>
      <c r="J122" s="81">
        <v>41537</v>
      </c>
      <c r="K122" s="82">
        <v>0.63194444444444442</v>
      </c>
      <c r="L122" s="81">
        <v>41537</v>
      </c>
      <c r="M122" s="82">
        <v>0.70833333333333337</v>
      </c>
      <c r="N122" s="76" t="s">
        <v>62</v>
      </c>
      <c r="O122" s="76">
        <v>1</v>
      </c>
      <c r="P122" s="76">
        <v>1</v>
      </c>
      <c r="Q122" s="76">
        <v>0</v>
      </c>
      <c r="R122" s="76">
        <v>0</v>
      </c>
      <c r="S122" s="76">
        <v>0</v>
      </c>
      <c r="T122" s="76">
        <v>0</v>
      </c>
      <c r="U122" s="76">
        <v>0</v>
      </c>
      <c r="V122" s="76">
        <v>0</v>
      </c>
      <c r="W122" s="76">
        <v>0</v>
      </c>
      <c r="X122" s="84" t="s">
        <v>1252</v>
      </c>
      <c r="Y122" s="77">
        <v>1</v>
      </c>
      <c r="Z122" s="77">
        <v>1</v>
      </c>
      <c r="AA122" s="77">
        <v>0</v>
      </c>
      <c r="AB122" s="77">
        <v>0</v>
      </c>
      <c r="AC122" s="77" t="s">
        <v>1252</v>
      </c>
      <c r="AD122" s="77">
        <v>2</v>
      </c>
      <c r="AE122" s="76" t="s">
        <v>117</v>
      </c>
      <c r="AF122" s="76" t="s">
        <v>117</v>
      </c>
      <c r="AG122" s="77" t="s">
        <v>72</v>
      </c>
      <c r="AH122" s="80" t="s">
        <v>1253</v>
      </c>
      <c r="AI122" s="77" t="s">
        <v>304</v>
      </c>
      <c r="AJ122" s="109">
        <v>287600</v>
      </c>
      <c r="AK122" s="79" t="s">
        <v>305</v>
      </c>
    </row>
    <row r="123" spans="1:37" x14ac:dyDescent="0.35">
      <c r="A123" s="108" t="s">
        <v>1254</v>
      </c>
      <c r="B123" s="88" t="s">
        <v>316</v>
      </c>
      <c r="C123" s="88" t="s">
        <v>510</v>
      </c>
      <c r="D123" s="112" t="s">
        <v>1255</v>
      </c>
      <c r="E123" s="72">
        <v>573.4</v>
      </c>
      <c r="F123" s="72">
        <v>4038.8</v>
      </c>
      <c r="G123" s="72">
        <v>450</v>
      </c>
      <c r="H123" s="73">
        <v>41542</v>
      </c>
      <c r="I123" s="110">
        <v>0.5625</v>
      </c>
      <c r="J123" s="73">
        <v>41542</v>
      </c>
      <c r="K123" s="110">
        <v>0.57291666666666663</v>
      </c>
      <c r="L123" s="73">
        <v>41542</v>
      </c>
      <c r="M123" s="110">
        <v>0.66666666666666663</v>
      </c>
      <c r="N123" s="72" t="s">
        <v>41</v>
      </c>
      <c r="O123" s="72">
        <v>0</v>
      </c>
      <c r="P123" s="72">
        <v>0</v>
      </c>
      <c r="Q123" s="72">
        <v>1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0</v>
      </c>
      <c r="X123" s="95" t="s">
        <v>1256</v>
      </c>
      <c r="Y123" s="278">
        <v>0</v>
      </c>
      <c r="Z123" s="278">
        <v>0</v>
      </c>
      <c r="AA123" s="278">
        <v>1</v>
      </c>
      <c r="AB123" s="278">
        <v>0</v>
      </c>
      <c r="AC123" s="437" t="s">
        <v>1256</v>
      </c>
      <c r="AD123" s="278">
        <v>1</v>
      </c>
      <c r="AE123" s="76" t="s">
        <v>117</v>
      </c>
      <c r="AF123" s="76" t="s">
        <v>117</v>
      </c>
      <c r="AG123" s="84" t="s">
        <v>72</v>
      </c>
      <c r="AH123" s="80" t="s">
        <v>1257</v>
      </c>
      <c r="AI123" s="77" t="s">
        <v>304</v>
      </c>
      <c r="AJ123" s="111">
        <v>5000</v>
      </c>
      <c r="AK123" s="79" t="s">
        <v>305</v>
      </c>
    </row>
    <row r="124" spans="1:37" x14ac:dyDescent="0.35">
      <c r="A124" s="113" t="s">
        <v>1258</v>
      </c>
      <c r="B124" s="88" t="s">
        <v>488</v>
      </c>
      <c r="C124" s="88" t="s">
        <v>1259</v>
      </c>
      <c r="D124" s="112" t="s">
        <v>1260</v>
      </c>
      <c r="E124" s="72">
        <v>554.6</v>
      </c>
      <c r="F124" s="72">
        <v>4032.4</v>
      </c>
      <c r="G124" s="72">
        <v>520</v>
      </c>
      <c r="H124" s="73">
        <v>41544</v>
      </c>
      <c r="I124" s="110">
        <v>0.5625</v>
      </c>
      <c r="J124" s="73">
        <v>41544</v>
      </c>
      <c r="K124" s="110">
        <v>0.56944444444444442</v>
      </c>
      <c r="L124" s="73">
        <v>41544</v>
      </c>
      <c r="M124" s="110">
        <v>0.64583333333333337</v>
      </c>
      <c r="N124" s="72" t="s">
        <v>40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1</v>
      </c>
      <c r="V124" s="72">
        <v>0.5</v>
      </c>
      <c r="W124" s="72">
        <v>0</v>
      </c>
      <c r="X124" s="102">
        <v>0</v>
      </c>
      <c r="Y124" s="278">
        <v>0</v>
      </c>
      <c r="Z124" s="278">
        <v>1</v>
      </c>
      <c r="AA124" s="278">
        <v>0.5</v>
      </c>
      <c r="AB124" s="278">
        <v>0</v>
      </c>
      <c r="AC124" s="278">
        <v>0</v>
      </c>
      <c r="AD124" s="278">
        <v>1.5</v>
      </c>
      <c r="AE124" s="76" t="s">
        <v>117</v>
      </c>
      <c r="AF124" s="76" t="s">
        <v>117</v>
      </c>
      <c r="AG124" s="77" t="s">
        <v>72</v>
      </c>
      <c r="AH124" s="80" t="s">
        <v>1261</v>
      </c>
      <c r="AI124" s="77" t="s">
        <v>304</v>
      </c>
      <c r="AJ124" s="111">
        <v>12500</v>
      </c>
      <c r="AK124" s="79" t="s">
        <v>305</v>
      </c>
    </row>
    <row r="125" spans="1:37" x14ac:dyDescent="0.35">
      <c r="A125" s="108" t="s">
        <v>1262</v>
      </c>
      <c r="B125" s="71" t="s">
        <v>320</v>
      </c>
      <c r="C125" s="88" t="s">
        <v>1263</v>
      </c>
      <c r="D125" s="88" t="s">
        <v>1264</v>
      </c>
      <c r="E125" s="72">
        <v>4000.2</v>
      </c>
      <c r="F125" s="72">
        <v>570.9</v>
      </c>
      <c r="G125" s="72">
        <v>990</v>
      </c>
      <c r="H125" s="73">
        <v>41545</v>
      </c>
      <c r="I125" s="110">
        <v>0.38541666666666669</v>
      </c>
      <c r="J125" s="73">
        <v>41545</v>
      </c>
      <c r="K125" s="110">
        <v>0.39027777777777778</v>
      </c>
      <c r="L125" s="73">
        <v>41545</v>
      </c>
      <c r="M125" s="110">
        <v>0.4375</v>
      </c>
      <c r="N125" s="72" t="s">
        <v>41</v>
      </c>
      <c r="O125" s="72">
        <v>0</v>
      </c>
      <c r="P125" s="72">
        <v>0</v>
      </c>
      <c r="Q125" s="72">
        <v>0.25</v>
      </c>
      <c r="R125" s="72">
        <v>0</v>
      </c>
      <c r="S125" s="72">
        <v>0</v>
      </c>
      <c r="T125" s="72">
        <v>0</v>
      </c>
      <c r="U125" s="72">
        <v>0</v>
      </c>
      <c r="V125" s="72">
        <v>0</v>
      </c>
      <c r="W125" s="72">
        <v>0</v>
      </c>
      <c r="X125" s="102" t="s">
        <v>1265</v>
      </c>
      <c r="Y125" s="278">
        <v>0</v>
      </c>
      <c r="Z125" s="278">
        <v>0</v>
      </c>
      <c r="AA125" s="278">
        <v>0.25</v>
      </c>
      <c r="AB125" s="278">
        <v>0</v>
      </c>
      <c r="AC125" s="278" t="s">
        <v>1265</v>
      </c>
      <c r="AD125" s="278">
        <v>0.25</v>
      </c>
      <c r="AE125" s="76" t="s">
        <v>117</v>
      </c>
      <c r="AF125" s="76" t="s">
        <v>117</v>
      </c>
      <c r="AG125" s="72" t="s">
        <v>57</v>
      </c>
      <c r="AH125" s="80" t="s">
        <v>1240</v>
      </c>
      <c r="AI125" s="77" t="s">
        <v>304</v>
      </c>
      <c r="AJ125" s="97">
        <v>1500</v>
      </c>
      <c r="AK125" s="79" t="s">
        <v>305</v>
      </c>
    </row>
    <row r="126" spans="1:37" x14ac:dyDescent="0.35">
      <c r="A126" s="108" t="s">
        <v>1266</v>
      </c>
      <c r="B126" s="86" t="s">
        <v>357</v>
      </c>
      <c r="C126" s="71" t="s">
        <v>1267</v>
      </c>
      <c r="D126" s="88" t="s">
        <v>1268</v>
      </c>
      <c r="E126" s="72">
        <v>540.20000000000005</v>
      </c>
      <c r="F126" s="72">
        <v>4035.4</v>
      </c>
      <c r="G126" s="72">
        <v>800</v>
      </c>
      <c r="H126" s="73">
        <v>41545</v>
      </c>
      <c r="I126" s="74">
        <v>0.60416666666666663</v>
      </c>
      <c r="J126" s="73">
        <v>41545</v>
      </c>
      <c r="K126" s="74">
        <v>0.61249999999999993</v>
      </c>
      <c r="L126" s="73">
        <v>41545</v>
      </c>
      <c r="M126" s="74">
        <v>0.6875</v>
      </c>
      <c r="N126" s="72" t="s">
        <v>62</v>
      </c>
      <c r="O126" s="72">
        <v>0</v>
      </c>
      <c r="P126" s="72">
        <v>0</v>
      </c>
      <c r="Q126" s="72">
        <v>0</v>
      </c>
      <c r="R126" s="72">
        <v>0</v>
      </c>
      <c r="S126" s="72">
        <v>0</v>
      </c>
      <c r="T126" s="72">
        <v>2</v>
      </c>
      <c r="U126" s="72">
        <v>0</v>
      </c>
      <c r="V126" s="72">
        <v>0</v>
      </c>
      <c r="W126" s="72">
        <v>0</v>
      </c>
      <c r="X126" s="102">
        <v>0</v>
      </c>
      <c r="Y126" s="278">
        <v>2</v>
      </c>
      <c r="Z126" s="278">
        <v>0</v>
      </c>
      <c r="AA126" s="278">
        <v>0</v>
      </c>
      <c r="AB126" s="278">
        <v>0</v>
      </c>
      <c r="AC126" s="278">
        <v>0</v>
      </c>
      <c r="AD126" s="278">
        <v>2</v>
      </c>
      <c r="AE126" s="76" t="s">
        <v>117</v>
      </c>
      <c r="AF126" s="76" t="s">
        <v>117</v>
      </c>
      <c r="AG126" s="77" t="s">
        <v>72</v>
      </c>
      <c r="AH126" s="80" t="s">
        <v>1261</v>
      </c>
      <c r="AI126" s="77" t="s">
        <v>304</v>
      </c>
      <c r="AJ126" s="109">
        <v>40000</v>
      </c>
      <c r="AK126" s="79" t="s">
        <v>305</v>
      </c>
    </row>
    <row r="127" spans="1:37" x14ac:dyDescent="0.35">
      <c r="A127" s="85" t="s">
        <v>1269</v>
      </c>
      <c r="B127" s="86" t="s">
        <v>357</v>
      </c>
      <c r="C127" s="71" t="s">
        <v>1270</v>
      </c>
      <c r="D127" s="71" t="s">
        <v>1271</v>
      </c>
      <c r="E127" s="76">
        <v>546.20000000000005</v>
      </c>
      <c r="F127" s="76">
        <v>4050.9</v>
      </c>
      <c r="G127" s="76">
        <v>600</v>
      </c>
      <c r="H127" s="114">
        <v>41550</v>
      </c>
      <c r="I127" s="82">
        <v>0.50694444444444442</v>
      </c>
      <c r="J127" s="114">
        <v>41550</v>
      </c>
      <c r="K127" s="82">
        <v>0.52083333333333337</v>
      </c>
      <c r="L127" s="114">
        <v>41550</v>
      </c>
      <c r="M127" s="82">
        <v>0.69444444444444453</v>
      </c>
      <c r="N127" s="76" t="s">
        <v>165</v>
      </c>
      <c r="O127" s="115">
        <v>1</v>
      </c>
      <c r="P127" s="115">
        <v>0</v>
      </c>
      <c r="Q127" s="115">
        <v>0</v>
      </c>
      <c r="R127" s="115">
        <v>0</v>
      </c>
      <c r="S127" s="115">
        <v>0</v>
      </c>
      <c r="T127" s="115">
        <v>0</v>
      </c>
      <c r="U127" s="115">
        <v>0</v>
      </c>
      <c r="V127" s="115">
        <v>0</v>
      </c>
      <c r="W127" s="115">
        <v>0</v>
      </c>
      <c r="X127" s="102" t="s">
        <v>1097</v>
      </c>
      <c r="Y127" s="440">
        <v>1</v>
      </c>
      <c r="Z127" s="440">
        <v>0</v>
      </c>
      <c r="AA127" s="440">
        <v>0</v>
      </c>
      <c r="AB127" s="440">
        <v>0</v>
      </c>
      <c r="AC127" s="278" t="s">
        <v>1097</v>
      </c>
      <c r="AD127" s="440">
        <v>1</v>
      </c>
      <c r="AE127" s="76" t="s">
        <v>117</v>
      </c>
      <c r="AF127" s="76" t="s">
        <v>117</v>
      </c>
      <c r="AG127" s="84" t="s">
        <v>57</v>
      </c>
      <c r="AH127" s="80" t="s">
        <v>1246</v>
      </c>
      <c r="AI127" s="76" t="s">
        <v>304</v>
      </c>
      <c r="AJ127" s="116">
        <v>20000</v>
      </c>
      <c r="AK127" s="79" t="s">
        <v>305</v>
      </c>
    </row>
    <row r="128" spans="1:37" x14ac:dyDescent="0.35">
      <c r="A128" s="85" t="s">
        <v>1272</v>
      </c>
      <c r="B128" s="71" t="s">
        <v>316</v>
      </c>
      <c r="C128" s="71" t="s">
        <v>510</v>
      </c>
      <c r="D128" s="71" t="s">
        <v>1273</v>
      </c>
      <c r="E128" s="76">
        <v>569.79999999999995</v>
      </c>
      <c r="F128" s="76">
        <v>4043.9</v>
      </c>
      <c r="G128" s="76">
        <v>650</v>
      </c>
      <c r="H128" s="114">
        <v>41550</v>
      </c>
      <c r="I128" s="117">
        <v>0.55555555555555558</v>
      </c>
      <c r="J128" s="114" t="s">
        <v>175</v>
      </c>
      <c r="K128" s="76" t="s">
        <v>175</v>
      </c>
      <c r="L128" s="114">
        <v>41550</v>
      </c>
      <c r="M128" s="117">
        <v>0.68402777777777779</v>
      </c>
      <c r="N128" s="76" t="s">
        <v>1274</v>
      </c>
      <c r="O128" s="115">
        <v>0</v>
      </c>
      <c r="P128" s="115">
        <v>2</v>
      </c>
      <c r="Q128" s="115">
        <v>0</v>
      </c>
      <c r="R128" s="115">
        <v>0</v>
      </c>
      <c r="S128" s="115">
        <v>0</v>
      </c>
      <c r="T128" s="115">
        <v>0</v>
      </c>
      <c r="U128" s="115">
        <v>0</v>
      </c>
      <c r="V128" s="115">
        <v>0</v>
      </c>
      <c r="W128" s="115">
        <v>0</v>
      </c>
      <c r="X128" s="102" t="s">
        <v>1097</v>
      </c>
      <c r="Y128" s="440">
        <v>0</v>
      </c>
      <c r="Z128" s="440">
        <v>2</v>
      </c>
      <c r="AA128" s="440">
        <v>0</v>
      </c>
      <c r="AB128" s="440">
        <v>0</v>
      </c>
      <c r="AC128" s="278" t="s">
        <v>1097</v>
      </c>
      <c r="AD128" s="440">
        <v>2</v>
      </c>
      <c r="AE128" s="76" t="s">
        <v>117</v>
      </c>
      <c r="AF128" s="76" t="s">
        <v>117</v>
      </c>
      <c r="AG128" s="84" t="s">
        <v>72</v>
      </c>
      <c r="AH128" s="80" t="s">
        <v>1275</v>
      </c>
      <c r="AI128" s="98" t="s">
        <v>175</v>
      </c>
      <c r="AJ128" s="118">
        <v>20000</v>
      </c>
      <c r="AK128" s="79" t="s">
        <v>305</v>
      </c>
    </row>
    <row r="129" spans="1:37" x14ac:dyDescent="0.35">
      <c r="A129" s="85" t="s">
        <v>1276</v>
      </c>
      <c r="B129" s="86" t="s">
        <v>357</v>
      </c>
      <c r="C129" s="71" t="s">
        <v>1277</v>
      </c>
      <c r="D129" s="71" t="s">
        <v>1278</v>
      </c>
      <c r="E129" s="76">
        <v>549.4</v>
      </c>
      <c r="F129" s="76">
        <v>4050.1</v>
      </c>
      <c r="G129" s="76">
        <v>600</v>
      </c>
      <c r="H129" s="114">
        <v>41550</v>
      </c>
      <c r="I129" s="117">
        <v>0.50694444444444442</v>
      </c>
      <c r="J129" s="114">
        <v>41550</v>
      </c>
      <c r="K129" s="117">
        <v>0.51736111111111105</v>
      </c>
      <c r="L129" s="114">
        <v>41550</v>
      </c>
      <c r="M129" s="117">
        <v>0.70138888888888884</v>
      </c>
      <c r="N129" s="119" t="s">
        <v>1279</v>
      </c>
      <c r="O129" s="115">
        <v>0</v>
      </c>
      <c r="P129" s="115">
        <v>0</v>
      </c>
      <c r="Q129" s="115">
        <v>0</v>
      </c>
      <c r="R129" s="115">
        <v>0</v>
      </c>
      <c r="S129" s="115">
        <v>0</v>
      </c>
      <c r="T129" s="115">
        <v>0</v>
      </c>
      <c r="U129" s="115">
        <v>0</v>
      </c>
      <c r="V129" s="115">
        <v>2</v>
      </c>
      <c r="W129" s="115">
        <v>0</v>
      </c>
      <c r="X129" s="102" t="s">
        <v>1280</v>
      </c>
      <c r="Y129" s="440">
        <v>0</v>
      </c>
      <c r="Z129" s="440">
        <v>0</v>
      </c>
      <c r="AA129" s="440">
        <v>2</v>
      </c>
      <c r="AB129" s="440">
        <v>0</v>
      </c>
      <c r="AC129" s="278" t="s">
        <v>1280</v>
      </c>
      <c r="AD129" s="440">
        <v>2</v>
      </c>
      <c r="AE129" s="76" t="s">
        <v>117</v>
      </c>
      <c r="AF129" s="76" t="s">
        <v>117</v>
      </c>
      <c r="AG129" s="84" t="s">
        <v>57</v>
      </c>
      <c r="AH129" s="80" t="s">
        <v>1281</v>
      </c>
      <c r="AI129" s="76" t="s">
        <v>304</v>
      </c>
      <c r="AJ129" s="118">
        <v>10000</v>
      </c>
      <c r="AK129" s="79" t="s">
        <v>305</v>
      </c>
    </row>
    <row r="130" spans="1:37" x14ac:dyDescent="0.35">
      <c r="A130" s="85" t="s">
        <v>1282</v>
      </c>
      <c r="B130" s="86" t="s">
        <v>357</v>
      </c>
      <c r="C130" s="71" t="s">
        <v>1283</v>
      </c>
      <c r="D130" s="71" t="s">
        <v>1284</v>
      </c>
      <c r="E130" s="76">
        <v>546.20000000000005</v>
      </c>
      <c r="F130" s="76">
        <v>4038.8</v>
      </c>
      <c r="G130" s="76">
        <v>900</v>
      </c>
      <c r="H130" s="114">
        <v>41551</v>
      </c>
      <c r="I130" s="117">
        <v>0.52083333333333337</v>
      </c>
      <c r="J130" s="114">
        <v>41551</v>
      </c>
      <c r="K130" s="117">
        <v>0.53125</v>
      </c>
      <c r="L130" s="114">
        <v>41551</v>
      </c>
      <c r="M130" s="117">
        <v>0.73611111111111116</v>
      </c>
      <c r="N130" s="76" t="s">
        <v>62</v>
      </c>
      <c r="O130" s="115">
        <v>0</v>
      </c>
      <c r="P130" s="115">
        <v>0</v>
      </c>
      <c r="Q130" s="115">
        <v>0</v>
      </c>
      <c r="R130" s="115">
        <v>0</v>
      </c>
      <c r="S130" s="115">
        <v>0</v>
      </c>
      <c r="T130" s="115">
        <v>3</v>
      </c>
      <c r="U130" s="115">
        <v>0</v>
      </c>
      <c r="V130" s="115">
        <v>0</v>
      </c>
      <c r="W130" s="115">
        <v>0</v>
      </c>
      <c r="X130" s="102" t="s">
        <v>1285</v>
      </c>
      <c r="Y130" s="440">
        <v>3</v>
      </c>
      <c r="Z130" s="440">
        <v>0</v>
      </c>
      <c r="AA130" s="440">
        <v>0</v>
      </c>
      <c r="AB130" s="440">
        <v>0</v>
      </c>
      <c r="AC130" s="278" t="s">
        <v>1285</v>
      </c>
      <c r="AD130" s="440">
        <v>3</v>
      </c>
      <c r="AE130" s="76" t="s">
        <v>117</v>
      </c>
      <c r="AF130" s="76" t="s">
        <v>117</v>
      </c>
      <c r="AG130" s="84" t="s">
        <v>57</v>
      </c>
      <c r="AH130" s="80" t="s">
        <v>1243</v>
      </c>
      <c r="AI130" s="76" t="s">
        <v>304</v>
      </c>
      <c r="AJ130" s="118">
        <v>60000</v>
      </c>
      <c r="AK130" s="79" t="s">
        <v>305</v>
      </c>
    </row>
    <row r="131" spans="1:37" x14ac:dyDescent="0.35">
      <c r="A131" s="85" t="s">
        <v>1286</v>
      </c>
      <c r="B131" s="71" t="s">
        <v>281</v>
      </c>
      <c r="C131" s="71" t="s">
        <v>491</v>
      </c>
      <c r="D131" s="71" t="s">
        <v>1287</v>
      </c>
      <c r="E131" s="84">
        <v>618.25</v>
      </c>
      <c r="F131" s="84">
        <v>4032.65</v>
      </c>
      <c r="G131" s="84">
        <v>1060</v>
      </c>
      <c r="H131" s="114">
        <v>41552</v>
      </c>
      <c r="I131" s="117">
        <v>0.5625</v>
      </c>
      <c r="J131" s="81">
        <v>41552</v>
      </c>
      <c r="K131" s="117">
        <v>0.57291666666666663</v>
      </c>
      <c r="L131" s="114">
        <v>41552</v>
      </c>
      <c r="M131" s="117">
        <v>0.75694444444444453</v>
      </c>
      <c r="N131" s="76" t="s">
        <v>1288</v>
      </c>
      <c r="O131" s="115">
        <v>0</v>
      </c>
      <c r="P131" s="115">
        <v>1</v>
      </c>
      <c r="Q131" s="115">
        <v>0</v>
      </c>
      <c r="R131" s="115">
        <v>0</v>
      </c>
      <c r="S131" s="115">
        <v>0</v>
      </c>
      <c r="T131" s="115">
        <v>0</v>
      </c>
      <c r="U131" s="115">
        <v>0</v>
      </c>
      <c r="V131" s="115">
        <v>0</v>
      </c>
      <c r="W131" s="115">
        <v>0</v>
      </c>
      <c r="X131" s="102" t="s">
        <v>1289</v>
      </c>
      <c r="Y131" s="440">
        <v>0</v>
      </c>
      <c r="Z131" s="440">
        <v>1</v>
      </c>
      <c r="AA131" s="440">
        <v>0</v>
      </c>
      <c r="AB131" s="440">
        <v>0</v>
      </c>
      <c r="AC131" s="278" t="s">
        <v>1289</v>
      </c>
      <c r="AD131" s="440">
        <v>1</v>
      </c>
      <c r="AE131" s="84" t="s">
        <v>368</v>
      </c>
      <c r="AF131" s="76" t="s">
        <v>117</v>
      </c>
      <c r="AG131" s="76" t="s">
        <v>57</v>
      </c>
      <c r="AH131" s="80" t="s">
        <v>1290</v>
      </c>
      <c r="AI131" s="76" t="s">
        <v>304</v>
      </c>
      <c r="AJ131" s="118">
        <v>6240</v>
      </c>
      <c r="AK131" s="79" t="s">
        <v>305</v>
      </c>
    </row>
    <row r="132" spans="1:37" x14ac:dyDescent="0.35">
      <c r="A132" s="85" t="s">
        <v>1291</v>
      </c>
      <c r="B132" s="71" t="s">
        <v>316</v>
      </c>
      <c r="C132" s="71" t="s">
        <v>316</v>
      </c>
      <c r="D132" s="71" t="s">
        <v>1292</v>
      </c>
      <c r="E132" s="76">
        <v>561.1</v>
      </c>
      <c r="F132" s="76">
        <v>4040.8</v>
      </c>
      <c r="G132" s="76">
        <v>580</v>
      </c>
      <c r="H132" s="114">
        <v>41563</v>
      </c>
      <c r="I132" s="117">
        <v>0.65277777777777779</v>
      </c>
      <c r="J132" s="81">
        <v>41563</v>
      </c>
      <c r="K132" s="117">
        <v>0.66666666666666663</v>
      </c>
      <c r="L132" s="114">
        <v>41563</v>
      </c>
      <c r="M132" s="117">
        <v>0.77083333333333337</v>
      </c>
      <c r="N132" s="76" t="s">
        <v>62</v>
      </c>
      <c r="O132" s="115">
        <v>0</v>
      </c>
      <c r="P132" s="115">
        <v>0</v>
      </c>
      <c r="Q132" s="115">
        <v>0</v>
      </c>
      <c r="R132" s="115">
        <v>0</v>
      </c>
      <c r="S132" s="115">
        <v>0</v>
      </c>
      <c r="T132" s="115">
        <v>1</v>
      </c>
      <c r="U132" s="115">
        <v>0</v>
      </c>
      <c r="V132" s="115">
        <v>0</v>
      </c>
      <c r="W132" s="115">
        <v>0</v>
      </c>
      <c r="X132" s="102" t="s">
        <v>1293</v>
      </c>
      <c r="Y132" s="440">
        <v>1</v>
      </c>
      <c r="Z132" s="440">
        <v>0</v>
      </c>
      <c r="AA132" s="440">
        <v>0</v>
      </c>
      <c r="AB132" s="440">
        <v>0</v>
      </c>
      <c r="AC132" s="278" t="s">
        <v>1293</v>
      </c>
      <c r="AD132" s="440">
        <v>1</v>
      </c>
      <c r="AE132" s="76" t="s">
        <v>117</v>
      </c>
      <c r="AF132" s="76" t="s">
        <v>117</v>
      </c>
      <c r="AG132" s="84" t="s">
        <v>72</v>
      </c>
      <c r="AH132" s="80" t="s">
        <v>1294</v>
      </c>
      <c r="AI132" s="76" t="s">
        <v>304</v>
      </c>
      <c r="AJ132" s="118">
        <v>20000</v>
      </c>
      <c r="AK132" s="79" t="s">
        <v>305</v>
      </c>
    </row>
    <row r="133" spans="1:37" x14ac:dyDescent="0.35">
      <c r="A133" s="85" t="s">
        <v>1295</v>
      </c>
      <c r="B133" s="71" t="s">
        <v>316</v>
      </c>
      <c r="C133" s="71" t="s">
        <v>316</v>
      </c>
      <c r="D133" s="71" t="s">
        <v>1296</v>
      </c>
      <c r="E133" s="76">
        <v>561.20000000000005</v>
      </c>
      <c r="F133" s="76">
        <v>4040.9</v>
      </c>
      <c r="G133" s="76">
        <v>600</v>
      </c>
      <c r="H133" s="120">
        <v>41566</v>
      </c>
      <c r="I133" s="104">
        <v>0.41666666666666669</v>
      </c>
      <c r="J133" s="91">
        <v>41566</v>
      </c>
      <c r="K133" s="117">
        <v>0.42708333333333331</v>
      </c>
      <c r="L133" s="114">
        <v>41566</v>
      </c>
      <c r="M133" s="117">
        <v>0.61458333333333337</v>
      </c>
      <c r="N133" s="76" t="s">
        <v>62</v>
      </c>
      <c r="O133" s="115">
        <v>0</v>
      </c>
      <c r="P133" s="115">
        <v>0</v>
      </c>
      <c r="Q133" s="115">
        <v>0</v>
      </c>
      <c r="R133" s="115">
        <v>0</v>
      </c>
      <c r="S133" s="115">
        <v>0</v>
      </c>
      <c r="T133" s="121">
        <v>1.5</v>
      </c>
      <c r="U133" s="115">
        <v>0</v>
      </c>
      <c r="V133" s="115">
        <v>0</v>
      </c>
      <c r="W133" s="115">
        <v>0</v>
      </c>
      <c r="X133" s="102" t="s">
        <v>1297</v>
      </c>
      <c r="Y133" s="441">
        <v>1.5</v>
      </c>
      <c r="Z133" s="440">
        <v>0</v>
      </c>
      <c r="AA133" s="440">
        <v>0</v>
      </c>
      <c r="AB133" s="440">
        <v>0</v>
      </c>
      <c r="AC133" s="278" t="s">
        <v>1297</v>
      </c>
      <c r="AD133" s="441">
        <v>1.5</v>
      </c>
      <c r="AE133" s="76" t="s">
        <v>117</v>
      </c>
      <c r="AF133" s="76" t="s">
        <v>117</v>
      </c>
      <c r="AG133" s="84" t="s">
        <v>72</v>
      </c>
      <c r="AH133" s="80" t="s">
        <v>1281</v>
      </c>
      <c r="AI133" s="76" t="s">
        <v>304</v>
      </c>
      <c r="AJ133" s="118">
        <v>60000</v>
      </c>
      <c r="AK133" s="79" t="s">
        <v>305</v>
      </c>
    </row>
    <row r="134" spans="1:37" x14ac:dyDescent="0.35">
      <c r="A134" s="85" t="s">
        <v>1298</v>
      </c>
      <c r="B134" s="86" t="s">
        <v>344</v>
      </c>
      <c r="C134" s="71" t="s">
        <v>394</v>
      </c>
      <c r="D134" s="71" t="s">
        <v>1299</v>
      </c>
      <c r="E134" s="76">
        <v>602.5</v>
      </c>
      <c r="F134" s="76">
        <v>315.5</v>
      </c>
      <c r="G134" s="76">
        <v>820</v>
      </c>
      <c r="H134" s="114">
        <v>41567</v>
      </c>
      <c r="I134" s="117">
        <v>0.65625</v>
      </c>
      <c r="J134" s="81">
        <v>41567</v>
      </c>
      <c r="K134" s="117">
        <v>0.66319444444444442</v>
      </c>
      <c r="L134" s="114">
        <v>41567</v>
      </c>
      <c r="M134" s="117">
        <v>0.71180555555555547</v>
      </c>
      <c r="N134" s="76" t="s">
        <v>62</v>
      </c>
      <c r="O134" s="122">
        <v>0.25</v>
      </c>
      <c r="P134" s="115">
        <v>0</v>
      </c>
      <c r="Q134" s="115">
        <v>0</v>
      </c>
      <c r="R134" s="115">
        <v>0</v>
      </c>
      <c r="S134" s="115">
        <v>0</v>
      </c>
      <c r="T134" s="115">
        <v>0</v>
      </c>
      <c r="U134" s="115">
        <v>0</v>
      </c>
      <c r="V134" s="115">
        <v>0</v>
      </c>
      <c r="W134" s="115">
        <v>0</v>
      </c>
      <c r="X134" s="102" t="s">
        <v>1300</v>
      </c>
      <c r="Y134" s="442">
        <v>0.25</v>
      </c>
      <c r="Z134" s="440">
        <v>0</v>
      </c>
      <c r="AA134" s="440">
        <v>0</v>
      </c>
      <c r="AB134" s="440">
        <v>0</v>
      </c>
      <c r="AC134" s="278" t="s">
        <v>1300</v>
      </c>
      <c r="AD134" s="442">
        <v>0.25</v>
      </c>
      <c r="AE134" s="76" t="s">
        <v>117</v>
      </c>
      <c r="AF134" s="76" t="s">
        <v>117</v>
      </c>
      <c r="AG134" s="76" t="s">
        <v>628</v>
      </c>
      <c r="AH134" s="80" t="s">
        <v>1281</v>
      </c>
      <c r="AI134" s="76" t="s">
        <v>65</v>
      </c>
      <c r="AJ134" s="118">
        <v>2500</v>
      </c>
      <c r="AK134" s="94" t="s">
        <v>305</v>
      </c>
    </row>
    <row r="135" spans="1:37" x14ac:dyDescent="0.35">
      <c r="A135" s="85" t="s">
        <v>1301</v>
      </c>
      <c r="B135" s="86" t="s">
        <v>344</v>
      </c>
      <c r="C135" s="86" t="s">
        <v>344</v>
      </c>
      <c r="D135" s="71" t="s">
        <v>1302</v>
      </c>
      <c r="E135" s="76">
        <v>565.70000000000005</v>
      </c>
      <c r="F135" s="76">
        <v>4000.2</v>
      </c>
      <c r="G135" s="76">
        <v>965</v>
      </c>
      <c r="H135" s="114">
        <v>41567</v>
      </c>
      <c r="I135" s="104">
        <v>0.67708333333333337</v>
      </c>
      <c r="J135" s="81">
        <v>41567</v>
      </c>
      <c r="K135" s="104">
        <v>0.68055555555555547</v>
      </c>
      <c r="L135" s="114">
        <v>41567</v>
      </c>
      <c r="M135" s="104">
        <v>0.76388888888888884</v>
      </c>
      <c r="N135" s="76" t="s">
        <v>62</v>
      </c>
      <c r="O135" s="122">
        <v>1.5</v>
      </c>
      <c r="P135" s="115">
        <v>0</v>
      </c>
      <c r="Q135" s="115">
        <v>0</v>
      </c>
      <c r="R135" s="115">
        <v>0</v>
      </c>
      <c r="S135" s="115">
        <v>0</v>
      </c>
      <c r="T135" s="115">
        <v>0</v>
      </c>
      <c r="U135" s="115">
        <v>0</v>
      </c>
      <c r="V135" s="115">
        <v>0</v>
      </c>
      <c r="W135" s="115">
        <v>0</v>
      </c>
      <c r="X135" s="102" t="s">
        <v>1303</v>
      </c>
      <c r="Y135" s="442">
        <v>1.5</v>
      </c>
      <c r="Z135" s="440">
        <v>0</v>
      </c>
      <c r="AA135" s="440">
        <v>0</v>
      </c>
      <c r="AB135" s="440">
        <v>0</v>
      </c>
      <c r="AC135" s="278" t="s">
        <v>1303</v>
      </c>
      <c r="AD135" s="442">
        <v>1.5</v>
      </c>
      <c r="AE135" s="76" t="s">
        <v>117</v>
      </c>
      <c r="AF135" s="76" t="s">
        <v>117</v>
      </c>
      <c r="AG135" s="84" t="s">
        <v>57</v>
      </c>
      <c r="AH135" s="80" t="s">
        <v>1281</v>
      </c>
      <c r="AI135" s="119" t="s">
        <v>304</v>
      </c>
      <c r="AJ135" s="118">
        <v>5000</v>
      </c>
      <c r="AK135" s="94" t="s">
        <v>305</v>
      </c>
    </row>
    <row r="136" spans="1:37" x14ac:dyDescent="0.35">
      <c r="A136" s="85" t="s">
        <v>1304</v>
      </c>
      <c r="B136" s="71" t="s">
        <v>405</v>
      </c>
      <c r="C136" s="71" t="s">
        <v>1305</v>
      </c>
      <c r="D136" s="71" t="s">
        <v>1306</v>
      </c>
      <c r="E136" s="76">
        <v>566.5</v>
      </c>
      <c r="F136" s="76">
        <v>4010.5</v>
      </c>
      <c r="G136" s="76">
        <v>972</v>
      </c>
      <c r="H136" s="114">
        <v>41568</v>
      </c>
      <c r="I136" s="104">
        <v>0.47916666666666669</v>
      </c>
      <c r="J136" s="114">
        <v>41568</v>
      </c>
      <c r="K136" s="104">
        <v>0.4861111111111111</v>
      </c>
      <c r="L136" s="114">
        <v>41568</v>
      </c>
      <c r="M136" s="104">
        <v>0.5625</v>
      </c>
      <c r="N136" s="76" t="s">
        <v>62</v>
      </c>
      <c r="O136" s="122">
        <v>1.5</v>
      </c>
      <c r="P136" s="122">
        <v>0</v>
      </c>
      <c r="Q136" s="122">
        <v>0</v>
      </c>
      <c r="R136" s="122">
        <v>0</v>
      </c>
      <c r="S136" s="122">
        <v>0</v>
      </c>
      <c r="T136" s="122">
        <v>0</v>
      </c>
      <c r="U136" s="122">
        <v>0</v>
      </c>
      <c r="V136" s="122">
        <v>0</v>
      </c>
      <c r="W136" s="122">
        <v>0</v>
      </c>
      <c r="X136" s="102" t="s">
        <v>1307</v>
      </c>
      <c r="Y136" s="442">
        <v>1.5</v>
      </c>
      <c r="Z136" s="442">
        <v>0</v>
      </c>
      <c r="AA136" s="442">
        <v>0</v>
      </c>
      <c r="AB136" s="442">
        <v>0</v>
      </c>
      <c r="AC136" s="278" t="s">
        <v>1307</v>
      </c>
      <c r="AD136" s="442">
        <v>1.5</v>
      </c>
      <c r="AE136" s="76" t="s">
        <v>117</v>
      </c>
      <c r="AF136" s="76" t="s">
        <v>117</v>
      </c>
      <c r="AG136" s="84" t="s">
        <v>72</v>
      </c>
      <c r="AH136" s="80" t="s">
        <v>1281</v>
      </c>
      <c r="AI136" s="76" t="s">
        <v>304</v>
      </c>
      <c r="AJ136" s="118">
        <v>30000</v>
      </c>
      <c r="AK136" s="123" t="s">
        <v>60</v>
      </c>
    </row>
    <row r="137" spans="1:37" x14ac:dyDescent="0.35">
      <c r="A137" s="85" t="s">
        <v>1308</v>
      </c>
      <c r="B137" s="71" t="s">
        <v>316</v>
      </c>
      <c r="C137" s="71" t="s">
        <v>1233</v>
      </c>
      <c r="D137" s="71" t="s">
        <v>1309</v>
      </c>
      <c r="E137" s="76">
        <v>572.20000000000005</v>
      </c>
      <c r="F137" s="76">
        <v>4033.4</v>
      </c>
      <c r="G137" s="76">
        <v>700</v>
      </c>
      <c r="H137" s="114">
        <v>41569</v>
      </c>
      <c r="I137" s="104">
        <v>0.5625</v>
      </c>
      <c r="J137" s="114">
        <v>41569</v>
      </c>
      <c r="K137" s="104">
        <v>0.57291666666666663</v>
      </c>
      <c r="L137" s="114">
        <v>41569</v>
      </c>
      <c r="M137" s="104">
        <v>0.63541666666666663</v>
      </c>
      <c r="N137" s="76" t="s">
        <v>62</v>
      </c>
      <c r="O137" s="115">
        <v>0</v>
      </c>
      <c r="P137" s="115">
        <v>0</v>
      </c>
      <c r="Q137" s="115">
        <v>0</v>
      </c>
      <c r="R137" s="115">
        <v>0</v>
      </c>
      <c r="S137" s="115">
        <v>0</v>
      </c>
      <c r="T137" s="115">
        <v>1</v>
      </c>
      <c r="U137" s="115">
        <v>0</v>
      </c>
      <c r="V137" s="115">
        <v>0</v>
      </c>
      <c r="W137" s="115">
        <v>0</v>
      </c>
      <c r="X137" s="102" t="s">
        <v>1310</v>
      </c>
      <c r="Y137" s="440">
        <v>1</v>
      </c>
      <c r="Z137" s="440">
        <v>0</v>
      </c>
      <c r="AA137" s="440">
        <v>0</v>
      </c>
      <c r="AB137" s="440">
        <v>0</v>
      </c>
      <c r="AC137" s="278" t="s">
        <v>1310</v>
      </c>
      <c r="AD137" s="440">
        <v>1</v>
      </c>
      <c r="AE137" s="76" t="s">
        <v>117</v>
      </c>
      <c r="AF137" s="76" t="s">
        <v>117</v>
      </c>
      <c r="AG137" s="84" t="s">
        <v>72</v>
      </c>
      <c r="AH137" s="80" t="s">
        <v>1246</v>
      </c>
      <c r="AI137" s="76" t="s">
        <v>304</v>
      </c>
      <c r="AJ137" s="118">
        <v>20000</v>
      </c>
      <c r="AK137" s="79" t="s">
        <v>305</v>
      </c>
    </row>
    <row r="138" spans="1:37" x14ac:dyDescent="0.35">
      <c r="A138" s="85" t="s">
        <v>1311</v>
      </c>
      <c r="B138" s="71" t="s">
        <v>301</v>
      </c>
      <c r="C138" s="71" t="s">
        <v>1312</v>
      </c>
      <c r="D138" s="71" t="s">
        <v>1313</v>
      </c>
      <c r="E138" s="84">
        <v>606.6</v>
      </c>
      <c r="F138" s="84">
        <v>343.5</v>
      </c>
      <c r="G138" s="84">
        <v>540</v>
      </c>
      <c r="H138" s="114">
        <v>41572</v>
      </c>
      <c r="I138" s="104">
        <v>0.59722222222222221</v>
      </c>
      <c r="J138" s="91">
        <v>41572</v>
      </c>
      <c r="K138" s="104">
        <v>0.60416666666666663</v>
      </c>
      <c r="L138" s="114">
        <v>41572</v>
      </c>
      <c r="M138" s="104">
        <v>0.61805555555555558</v>
      </c>
      <c r="N138" s="76" t="s">
        <v>40</v>
      </c>
      <c r="O138" s="115">
        <v>0</v>
      </c>
      <c r="P138" s="122">
        <v>0.04</v>
      </c>
      <c r="Q138" s="115">
        <v>0</v>
      </c>
      <c r="R138" s="115">
        <v>0</v>
      </c>
      <c r="S138" s="115">
        <v>0</v>
      </c>
      <c r="T138" s="115">
        <v>0</v>
      </c>
      <c r="U138" s="115">
        <v>0</v>
      </c>
      <c r="V138" s="115">
        <v>0</v>
      </c>
      <c r="W138" s="115">
        <v>0</v>
      </c>
      <c r="X138" s="124">
        <v>0</v>
      </c>
      <c r="Y138" s="440">
        <v>0</v>
      </c>
      <c r="Z138" s="442">
        <v>0.04</v>
      </c>
      <c r="AA138" s="440">
        <v>0</v>
      </c>
      <c r="AB138" s="440">
        <v>0</v>
      </c>
      <c r="AC138" s="440">
        <v>0</v>
      </c>
      <c r="AD138" s="442">
        <v>0.04</v>
      </c>
      <c r="AE138" s="76" t="s">
        <v>117</v>
      </c>
      <c r="AF138" s="76" t="s">
        <v>117</v>
      </c>
      <c r="AG138" s="76" t="s">
        <v>72</v>
      </c>
      <c r="AH138" s="80" t="s">
        <v>1240</v>
      </c>
      <c r="AI138" s="76" t="s">
        <v>304</v>
      </c>
      <c r="AJ138" s="125">
        <v>500</v>
      </c>
      <c r="AK138" s="123" t="s">
        <v>60</v>
      </c>
    </row>
    <row r="139" spans="1:37" x14ac:dyDescent="0.35">
      <c r="A139" s="85" t="s">
        <v>1314</v>
      </c>
      <c r="B139" s="71" t="s">
        <v>281</v>
      </c>
      <c r="C139" s="71" t="s">
        <v>282</v>
      </c>
      <c r="D139" s="71" t="s">
        <v>1315</v>
      </c>
      <c r="E139" s="76">
        <v>612.5</v>
      </c>
      <c r="F139" s="76">
        <v>4030.4</v>
      </c>
      <c r="G139" s="76">
        <v>800</v>
      </c>
      <c r="H139" s="114">
        <v>41572</v>
      </c>
      <c r="I139" s="104">
        <v>0.61805555555555558</v>
      </c>
      <c r="J139" s="91">
        <v>41572</v>
      </c>
      <c r="K139" s="104">
        <v>0.625</v>
      </c>
      <c r="L139" s="114">
        <v>41572</v>
      </c>
      <c r="M139" s="104">
        <v>0.80208333333333337</v>
      </c>
      <c r="N139" s="76" t="s">
        <v>1288</v>
      </c>
      <c r="O139" s="115">
        <v>0</v>
      </c>
      <c r="P139" s="115">
        <v>0</v>
      </c>
      <c r="Q139" s="115">
        <v>0</v>
      </c>
      <c r="R139" s="115">
        <v>0</v>
      </c>
      <c r="S139" s="115">
        <v>0</v>
      </c>
      <c r="T139" s="115">
        <v>0</v>
      </c>
      <c r="U139" s="115">
        <v>15</v>
      </c>
      <c r="V139" s="115">
        <v>0</v>
      </c>
      <c r="W139" s="115">
        <v>0</v>
      </c>
      <c r="X139" s="124">
        <v>0</v>
      </c>
      <c r="Y139" s="440">
        <v>0</v>
      </c>
      <c r="Z139" s="440">
        <v>15</v>
      </c>
      <c r="AA139" s="440">
        <v>0</v>
      </c>
      <c r="AB139" s="440">
        <v>0</v>
      </c>
      <c r="AC139" s="440">
        <v>0</v>
      </c>
      <c r="AD139" s="440">
        <v>15</v>
      </c>
      <c r="AE139" s="84" t="s">
        <v>368</v>
      </c>
      <c r="AF139" s="76" t="s">
        <v>117</v>
      </c>
      <c r="AG139" s="76" t="s">
        <v>57</v>
      </c>
      <c r="AH139" s="80" t="s">
        <v>1316</v>
      </c>
      <c r="AI139" s="76" t="s">
        <v>304</v>
      </c>
      <c r="AJ139" s="118">
        <v>3900</v>
      </c>
      <c r="AK139" s="79" t="s">
        <v>305</v>
      </c>
    </row>
    <row r="140" spans="1:37" ht="26.5" thickBot="1" x14ac:dyDescent="0.65">
      <c r="A140" s="651" t="s">
        <v>1317</v>
      </c>
      <c r="B140" s="652"/>
      <c r="C140" s="652"/>
      <c r="D140" s="652"/>
      <c r="E140" s="652"/>
      <c r="F140" s="652"/>
      <c r="G140" s="652"/>
      <c r="H140" s="652"/>
      <c r="I140" s="652"/>
      <c r="J140" s="652"/>
      <c r="K140" s="652"/>
      <c r="L140" s="652"/>
      <c r="M140" s="652"/>
      <c r="N140" s="653"/>
      <c r="O140" s="126">
        <f>SUM(O13:O139)</f>
        <v>155.18</v>
      </c>
      <c r="P140" s="126">
        <f t="shared" ref="P140:V140" si="0">SUM(P13:P139)</f>
        <v>50.149999999999991</v>
      </c>
      <c r="Q140" s="126">
        <f t="shared" si="0"/>
        <v>78.7</v>
      </c>
      <c r="R140" s="126">
        <f t="shared" si="0"/>
        <v>0</v>
      </c>
      <c r="S140" s="126">
        <f t="shared" si="0"/>
        <v>0</v>
      </c>
      <c r="T140" s="126">
        <f t="shared" si="0"/>
        <v>71</v>
      </c>
      <c r="U140" s="126">
        <f t="shared" si="0"/>
        <v>148.51999999999998</v>
      </c>
      <c r="V140" s="126">
        <f t="shared" si="0"/>
        <v>12.57</v>
      </c>
      <c r="W140" s="126"/>
      <c r="X140" s="127" t="s">
        <v>1318</v>
      </c>
      <c r="Y140" s="128">
        <f>SUM(Y13:Y139)</f>
        <v>226.18</v>
      </c>
      <c r="Z140" s="128">
        <f>SUM(Z13:Z139)</f>
        <v>198.67</v>
      </c>
      <c r="AA140" s="128">
        <f>SUM(AA13:AA139)</f>
        <v>91.269999999999982</v>
      </c>
      <c r="AB140" s="128"/>
      <c r="AC140" s="129" t="s">
        <v>1319</v>
      </c>
      <c r="AD140" s="128">
        <f>SUM(AD13:AD139)</f>
        <v>516.11999999999989</v>
      </c>
      <c r="AE140" s="126"/>
      <c r="AF140" s="126"/>
      <c r="AG140" s="126"/>
      <c r="AH140" s="126"/>
      <c r="AI140" s="126"/>
      <c r="AJ140" s="130">
        <f>SUM(AJ13:AJ139)</f>
        <v>28345312.600000001</v>
      </c>
      <c r="AK140" s="131"/>
    </row>
  </sheetData>
  <mergeCells count="23">
    <mergeCell ref="T11:X11"/>
    <mergeCell ref="Y11:AD11"/>
    <mergeCell ref="A140:N140"/>
    <mergeCell ref="J10:K10"/>
    <mergeCell ref="L10:M10"/>
    <mergeCell ref="O10:AD10"/>
    <mergeCell ref="H11:H12"/>
    <mergeCell ref="I11:I12"/>
    <mergeCell ref="J11:J12"/>
    <mergeCell ref="K11:K12"/>
    <mergeCell ref="L11:L12"/>
    <mergeCell ref="M11:M12"/>
    <mergeCell ref="O11:S11"/>
    <mergeCell ref="A10:A12"/>
    <mergeCell ref="B10:B12"/>
    <mergeCell ref="C10:C12"/>
    <mergeCell ref="E10:G10"/>
    <mergeCell ref="H10:I10"/>
    <mergeCell ref="A1:AI1"/>
    <mergeCell ref="A4:AI4"/>
    <mergeCell ref="AF7:AI7"/>
    <mergeCell ref="AF8:AI8"/>
    <mergeCell ref="A9:AI9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9"/>
  <sheetViews>
    <sheetView topLeftCell="E8" zoomScale="147" zoomScaleNormal="147" workbookViewId="0">
      <selection activeCell="I16" sqref="I16"/>
    </sheetView>
  </sheetViews>
  <sheetFormatPr baseColWidth="10" defaultColWidth="11.453125" defaultRowHeight="14.5" x14ac:dyDescent="0.35"/>
  <cols>
    <col min="2" max="2" width="17.54296875" customWidth="1"/>
    <col min="3" max="3" width="19" customWidth="1"/>
    <col min="4" max="4" width="39.7265625" customWidth="1"/>
    <col min="29" max="29" width="40" customWidth="1"/>
    <col min="34" max="34" width="46.1796875" customWidth="1"/>
    <col min="35" max="35" width="32.1796875" customWidth="1"/>
  </cols>
  <sheetData>
    <row r="1" spans="1:37" ht="17.5" x14ac:dyDescent="0.35">
      <c r="A1" s="641" t="s">
        <v>0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  <c r="AE1" s="641"/>
      <c r="AF1" s="641"/>
      <c r="AG1" s="641"/>
      <c r="AH1" s="641"/>
      <c r="AI1" s="641"/>
      <c r="AJ1" s="132"/>
      <c r="AK1" s="133"/>
    </row>
    <row r="2" spans="1:37" ht="17.5" x14ac:dyDescent="0.35">
      <c r="A2" s="58" t="s">
        <v>1</v>
      </c>
      <c r="B2" s="58"/>
      <c r="C2" s="58"/>
      <c r="D2" s="58"/>
      <c r="E2" s="58"/>
      <c r="F2" s="58"/>
      <c r="G2" s="134"/>
      <c r="H2" s="134"/>
      <c r="I2" s="134"/>
      <c r="J2" s="134"/>
      <c r="K2" s="134"/>
      <c r="L2" s="134"/>
      <c r="M2" s="134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587"/>
      <c r="AF2" s="587"/>
      <c r="AG2" s="587"/>
      <c r="AH2" s="587"/>
      <c r="AI2" s="587"/>
      <c r="AJ2" s="136"/>
      <c r="AK2" s="137"/>
    </row>
    <row r="3" spans="1:37" ht="17.5" x14ac:dyDescent="0.35">
      <c r="A3" s="58" t="s">
        <v>290</v>
      </c>
      <c r="B3" s="58"/>
      <c r="C3" s="58"/>
      <c r="D3" s="58"/>
      <c r="E3" s="58"/>
      <c r="F3" s="58"/>
      <c r="G3" s="134"/>
      <c r="H3" s="134"/>
      <c r="I3" s="134"/>
      <c r="J3" s="134"/>
      <c r="K3" s="134"/>
      <c r="L3" s="134"/>
      <c r="M3" s="134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58"/>
      <c r="AF3" s="58"/>
      <c r="AG3" s="58"/>
      <c r="AH3" s="58"/>
      <c r="AI3" s="58"/>
      <c r="AJ3" s="136"/>
      <c r="AK3" s="137"/>
    </row>
    <row r="4" spans="1:37" ht="17.5" x14ac:dyDescent="0.35">
      <c r="A4" s="641" t="s">
        <v>291</v>
      </c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1"/>
      <c r="AF4" s="641"/>
      <c r="AG4" s="641"/>
      <c r="AH4" s="641"/>
      <c r="AI4" s="641"/>
      <c r="AJ4" s="136"/>
      <c r="AK4" s="137"/>
    </row>
    <row r="5" spans="1:37" ht="15.5" x14ac:dyDescent="0.35">
      <c r="A5" s="579"/>
      <c r="B5" s="579"/>
      <c r="C5" s="579"/>
      <c r="D5" s="579"/>
      <c r="E5" s="579"/>
      <c r="F5" s="579"/>
      <c r="G5" s="138"/>
      <c r="H5" s="138"/>
      <c r="I5" s="138"/>
      <c r="J5" s="138"/>
      <c r="K5" s="138"/>
      <c r="L5" s="138"/>
      <c r="M5" s="138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579"/>
      <c r="AF5" s="579"/>
      <c r="AG5" s="579"/>
      <c r="AH5" s="579"/>
      <c r="AI5" s="579"/>
      <c r="AJ5" s="136"/>
      <c r="AK5" s="137"/>
    </row>
    <row r="6" spans="1:37" ht="15" thickBot="1" x14ac:dyDescent="0.4">
      <c r="A6" s="60"/>
      <c r="B6" s="59"/>
      <c r="C6" s="59"/>
      <c r="D6" s="59"/>
      <c r="E6" s="59"/>
      <c r="F6" s="59"/>
      <c r="G6" s="136"/>
      <c r="H6" s="136"/>
      <c r="I6" s="136"/>
      <c r="J6" s="136"/>
      <c r="K6" s="136"/>
      <c r="L6" s="136"/>
      <c r="M6" s="136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140"/>
      <c r="Z6" s="140"/>
      <c r="AA6" s="140"/>
      <c r="AB6" s="140"/>
      <c r="AC6" s="140"/>
      <c r="AD6" s="140"/>
      <c r="AE6" s="141"/>
      <c r="AF6" s="137"/>
      <c r="AG6" s="137"/>
      <c r="AH6" s="137"/>
      <c r="AI6" s="137"/>
      <c r="AJ6" s="136"/>
      <c r="AK6" s="137"/>
    </row>
    <row r="7" spans="1:37" ht="18" thickBot="1" x14ac:dyDescent="0.4">
      <c r="A7" s="60"/>
      <c r="B7" s="62"/>
      <c r="C7" s="62"/>
      <c r="D7" s="62"/>
      <c r="E7" s="62"/>
      <c r="F7" s="62"/>
      <c r="G7" s="136"/>
      <c r="H7" s="136"/>
      <c r="I7" s="136"/>
      <c r="J7" s="136"/>
      <c r="K7" s="136"/>
      <c r="L7" s="136"/>
      <c r="M7" s="136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142"/>
      <c r="AF7" s="642" t="s">
        <v>1320</v>
      </c>
      <c r="AG7" s="643"/>
      <c r="AH7" s="643"/>
      <c r="AI7" s="644"/>
      <c r="AJ7" s="136"/>
      <c r="AK7" s="137"/>
    </row>
    <row r="8" spans="1:37" ht="18" thickBot="1" x14ac:dyDescent="0.4">
      <c r="A8" s="143"/>
      <c r="B8" s="144"/>
      <c r="C8" s="144"/>
      <c r="D8" s="144"/>
      <c r="E8" s="144"/>
      <c r="F8" s="144"/>
      <c r="G8" s="145"/>
      <c r="H8" s="145"/>
      <c r="I8" s="145"/>
      <c r="J8" s="145"/>
      <c r="K8" s="145"/>
      <c r="L8" s="145"/>
      <c r="M8" s="145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6"/>
      <c r="AF8" s="645" t="s">
        <v>1321</v>
      </c>
      <c r="AG8" s="646"/>
      <c r="AH8" s="647"/>
      <c r="AI8" s="648"/>
      <c r="AJ8" s="145"/>
      <c r="AK8" s="147"/>
    </row>
    <row r="9" spans="1:37" ht="16" thickBot="1" x14ac:dyDescent="0.4">
      <c r="A9" s="148"/>
      <c r="B9" s="149"/>
      <c r="C9" s="149"/>
      <c r="D9" s="149"/>
      <c r="E9" s="149"/>
      <c r="F9" s="149"/>
      <c r="G9" s="150"/>
      <c r="H9" s="150"/>
      <c r="I9" s="150"/>
      <c r="J9" s="150"/>
      <c r="K9" s="150"/>
      <c r="L9" s="150"/>
      <c r="M9" s="150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2"/>
      <c r="AF9" s="152"/>
      <c r="AG9" s="152"/>
      <c r="AH9" s="152"/>
      <c r="AI9" s="152"/>
      <c r="AJ9" s="150"/>
      <c r="AK9" s="152"/>
    </row>
    <row r="10" spans="1:37" ht="16" thickBot="1" x14ac:dyDescent="0.4">
      <c r="A10" s="656" t="s">
        <v>4</v>
      </c>
      <c r="B10" s="658" t="s">
        <v>5</v>
      </c>
      <c r="C10" s="656" t="s">
        <v>6</v>
      </c>
      <c r="D10" s="590" t="s">
        <v>1322</v>
      </c>
      <c r="E10" s="661" t="s">
        <v>8</v>
      </c>
      <c r="F10" s="662"/>
      <c r="G10" s="663"/>
      <c r="H10" s="656" t="s">
        <v>9</v>
      </c>
      <c r="I10" s="656"/>
      <c r="J10" s="656" t="s">
        <v>10</v>
      </c>
      <c r="K10" s="656"/>
      <c r="L10" s="656" t="s">
        <v>11</v>
      </c>
      <c r="M10" s="656"/>
      <c r="N10" s="590" t="s">
        <v>12</v>
      </c>
      <c r="O10" s="656" t="s">
        <v>13</v>
      </c>
      <c r="P10" s="656"/>
      <c r="Q10" s="656"/>
      <c r="R10" s="656"/>
      <c r="S10" s="656"/>
      <c r="T10" s="656"/>
      <c r="U10" s="656"/>
      <c r="V10" s="656"/>
      <c r="W10" s="656"/>
      <c r="X10" s="656"/>
      <c r="Y10" s="656"/>
      <c r="Z10" s="656"/>
      <c r="AA10" s="656"/>
      <c r="AB10" s="656"/>
      <c r="AC10" s="656"/>
      <c r="AD10" s="656"/>
      <c r="AE10" s="590"/>
      <c r="AF10" s="590"/>
      <c r="AG10" s="153"/>
      <c r="AH10" s="154" t="s">
        <v>14</v>
      </c>
      <c r="AI10" s="155" t="s">
        <v>15</v>
      </c>
      <c r="AJ10" s="592" t="s">
        <v>16</v>
      </c>
      <c r="AK10" s="590" t="s">
        <v>17</v>
      </c>
    </row>
    <row r="11" spans="1:37" ht="16" thickBot="1" x14ac:dyDescent="0.4">
      <c r="A11" s="657"/>
      <c r="B11" s="659"/>
      <c r="C11" s="657"/>
      <c r="D11" s="591" t="s">
        <v>18</v>
      </c>
      <c r="E11" s="156" t="s">
        <v>19</v>
      </c>
      <c r="F11" s="157" t="s">
        <v>20</v>
      </c>
      <c r="G11" s="158" t="s">
        <v>21</v>
      </c>
      <c r="H11" s="656" t="s">
        <v>22</v>
      </c>
      <c r="I11" s="656" t="s">
        <v>23</v>
      </c>
      <c r="J11" s="658" t="s">
        <v>22</v>
      </c>
      <c r="K11" s="656" t="s">
        <v>23</v>
      </c>
      <c r="L11" s="656" t="s">
        <v>22</v>
      </c>
      <c r="M11" s="658" t="s">
        <v>23</v>
      </c>
      <c r="N11" s="591"/>
      <c r="O11" s="656" t="s">
        <v>24</v>
      </c>
      <c r="P11" s="656"/>
      <c r="Q11" s="656"/>
      <c r="R11" s="656"/>
      <c r="S11" s="656"/>
      <c r="T11" s="656" t="s">
        <v>25</v>
      </c>
      <c r="U11" s="656"/>
      <c r="V11" s="656"/>
      <c r="W11" s="656"/>
      <c r="X11" s="656"/>
      <c r="Y11" s="656" t="s">
        <v>26</v>
      </c>
      <c r="Z11" s="656"/>
      <c r="AA11" s="656"/>
      <c r="AB11" s="656"/>
      <c r="AC11" s="656"/>
      <c r="AD11" s="656"/>
      <c r="AE11" s="591" t="s">
        <v>294</v>
      </c>
      <c r="AF11" s="591" t="s">
        <v>295</v>
      </c>
      <c r="AG11" s="159" t="s">
        <v>29</v>
      </c>
      <c r="AH11" s="594" t="s">
        <v>30</v>
      </c>
      <c r="AI11" s="160" t="s">
        <v>31</v>
      </c>
      <c r="AJ11" s="593" t="s">
        <v>32</v>
      </c>
      <c r="AK11" s="591" t="s">
        <v>296</v>
      </c>
    </row>
    <row r="12" spans="1:37" ht="15.5" x14ac:dyDescent="0.35">
      <c r="A12" s="657"/>
      <c r="B12" s="659"/>
      <c r="C12" s="660"/>
      <c r="D12" s="591" t="s">
        <v>34</v>
      </c>
      <c r="E12" s="161" t="s">
        <v>35</v>
      </c>
      <c r="F12" s="162" t="s">
        <v>36</v>
      </c>
      <c r="G12" s="162" t="s">
        <v>37</v>
      </c>
      <c r="H12" s="657"/>
      <c r="I12" s="657"/>
      <c r="J12" s="659"/>
      <c r="K12" s="657"/>
      <c r="L12" s="657"/>
      <c r="M12" s="666"/>
      <c r="N12" s="590" t="s">
        <v>297</v>
      </c>
      <c r="O12" s="592" t="s">
        <v>39</v>
      </c>
      <c r="P12" s="590" t="s">
        <v>40</v>
      </c>
      <c r="Q12" s="154" t="s">
        <v>41</v>
      </c>
      <c r="R12" s="590" t="s">
        <v>42</v>
      </c>
      <c r="S12" s="592" t="s">
        <v>43</v>
      </c>
      <c r="T12" s="590" t="s">
        <v>39</v>
      </c>
      <c r="U12" s="590" t="s">
        <v>40</v>
      </c>
      <c r="V12" s="590" t="s">
        <v>41</v>
      </c>
      <c r="W12" s="590" t="s">
        <v>42</v>
      </c>
      <c r="X12" s="590" t="s">
        <v>43</v>
      </c>
      <c r="Y12" s="590" t="s">
        <v>39</v>
      </c>
      <c r="Z12" s="590" t="s">
        <v>40</v>
      </c>
      <c r="AA12" s="590" t="s">
        <v>41</v>
      </c>
      <c r="AB12" s="590" t="s">
        <v>42</v>
      </c>
      <c r="AC12" s="590" t="s">
        <v>43</v>
      </c>
      <c r="AD12" s="590" t="s">
        <v>44</v>
      </c>
      <c r="AE12" s="591"/>
      <c r="AF12" s="594"/>
      <c r="AG12" s="163" t="s">
        <v>298</v>
      </c>
      <c r="AH12" s="595" t="s">
        <v>46</v>
      </c>
      <c r="AI12" s="164" t="s">
        <v>299</v>
      </c>
      <c r="AJ12" s="593" t="s">
        <v>48</v>
      </c>
      <c r="AK12" s="591"/>
    </row>
    <row r="13" spans="1:37" x14ac:dyDescent="0.35">
      <c r="A13" s="165">
        <v>1100514</v>
      </c>
      <c r="B13" s="165" t="s">
        <v>208</v>
      </c>
      <c r="C13" s="165" t="s">
        <v>208</v>
      </c>
      <c r="D13" s="165" t="s">
        <v>1323</v>
      </c>
      <c r="E13" s="165" t="s">
        <v>1324</v>
      </c>
      <c r="F13" s="165" t="s">
        <v>1325</v>
      </c>
      <c r="G13" s="166">
        <v>430</v>
      </c>
      <c r="H13" s="740">
        <v>41810</v>
      </c>
      <c r="I13" s="167">
        <v>1410</v>
      </c>
      <c r="J13" s="167">
        <v>200614</v>
      </c>
      <c r="K13" s="167">
        <v>1425</v>
      </c>
      <c r="L13" s="167">
        <v>200614</v>
      </c>
      <c r="M13" s="167">
        <v>1735</v>
      </c>
      <c r="N13" s="168" t="s">
        <v>1326</v>
      </c>
      <c r="O13" s="168">
        <v>0</v>
      </c>
      <c r="P13" s="168">
        <v>3</v>
      </c>
      <c r="Q13" s="168">
        <v>0</v>
      </c>
      <c r="R13" s="168">
        <v>0</v>
      </c>
      <c r="S13" s="168">
        <v>0</v>
      </c>
      <c r="T13" s="168">
        <v>0</v>
      </c>
      <c r="U13" s="168">
        <v>0</v>
      </c>
      <c r="V13" s="168">
        <v>0</v>
      </c>
      <c r="W13" s="168">
        <v>0</v>
      </c>
      <c r="X13" s="168">
        <v>0</v>
      </c>
      <c r="Y13" s="168">
        <v>0</v>
      </c>
      <c r="Z13" s="168">
        <f>P13+U13</f>
        <v>3</v>
      </c>
      <c r="AA13" s="168">
        <f>Q13+V13</f>
        <v>0</v>
      </c>
      <c r="AB13" s="168">
        <f>R13+W13</f>
        <v>0</v>
      </c>
      <c r="AC13" s="168">
        <f>S13+X13</f>
        <v>0</v>
      </c>
      <c r="AD13" s="168">
        <f>Y13+Z13+AA13+AB13</f>
        <v>3</v>
      </c>
      <c r="AE13" s="169" t="s">
        <v>117</v>
      </c>
      <c r="AF13" s="169" t="s">
        <v>117</v>
      </c>
      <c r="AG13" s="169" t="s">
        <v>72</v>
      </c>
      <c r="AH13" s="169" t="s">
        <v>1327</v>
      </c>
      <c r="AI13" s="169" t="s">
        <v>67</v>
      </c>
      <c r="AJ13" s="170">
        <v>150000</v>
      </c>
      <c r="AK13" s="168" t="s">
        <v>60</v>
      </c>
    </row>
    <row r="14" spans="1:37" x14ac:dyDescent="0.35">
      <c r="A14" s="165">
        <v>2100514</v>
      </c>
      <c r="B14" s="165" t="s">
        <v>208</v>
      </c>
      <c r="C14" s="165" t="s">
        <v>208</v>
      </c>
      <c r="D14" s="165" t="s">
        <v>1328</v>
      </c>
      <c r="E14" s="165" t="s">
        <v>1329</v>
      </c>
      <c r="F14" s="165" t="s">
        <v>1330</v>
      </c>
      <c r="G14" s="166">
        <v>320</v>
      </c>
      <c r="H14" s="740">
        <v>41810</v>
      </c>
      <c r="I14" s="167">
        <v>1440</v>
      </c>
      <c r="J14" s="167">
        <v>200614</v>
      </c>
      <c r="K14" s="167">
        <v>1455</v>
      </c>
      <c r="L14" s="167">
        <v>200614</v>
      </c>
      <c r="M14" s="167">
        <v>1735</v>
      </c>
      <c r="N14" s="168" t="s">
        <v>1326</v>
      </c>
      <c r="O14" s="168">
        <v>0</v>
      </c>
      <c r="P14" s="168">
        <v>5</v>
      </c>
      <c r="Q14" s="168">
        <v>0</v>
      </c>
      <c r="R14" s="168">
        <v>0</v>
      </c>
      <c r="S14" s="168">
        <v>0</v>
      </c>
      <c r="T14" s="168">
        <v>0</v>
      </c>
      <c r="U14" s="168">
        <v>0</v>
      </c>
      <c r="V14" s="168">
        <v>0</v>
      </c>
      <c r="W14" s="168">
        <v>0</v>
      </c>
      <c r="X14" s="168">
        <v>0</v>
      </c>
      <c r="Y14" s="168">
        <v>0</v>
      </c>
      <c r="Z14" s="168">
        <f t="shared" ref="Z14:AB19" si="0">P14+U14</f>
        <v>5</v>
      </c>
      <c r="AA14" s="168">
        <f t="shared" si="0"/>
        <v>0</v>
      </c>
      <c r="AB14" s="168">
        <f t="shared" si="0"/>
        <v>0</v>
      </c>
      <c r="AC14" s="168">
        <v>0</v>
      </c>
      <c r="AD14" s="168">
        <f t="shared" ref="AD14:AD77" si="1">Y14+Z14+AA14+AB14</f>
        <v>5</v>
      </c>
      <c r="AE14" s="169" t="s">
        <v>117</v>
      </c>
      <c r="AF14" s="169" t="s">
        <v>117</v>
      </c>
      <c r="AG14" s="169" t="s">
        <v>72</v>
      </c>
      <c r="AH14" s="169" t="s">
        <v>1327</v>
      </c>
      <c r="AI14" s="169" t="s">
        <v>67</v>
      </c>
      <c r="AJ14" s="170">
        <v>250000</v>
      </c>
      <c r="AK14" s="168" t="s">
        <v>60</v>
      </c>
    </row>
    <row r="15" spans="1:37" x14ac:dyDescent="0.35">
      <c r="A15" s="165">
        <v>3101314</v>
      </c>
      <c r="B15" s="165" t="s">
        <v>198</v>
      </c>
      <c r="C15" s="165" t="s">
        <v>1331</v>
      </c>
      <c r="D15" s="165" t="s">
        <v>1332</v>
      </c>
      <c r="E15" s="165" t="s">
        <v>1333</v>
      </c>
      <c r="F15" s="165" t="s">
        <v>1334</v>
      </c>
      <c r="G15" s="166">
        <v>500</v>
      </c>
      <c r="H15" s="740">
        <v>41818</v>
      </c>
      <c r="I15" s="167">
        <v>1330</v>
      </c>
      <c r="J15" s="167">
        <v>280614</v>
      </c>
      <c r="K15" s="167">
        <v>1345</v>
      </c>
      <c r="L15" s="167">
        <v>280614</v>
      </c>
      <c r="M15" s="167">
        <v>1750</v>
      </c>
      <c r="N15" s="168" t="s">
        <v>62</v>
      </c>
      <c r="O15" s="168">
        <v>0</v>
      </c>
      <c r="P15" s="168">
        <v>0</v>
      </c>
      <c r="Q15" s="168">
        <v>0</v>
      </c>
      <c r="R15" s="168">
        <v>0</v>
      </c>
      <c r="S15" s="168">
        <v>0</v>
      </c>
      <c r="T15" s="168">
        <v>5</v>
      </c>
      <c r="U15" s="168">
        <v>0</v>
      </c>
      <c r="V15" s="168">
        <v>0</v>
      </c>
      <c r="W15" s="168">
        <v>0</v>
      </c>
      <c r="X15" s="168">
        <v>0</v>
      </c>
      <c r="Y15" s="168">
        <f>T15+O15</f>
        <v>5</v>
      </c>
      <c r="Z15" s="168">
        <f t="shared" si="0"/>
        <v>0</v>
      </c>
      <c r="AA15" s="168">
        <f t="shared" si="0"/>
        <v>0</v>
      </c>
      <c r="AB15" s="168">
        <f t="shared" si="0"/>
        <v>0</v>
      </c>
      <c r="AC15" s="168">
        <v>0</v>
      </c>
      <c r="AD15" s="168">
        <f t="shared" si="1"/>
        <v>5</v>
      </c>
      <c r="AE15" s="169" t="s">
        <v>117</v>
      </c>
      <c r="AF15" s="169" t="s">
        <v>117</v>
      </c>
      <c r="AG15" s="169" t="s">
        <v>72</v>
      </c>
      <c r="AH15" s="169" t="s">
        <v>1335</v>
      </c>
      <c r="AI15" s="169" t="s">
        <v>67</v>
      </c>
      <c r="AJ15" s="170">
        <v>200000</v>
      </c>
      <c r="AK15" s="168" t="s">
        <v>60</v>
      </c>
    </row>
    <row r="16" spans="1:37" x14ac:dyDescent="0.35">
      <c r="A16" s="165">
        <v>4100114</v>
      </c>
      <c r="B16" s="165" t="s">
        <v>145</v>
      </c>
      <c r="C16" s="165" t="s">
        <v>145</v>
      </c>
      <c r="D16" s="165" t="s">
        <v>1336</v>
      </c>
      <c r="E16" s="165" t="s">
        <v>1337</v>
      </c>
      <c r="F16" s="165" t="s">
        <v>1338</v>
      </c>
      <c r="G16" s="166">
        <v>730</v>
      </c>
      <c r="H16" s="740">
        <v>41818</v>
      </c>
      <c r="I16" s="167">
        <v>1240</v>
      </c>
      <c r="J16" s="167">
        <v>280614</v>
      </c>
      <c r="K16" s="167">
        <v>1250</v>
      </c>
      <c r="L16" s="167">
        <v>280614</v>
      </c>
      <c r="M16" s="167">
        <v>1500</v>
      </c>
      <c r="N16" s="168" t="s">
        <v>1339</v>
      </c>
      <c r="O16" s="168">
        <v>0</v>
      </c>
      <c r="P16" s="168">
        <v>0</v>
      </c>
      <c r="Q16" s="168">
        <v>1</v>
      </c>
      <c r="R16" s="168">
        <v>0</v>
      </c>
      <c r="S16" s="168">
        <v>0</v>
      </c>
      <c r="T16" s="168">
        <v>0</v>
      </c>
      <c r="U16" s="168">
        <v>0</v>
      </c>
      <c r="V16" s="168">
        <v>0</v>
      </c>
      <c r="W16" s="168">
        <v>0</v>
      </c>
      <c r="X16" s="168">
        <v>0</v>
      </c>
      <c r="Y16" s="168">
        <f>T16+O16</f>
        <v>0</v>
      </c>
      <c r="Z16" s="168">
        <f t="shared" si="0"/>
        <v>0</v>
      </c>
      <c r="AA16" s="168">
        <f t="shared" si="0"/>
        <v>1</v>
      </c>
      <c r="AB16" s="168">
        <f t="shared" si="0"/>
        <v>0</v>
      </c>
      <c r="AC16" s="168">
        <v>0</v>
      </c>
      <c r="AD16" s="168">
        <f t="shared" si="1"/>
        <v>1</v>
      </c>
      <c r="AE16" s="169" t="s">
        <v>117</v>
      </c>
      <c r="AF16" s="169" t="s">
        <v>117</v>
      </c>
      <c r="AG16" s="169" t="s">
        <v>72</v>
      </c>
      <c r="AH16" s="169" t="s">
        <v>1340</v>
      </c>
      <c r="AI16" s="169" t="s">
        <v>73</v>
      </c>
      <c r="AJ16" s="170">
        <v>203000</v>
      </c>
      <c r="AK16" s="168" t="s">
        <v>60</v>
      </c>
    </row>
    <row r="17" spans="1:37" x14ac:dyDescent="0.35">
      <c r="A17" s="165">
        <v>5100614</v>
      </c>
      <c r="B17" s="165" t="s">
        <v>78</v>
      </c>
      <c r="C17" s="165" t="s">
        <v>173</v>
      </c>
      <c r="D17" s="165" t="s">
        <v>1341</v>
      </c>
      <c r="E17" s="165" t="s">
        <v>1342</v>
      </c>
      <c r="F17" s="165" t="s">
        <v>1343</v>
      </c>
      <c r="G17" s="166">
        <v>558</v>
      </c>
      <c r="H17" s="740">
        <v>41818</v>
      </c>
      <c r="I17" s="167">
        <v>1550</v>
      </c>
      <c r="J17" s="167"/>
      <c r="K17" s="167"/>
      <c r="L17" s="167">
        <v>280614</v>
      </c>
      <c r="M17" s="167">
        <v>1900</v>
      </c>
      <c r="N17" s="168" t="s">
        <v>62</v>
      </c>
      <c r="O17" s="171">
        <v>4</v>
      </c>
      <c r="P17" s="168">
        <v>0</v>
      </c>
      <c r="Q17" s="168">
        <v>0</v>
      </c>
      <c r="R17" s="168">
        <v>0</v>
      </c>
      <c r="S17" s="168">
        <v>0</v>
      </c>
      <c r="T17" s="168">
        <v>0</v>
      </c>
      <c r="U17" s="168">
        <v>0</v>
      </c>
      <c r="V17" s="168">
        <v>0</v>
      </c>
      <c r="W17" s="168">
        <v>0</v>
      </c>
      <c r="X17" s="168">
        <v>0</v>
      </c>
      <c r="Y17" s="168">
        <f>T17+O17</f>
        <v>4</v>
      </c>
      <c r="Z17" s="168">
        <f t="shared" si="0"/>
        <v>0</v>
      </c>
      <c r="AA17" s="168">
        <f t="shared" si="0"/>
        <v>0</v>
      </c>
      <c r="AB17" s="168">
        <f t="shared" si="0"/>
        <v>0</v>
      </c>
      <c r="AC17" s="168">
        <v>0</v>
      </c>
      <c r="AD17" s="168">
        <f t="shared" si="1"/>
        <v>4</v>
      </c>
      <c r="AE17" s="169" t="s">
        <v>71</v>
      </c>
      <c r="AF17" s="169" t="s">
        <v>117</v>
      </c>
      <c r="AG17" s="169" t="s">
        <v>493</v>
      </c>
      <c r="AH17" s="169" t="s">
        <v>1344</v>
      </c>
      <c r="AI17" s="169" t="s">
        <v>175</v>
      </c>
      <c r="AJ17" s="170">
        <v>88450</v>
      </c>
      <c r="AK17" s="168" t="s">
        <v>60</v>
      </c>
    </row>
    <row r="18" spans="1:37" x14ac:dyDescent="0.35">
      <c r="A18" s="165">
        <v>6100614</v>
      </c>
      <c r="B18" s="165" t="s">
        <v>78</v>
      </c>
      <c r="C18" s="165" t="s">
        <v>173</v>
      </c>
      <c r="D18" s="165" t="s">
        <v>1341</v>
      </c>
      <c r="E18" s="165" t="s">
        <v>1345</v>
      </c>
      <c r="F18" s="165" t="s">
        <v>1346</v>
      </c>
      <c r="G18" s="166">
        <v>568</v>
      </c>
      <c r="H18" s="740">
        <v>41818</v>
      </c>
      <c r="I18" s="167">
        <v>1700</v>
      </c>
      <c r="J18" s="167"/>
      <c r="K18" s="167"/>
      <c r="L18" s="167">
        <v>280614</v>
      </c>
      <c r="M18" s="167">
        <v>1930</v>
      </c>
      <c r="N18" s="168" t="s">
        <v>62</v>
      </c>
      <c r="O18" s="171">
        <v>3</v>
      </c>
      <c r="P18" s="168">
        <v>0</v>
      </c>
      <c r="Q18" s="168">
        <v>0</v>
      </c>
      <c r="R18" s="168">
        <v>0</v>
      </c>
      <c r="S18" s="168">
        <v>0</v>
      </c>
      <c r="T18" s="168">
        <v>0</v>
      </c>
      <c r="U18" s="168">
        <v>0</v>
      </c>
      <c r="V18" s="168">
        <v>0</v>
      </c>
      <c r="W18" s="168">
        <v>0</v>
      </c>
      <c r="X18" s="168">
        <v>0</v>
      </c>
      <c r="Y18" s="168">
        <f>T18+O18</f>
        <v>3</v>
      </c>
      <c r="Z18" s="168">
        <f t="shared" si="0"/>
        <v>0</v>
      </c>
      <c r="AA18" s="168">
        <f t="shared" si="0"/>
        <v>0</v>
      </c>
      <c r="AB18" s="168">
        <f t="shared" si="0"/>
        <v>0</v>
      </c>
      <c r="AC18" s="168">
        <v>0</v>
      </c>
      <c r="AD18" s="168">
        <f t="shared" si="1"/>
        <v>3</v>
      </c>
      <c r="AE18" s="169" t="s">
        <v>71</v>
      </c>
      <c r="AF18" s="169" t="s">
        <v>117</v>
      </c>
      <c r="AG18" s="169" t="s">
        <v>493</v>
      </c>
      <c r="AH18" s="169" t="s">
        <v>1344</v>
      </c>
      <c r="AI18" s="169" t="s">
        <v>175</v>
      </c>
      <c r="AJ18" s="170">
        <v>57000</v>
      </c>
      <c r="AK18" s="168" t="s">
        <v>60</v>
      </c>
    </row>
    <row r="19" spans="1:37" x14ac:dyDescent="0.35">
      <c r="A19" s="172">
        <v>7101214</v>
      </c>
      <c r="B19" s="172" t="s">
        <v>83</v>
      </c>
      <c r="C19" s="172" t="s">
        <v>95</v>
      </c>
      <c r="D19" s="172" t="s">
        <v>1336</v>
      </c>
      <c r="E19" s="172" t="s">
        <v>1347</v>
      </c>
      <c r="F19" s="172" t="s">
        <v>1348</v>
      </c>
      <c r="G19" s="173">
        <v>580</v>
      </c>
      <c r="H19" s="741">
        <v>41819</v>
      </c>
      <c r="I19" s="174">
        <v>1630</v>
      </c>
      <c r="J19" s="174">
        <v>290614</v>
      </c>
      <c r="K19" s="174">
        <v>1645</v>
      </c>
      <c r="L19" s="174">
        <v>290614</v>
      </c>
      <c r="M19" s="174">
        <v>1800</v>
      </c>
      <c r="N19" s="168" t="s">
        <v>1326</v>
      </c>
      <c r="O19" s="175">
        <v>0</v>
      </c>
      <c r="P19" s="176">
        <v>1</v>
      </c>
      <c r="Q19" s="176">
        <v>0</v>
      </c>
      <c r="R19" s="176">
        <v>0</v>
      </c>
      <c r="S19" s="176">
        <v>0</v>
      </c>
      <c r="T19" s="176">
        <v>0</v>
      </c>
      <c r="U19" s="176">
        <v>0</v>
      </c>
      <c r="V19" s="176">
        <v>0</v>
      </c>
      <c r="W19" s="176">
        <v>0</v>
      </c>
      <c r="X19" s="176">
        <v>0</v>
      </c>
      <c r="Y19" s="176">
        <f>T19+O19</f>
        <v>0</v>
      </c>
      <c r="Z19" s="176">
        <f t="shared" si="0"/>
        <v>1</v>
      </c>
      <c r="AA19" s="176">
        <f t="shared" si="0"/>
        <v>0</v>
      </c>
      <c r="AB19" s="176">
        <f t="shared" si="0"/>
        <v>0</v>
      </c>
      <c r="AC19" s="176">
        <v>0</v>
      </c>
      <c r="AD19" s="168">
        <f t="shared" si="1"/>
        <v>1</v>
      </c>
      <c r="AE19" s="177" t="s">
        <v>117</v>
      </c>
      <c r="AF19" s="177" t="s">
        <v>117</v>
      </c>
      <c r="AG19" s="177" t="s">
        <v>57</v>
      </c>
      <c r="AH19" s="177" t="s">
        <v>1340</v>
      </c>
      <c r="AI19" s="177" t="s">
        <v>73</v>
      </c>
      <c r="AJ19" s="178">
        <v>207500</v>
      </c>
      <c r="AK19" s="176" t="s">
        <v>60</v>
      </c>
    </row>
    <row r="20" spans="1:37" x14ac:dyDescent="0.35">
      <c r="A20" s="165">
        <v>8103014</v>
      </c>
      <c r="B20" s="165" t="s">
        <v>78</v>
      </c>
      <c r="C20" s="165" t="s">
        <v>107</v>
      </c>
      <c r="D20" s="165" t="s">
        <v>1349</v>
      </c>
      <c r="E20" s="165" t="s">
        <v>1350</v>
      </c>
      <c r="F20" s="165" t="s">
        <v>1351</v>
      </c>
      <c r="G20" s="166">
        <v>988</v>
      </c>
      <c r="H20" s="740">
        <v>41824</v>
      </c>
      <c r="I20" s="167">
        <v>1030</v>
      </c>
      <c r="J20" s="167">
        <v>40714</v>
      </c>
      <c r="K20" s="167">
        <v>1045</v>
      </c>
      <c r="L20" s="167">
        <v>40714</v>
      </c>
      <c r="M20" s="167">
        <v>1230</v>
      </c>
      <c r="N20" s="168" t="s">
        <v>1352</v>
      </c>
      <c r="O20" s="171">
        <v>0</v>
      </c>
      <c r="P20" s="168">
        <v>0.5</v>
      </c>
      <c r="Q20" s="168">
        <v>0</v>
      </c>
      <c r="R20" s="168">
        <v>0</v>
      </c>
      <c r="S20" s="168">
        <v>0</v>
      </c>
      <c r="T20" s="168">
        <v>0</v>
      </c>
      <c r="U20" s="168">
        <v>0</v>
      </c>
      <c r="V20" s="168">
        <v>0</v>
      </c>
      <c r="W20" s="168">
        <v>0</v>
      </c>
      <c r="X20" s="168">
        <v>0</v>
      </c>
      <c r="Y20" s="168">
        <v>0</v>
      </c>
      <c r="Z20" s="168">
        <f>P20+U20</f>
        <v>0.5</v>
      </c>
      <c r="AA20" s="168">
        <f>Q20+V20</f>
        <v>0</v>
      </c>
      <c r="AB20" s="168">
        <f>R20+W20</f>
        <v>0</v>
      </c>
      <c r="AC20" s="168">
        <v>0</v>
      </c>
      <c r="AD20" s="168">
        <f t="shared" si="1"/>
        <v>0.5</v>
      </c>
      <c r="AE20" s="169" t="s">
        <v>66</v>
      </c>
      <c r="AF20" s="169" t="s">
        <v>117</v>
      </c>
      <c r="AG20" s="169" t="s">
        <v>1353</v>
      </c>
      <c r="AH20" s="169" t="s">
        <v>1354</v>
      </c>
      <c r="AI20" s="169" t="s">
        <v>1355</v>
      </c>
      <c r="AJ20" s="179">
        <v>5980</v>
      </c>
      <c r="AK20" s="168" t="s">
        <v>60</v>
      </c>
    </row>
    <row r="21" spans="1:37" x14ac:dyDescent="0.35">
      <c r="A21" s="165">
        <v>9102414</v>
      </c>
      <c r="B21" s="165" t="s">
        <v>198</v>
      </c>
      <c r="C21" s="165" t="s">
        <v>1356</v>
      </c>
      <c r="D21" s="165" t="s">
        <v>1357</v>
      </c>
      <c r="E21" s="165" t="s">
        <v>1358</v>
      </c>
      <c r="F21" s="165" t="s">
        <v>1359</v>
      </c>
      <c r="G21" s="166">
        <v>560</v>
      </c>
      <c r="H21" s="740">
        <v>41826</v>
      </c>
      <c r="I21" s="167">
        <v>1230</v>
      </c>
      <c r="J21" s="167">
        <v>60714</v>
      </c>
      <c r="K21" s="167">
        <v>1250</v>
      </c>
      <c r="L21" s="167">
        <v>60714</v>
      </c>
      <c r="M21" s="167">
        <v>1540</v>
      </c>
      <c r="N21" s="168" t="s">
        <v>62</v>
      </c>
      <c r="O21" s="171">
        <v>0</v>
      </c>
      <c r="P21" s="171">
        <v>0</v>
      </c>
      <c r="Q21" s="168">
        <v>0</v>
      </c>
      <c r="R21" s="168">
        <v>0</v>
      </c>
      <c r="S21" s="168">
        <v>0</v>
      </c>
      <c r="T21" s="168">
        <v>2</v>
      </c>
      <c r="U21" s="168">
        <v>0</v>
      </c>
      <c r="V21" s="168">
        <v>0</v>
      </c>
      <c r="W21" s="168">
        <v>0</v>
      </c>
      <c r="X21" s="168">
        <v>0</v>
      </c>
      <c r="Y21" s="168">
        <v>2</v>
      </c>
      <c r="Z21" s="168">
        <v>0</v>
      </c>
      <c r="AA21" s="168">
        <f>Q21+V21</f>
        <v>0</v>
      </c>
      <c r="AB21" s="168">
        <f>R21+W21</f>
        <v>0</v>
      </c>
      <c r="AC21" s="168">
        <v>0</v>
      </c>
      <c r="AD21" s="168">
        <f t="shared" si="1"/>
        <v>2</v>
      </c>
      <c r="AE21" s="169" t="s">
        <v>117</v>
      </c>
      <c r="AF21" s="169" t="s">
        <v>117</v>
      </c>
      <c r="AG21" s="169" t="s">
        <v>72</v>
      </c>
      <c r="AH21" s="169" t="s">
        <v>1360</v>
      </c>
      <c r="AI21" s="169" t="s">
        <v>67</v>
      </c>
      <c r="AJ21" s="179">
        <v>200000</v>
      </c>
      <c r="AK21" s="168" t="s">
        <v>60</v>
      </c>
    </row>
    <row r="22" spans="1:37" x14ac:dyDescent="0.35">
      <c r="A22" s="165">
        <v>10101514</v>
      </c>
      <c r="B22" s="165" t="s">
        <v>1361</v>
      </c>
      <c r="C22" s="165" t="s">
        <v>1361</v>
      </c>
      <c r="D22" s="165" t="s">
        <v>1362</v>
      </c>
      <c r="E22" s="165" t="s">
        <v>1363</v>
      </c>
      <c r="F22" s="165" t="s">
        <v>1364</v>
      </c>
      <c r="G22" s="166">
        <v>835</v>
      </c>
      <c r="H22" s="740">
        <v>41826</v>
      </c>
      <c r="I22" s="167">
        <v>1420</v>
      </c>
      <c r="J22" s="167">
        <v>60714</v>
      </c>
      <c r="K22" s="167">
        <v>1440</v>
      </c>
      <c r="L22" s="167">
        <v>60714</v>
      </c>
      <c r="M22" s="167">
        <v>1700</v>
      </c>
      <c r="N22" s="168" t="s">
        <v>62</v>
      </c>
      <c r="O22" s="171">
        <v>3</v>
      </c>
      <c r="P22" s="168">
        <v>0</v>
      </c>
      <c r="Q22" s="168">
        <v>1</v>
      </c>
      <c r="R22" s="168">
        <v>0</v>
      </c>
      <c r="S22" s="168">
        <v>0</v>
      </c>
      <c r="T22" s="168">
        <v>0</v>
      </c>
      <c r="U22" s="168">
        <v>0</v>
      </c>
      <c r="V22" s="168">
        <v>0</v>
      </c>
      <c r="W22" s="168">
        <v>0</v>
      </c>
      <c r="X22" s="168">
        <v>0</v>
      </c>
      <c r="Y22" s="168">
        <v>3</v>
      </c>
      <c r="Z22" s="168">
        <v>0</v>
      </c>
      <c r="AA22" s="168">
        <v>1</v>
      </c>
      <c r="AB22" s="168">
        <v>0</v>
      </c>
      <c r="AC22" s="168">
        <v>0</v>
      </c>
      <c r="AD22" s="168">
        <f t="shared" si="1"/>
        <v>4</v>
      </c>
      <c r="AE22" s="169" t="s">
        <v>55</v>
      </c>
      <c r="AF22" s="169" t="s">
        <v>117</v>
      </c>
      <c r="AG22" s="169" t="s">
        <v>57</v>
      </c>
      <c r="AH22" s="169" t="s">
        <v>1360</v>
      </c>
      <c r="AI22" s="169" t="s">
        <v>1365</v>
      </c>
      <c r="AJ22" s="179">
        <v>350000</v>
      </c>
      <c r="AK22" s="168" t="s">
        <v>60</v>
      </c>
    </row>
    <row r="23" spans="1:37" x14ac:dyDescent="0.35">
      <c r="A23" s="165">
        <v>11101914</v>
      </c>
      <c r="B23" s="165" t="s">
        <v>49</v>
      </c>
      <c r="C23" s="165" t="s">
        <v>150</v>
      </c>
      <c r="D23" s="165" t="s">
        <v>1366</v>
      </c>
      <c r="E23" s="165" t="s">
        <v>1367</v>
      </c>
      <c r="F23" s="165" t="s">
        <v>1368</v>
      </c>
      <c r="G23" s="166">
        <v>653</v>
      </c>
      <c r="H23" s="740">
        <v>41826</v>
      </c>
      <c r="I23" s="167">
        <v>1545</v>
      </c>
      <c r="J23" s="167">
        <v>60714</v>
      </c>
      <c r="K23" s="167">
        <v>1600</v>
      </c>
      <c r="L23" s="167">
        <v>60714</v>
      </c>
      <c r="M23" s="167">
        <v>1720</v>
      </c>
      <c r="N23" s="168" t="s">
        <v>62</v>
      </c>
      <c r="O23" s="171">
        <v>1</v>
      </c>
      <c r="P23" s="168">
        <v>0</v>
      </c>
      <c r="Q23" s="168">
        <v>0</v>
      </c>
      <c r="R23" s="168">
        <v>0</v>
      </c>
      <c r="S23" s="168">
        <v>0</v>
      </c>
      <c r="T23" s="168">
        <v>0</v>
      </c>
      <c r="U23" s="168">
        <v>0</v>
      </c>
      <c r="V23" s="168">
        <v>0</v>
      </c>
      <c r="W23" s="168">
        <v>0</v>
      </c>
      <c r="X23" s="168">
        <v>0</v>
      </c>
      <c r="Y23" s="168">
        <v>1</v>
      </c>
      <c r="Z23" s="168">
        <v>0</v>
      </c>
      <c r="AA23" s="168">
        <v>0</v>
      </c>
      <c r="AB23" s="168">
        <v>0</v>
      </c>
      <c r="AC23" s="168">
        <v>0</v>
      </c>
      <c r="AD23" s="168">
        <f t="shared" si="1"/>
        <v>1</v>
      </c>
      <c r="AE23" s="169" t="s">
        <v>71</v>
      </c>
      <c r="AF23" s="169" t="s">
        <v>117</v>
      </c>
      <c r="AG23" s="169" t="s">
        <v>57</v>
      </c>
      <c r="AH23" s="169" t="s">
        <v>1369</v>
      </c>
      <c r="AI23" s="169" t="s">
        <v>1370</v>
      </c>
      <c r="AJ23" s="179">
        <v>4160</v>
      </c>
      <c r="AK23" s="168" t="s">
        <v>60</v>
      </c>
    </row>
    <row r="24" spans="1:37" x14ac:dyDescent="0.35">
      <c r="A24" s="165">
        <v>12101814</v>
      </c>
      <c r="B24" s="165" t="s">
        <v>101</v>
      </c>
      <c r="C24" s="165" t="s">
        <v>101</v>
      </c>
      <c r="D24" s="165" t="s">
        <v>1371</v>
      </c>
      <c r="E24" s="165" t="s">
        <v>1372</v>
      </c>
      <c r="F24" s="165" t="s">
        <v>1373</v>
      </c>
      <c r="G24" s="166">
        <v>843</v>
      </c>
      <c r="H24" s="740">
        <v>41829</v>
      </c>
      <c r="I24" s="167">
        <v>1640</v>
      </c>
      <c r="J24" s="167">
        <v>90714</v>
      </c>
      <c r="K24" s="167">
        <v>1650</v>
      </c>
      <c r="L24" s="167">
        <v>90714</v>
      </c>
      <c r="M24" s="167">
        <v>1750</v>
      </c>
      <c r="N24" s="168" t="s">
        <v>62</v>
      </c>
      <c r="O24" s="171">
        <v>5.0000000000000001E-3</v>
      </c>
      <c r="P24" s="168">
        <v>0</v>
      </c>
      <c r="Q24" s="168">
        <v>0</v>
      </c>
      <c r="R24" s="168">
        <v>0</v>
      </c>
      <c r="S24" s="168">
        <v>0</v>
      </c>
      <c r="T24" s="168">
        <v>0</v>
      </c>
      <c r="U24" s="168">
        <v>0</v>
      </c>
      <c r="V24" s="168">
        <v>0</v>
      </c>
      <c r="W24" s="168">
        <v>0</v>
      </c>
      <c r="X24" s="168">
        <v>0</v>
      </c>
      <c r="Y24" s="168">
        <v>5.0000000000000001E-3</v>
      </c>
      <c r="Z24" s="168">
        <v>0</v>
      </c>
      <c r="AA24" s="168">
        <v>0</v>
      </c>
      <c r="AB24" s="168">
        <v>0</v>
      </c>
      <c r="AC24" s="168">
        <v>0</v>
      </c>
      <c r="AD24" s="168">
        <f t="shared" si="1"/>
        <v>5.0000000000000001E-3</v>
      </c>
      <c r="AE24" s="169" t="s">
        <v>117</v>
      </c>
      <c r="AF24" s="169" t="s">
        <v>117</v>
      </c>
      <c r="AG24" s="169" t="s">
        <v>628</v>
      </c>
      <c r="AH24" s="169" t="s">
        <v>1374</v>
      </c>
      <c r="AI24" s="169" t="s">
        <v>1375</v>
      </c>
      <c r="AJ24" s="179">
        <v>5000</v>
      </c>
      <c r="AK24" s="168" t="s">
        <v>60</v>
      </c>
    </row>
    <row r="25" spans="1:37" x14ac:dyDescent="0.35">
      <c r="A25" s="165">
        <v>13110914</v>
      </c>
      <c r="B25" s="165" t="s">
        <v>83</v>
      </c>
      <c r="C25" s="165" t="s">
        <v>95</v>
      </c>
      <c r="D25" s="165" t="s">
        <v>1376</v>
      </c>
      <c r="E25" s="165" t="s">
        <v>1377</v>
      </c>
      <c r="F25" s="165" t="s">
        <v>1378</v>
      </c>
      <c r="G25" s="166">
        <v>1320</v>
      </c>
      <c r="H25" s="740">
        <v>41831</v>
      </c>
      <c r="I25" s="167">
        <v>1645</v>
      </c>
      <c r="J25" s="167">
        <v>110714</v>
      </c>
      <c r="K25" s="167">
        <v>1655</v>
      </c>
      <c r="L25" s="167">
        <v>110714</v>
      </c>
      <c r="M25" s="167">
        <v>2030</v>
      </c>
      <c r="N25" s="168" t="s">
        <v>1379</v>
      </c>
      <c r="O25" s="171">
        <v>0</v>
      </c>
      <c r="P25" s="168">
        <v>1</v>
      </c>
      <c r="Q25" s="168">
        <v>0</v>
      </c>
      <c r="R25" s="168">
        <v>0</v>
      </c>
      <c r="S25" s="168">
        <v>0</v>
      </c>
      <c r="T25" s="168">
        <v>0</v>
      </c>
      <c r="U25" s="168">
        <v>0</v>
      </c>
      <c r="V25" s="168">
        <v>0</v>
      </c>
      <c r="W25" s="168">
        <v>0</v>
      </c>
      <c r="X25" s="168">
        <v>0</v>
      </c>
      <c r="Y25" s="168">
        <v>0</v>
      </c>
      <c r="Z25" s="168">
        <v>1</v>
      </c>
      <c r="AA25" s="168">
        <v>0</v>
      </c>
      <c r="AB25" s="168">
        <v>0</v>
      </c>
      <c r="AC25" s="168">
        <v>0</v>
      </c>
      <c r="AD25" s="168">
        <f t="shared" si="1"/>
        <v>1</v>
      </c>
      <c r="AE25" s="169" t="s">
        <v>117</v>
      </c>
      <c r="AF25" s="169" t="s">
        <v>117</v>
      </c>
      <c r="AG25" s="169" t="s">
        <v>57</v>
      </c>
      <c r="AH25" s="169" t="s">
        <v>1380</v>
      </c>
      <c r="AI25" s="169" t="s">
        <v>1381</v>
      </c>
      <c r="AJ25" s="179">
        <v>600000</v>
      </c>
      <c r="AK25" s="168" t="s">
        <v>60</v>
      </c>
    </row>
    <row r="26" spans="1:37" x14ac:dyDescent="0.35">
      <c r="A26" s="165">
        <v>14101214</v>
      </c>
      <c r="B26" s="165" t="s">
        <v>83</v>
      </c>
      <c r="C26" s="165" t="s">
        <v>83</v>
      </c>
      <c r="D26" s="165" t="s">
        <v>1382</v>
      </c>
      <c r="E26" s="165" t="s">
        <v>1383</v>
      </c>
      <c r="F26" s="165" t="s">
        <v>1384</v>
      </c>
      <c r="G26" s="166">
        <v>880</v>
      </c>
      <c r="H26" s="740">
        <v>41832</v>
      </c>
      <c r="I26" s="167">
        <v>1820</v>
      </c>
      <c r="J26" s="167">
        <v>120714</v>
      </c>
      <c r="K26" s="167">
        <v>1830</v>
      </c>
      <c r="L26" s="167">
        <v>120714</v>
      </c>
      <c r="M26" s="167">
        <v>1930</v>
      </c>
      <c r="N26" s="168" t="s">
        <v>1379</v>
      </c>
      <c r="O26" s="171">
        <v>0</v>
      </c>
      <c r="P26" s="168">
        <v>0.5</v>
      </c>
      <c r="Q26" s="168">
        <v>0.5</v>
      </c>
      <c r="R26" s="168">
        <v>0</v>
      </c>
      <c r="S26" s="168">
        <v>0</v>
      </c>
      <c r="T26" s="168">
        <v>0</v>
      </c>
      <c r="U26" s="168">
        <v>0</v>
      </c>
      <c r="V26" s="168">
        <v>0</v>
      </c>
      <c r="W26" s="168">
        <v>0</v>
      </c>
      <c r="X26" s="168">
        <v>0</v>
      </c>
      <c r="Y26" s="168">
        <v>0</v>
      </c>
      <c r="Z26" s="168">
        <v>0.5</v>
      </c>
      <c r="AA26" s="168">
        <v>0.5</v>
      </c>
      <c r="AB26" s="168">
        <v>0</v>
      </c>
      <c r="AC26" s="168">
        <v>0</v>
      </c>
      <c r="AD26" s="168">
        <f t="shared" si="1"/>
        <v>1</v>
      </c>
      <c r="AE26" s="169" t="s">
        <v>117</v>
      </c>
      <c r="AF26" s="169" t="s">
        <v>117</v>
      </c>
      <c r="AG26" s="169" t="s">
        <v>57</v>
      </c>
      <c r="AH26" s="169" t="s">
        <v>1380</v>
      </c>
      <c r="AI26" s="169" t="s">
        <v>1385</v>
      </c>
      <c r="AJ26" s="179">
        <v>204500</v>
      </c>
      <c r="AK26" s="168" t="s">
        <v>60</v>
      </c>
    </row>
    <row r="27" spans="1:37" x14ac:dyDescent="0.35">
      <c r="A27" s="165">
        <v>15104014</v>
      </c>
      <c r="B27" s="165" t="s">
        <v>49</v>
      </c>
      <c r="C27" s="165" t="s">
        <v>1386</v>
      </c>
      <c r="D27" s="165" t="s">
        <v>1387</v>
      </c>
      <c r="E27" s="165" t="s">
        <v>1388</v>
      </c>
      <c r="F27" s="165" t="s">
        <v>1389</v>
      </c>
      <c r="G27" s="166">
        <v>869</v>
      </c>
      <c r="H27" s="740">
        <v>41833</v>
      </c>
      <c r="I27" s="167">
        <v>1400</v>
      </c>
      <c r="J27" s="167">
        <v>130714</v>
      </c>
      <c r="K27" s="167">
        <v>1415</v>
      </c>
      <c r="L27" s="167">
        <v>130714</v>
      </c>
      <c r="M27" s="167">
        <v>1700</v>
      </c>
      <c r="N27" s="168" t="s">
        <v>62</v>
      </c>
      <c r="O27" s="171">
        <v>1</v>
      </c>
      <c r="P27" s="168">
        <v>0</v>
      </c>
      <c r="Q27" s="168">
        <v>1</v>
      </c>
      <c r="R27" s="168">
        <v>0</v>
      </c>
      <c r="S27" s="168">
        <v>0</v>
      </c>
      <c r="T27" s="168">
        <v>0</v>
      </c>
      <c r="U27" s="168">
        <v>0</v>
      </c>
      <c r="V27" s="168">
        <v>0</v>
      </c>
      <c r="W27" s="168">
        <v>0</v>
      </c>
      <c r="X27" s="168">
        <v>0</v>
      </c>
      <c r="Y27" s="168">
        <v>1</v>
      </c>
      <c r="Z27" s="168">
        <v>0</v>
      </c>
      <c r="AA27" s="168">
        <v>1</v>
      </c>
      <c r="AB27" s="168">
        <v>0</v>
      </c>
      <c r="AC27" s="168">
        <v>0</v>
      </c>
      <c r="AD27" s="168">
        <f t="shared" si="1"/>
        <v>2</v>
      </c>
      <c r="AE27" s="169" t="s">
        <v>71</v>
      </c>
      <c r="AF27" s="169" t="s">
        <v>117</v>
      </c>
      <c r="AG27" s="169" t="s">
        <v>57</v>
      </c>
      <c r="AH27" s="169" t="s">
        <v>1369</v>
      </c>
      <c r="AI27" s="169" t="s">
        <v>1390</v>
      </c>
      <c r="AJ27" s="179">
        <v>32580</v>
      </c>
      <c r="AK27" s="168" t="s">
        <v>60</v>
      </c>
    </row>
    <row r="28" spans="1:37" x14ac:dyDescent="0.35">
      <c r="A28" s="165">
        <v>16102514</v>
      </c>
      <c r="B28" s="165" t="s">
        <v>1391</v>
      </c>
      <c r="C28" s="165" t="s">
        <v>1392</v>
      </c>
      <c r="D28" s="165" t="s">
        <v>1393</v>
      </c>
      <c r="E28" s="165" t="s">
        <v>1394</v>
      </c>
      <c r="F28" s="165" t="s">
        <v>1395</v>
      </c>
      <c r="G28" s="166">
        <v>590</v>
      </c>
      <c r="H28" s="740">
        <v>41834</v>
      </c>
      <c r="I28" s="167">
        <v>1845</v>
      </c>
      <c r="J28" s="167">
        <v>140714</v>
      </c>
      <c r="K28" s="167">
        <v>1900</v>
      </c>
      <c r="L28" s="167">
        <v>140714</v>
      </c>
      <c r="M28" s="167">
        <v>2130</v>
      </c>
      <c r="N28" s="168" t="s">
        <v>1339</v>
      </c>
      <c r="O28" s="171">
        <v>0</v>
      </c>
      <c r="P28" s="168">
        <v>0</v>
      </c>
      <c r="Q28" s="168">
        <v>1</v>
      </c>
      <c r="R28" s="168">
        <v>0</v>
      </c>
      <c r="S28" s="168">
        <v>0</v>
      </c>
      <c r="T28" s="168">
        <v>0</v>
      </c>
      <c r="U28" s="168">
        <v>0</v>
      </c>
      <c r="V28" s="168">
        <v>0</v>
      </c>
      <c r="W28" s="168">
        <v>0</v>
      </c>
      <c r="X28" s="168">
        <v>0</v>
      </c>
      <c r="Y28" s="168">
        <v>0</v>
      </c>
      <c r="Z28" s="168">
        <v>0</v>
      </c>
      <c r="AA28" s="168">
        <v>1</v>
      </c>
      <c r="AB28" s="168">
        <v>0</v>
      </c>
      <c r="AC28" s="168">
        <v>0</v>
      </c>
      <c r="AD28" s="168">
        <f t="shared" si="1"/>
        <v>1</v>
      </c>
      <c r="AE28" s="169" t="s">
        <v>117</v>
      </c>
      <c r="AF28" s="169" t="s">
        <v>117</v>
      </c>
      <c r="AG28" s="169" t="s">
        <v>57</v>
      </c>
      <c r="AH28" s="169" t="s">
        <v>1396</v>
      </c>
      <c r="AI28" s="169" t="s">
        <v>73</v>
      </c>
      <c r="AJ28" s="179">
        <v>50000</v>
      </c>
      <c r="AK28" s="168" t="s">
        <v>60</v>
      </c>
    </row>
    <row r="29" spans="1:37" x14ac:dyDescent="0.35">
      <c r="A29" s="165">
        <v>17100214</v>
      </c>
      <c r="B29" s="165" t="s">
        <v>49</v>
      </c>
      <c r="C29" s="165" t="s">
        <v>1397</v>
      </c>
      <c r="D29" s="165" t="s">
        <v>1366</v>
      </c>
      <c r="E29" s="165" t="s">
        <v>1398</v>
      </c>
      <c r="F29" s="165" t="s">
        <v>1399</v>
      </c>
      <c r="G29" s="166">
        <v>595</v>
      </c>
      <c r="H29" s="740">
        <v>41836</v>
      </c>
      <c r="I29" s="167">
        <v>1820</v>
      </c>
      <c r="J29" s="167">
        <v>160714</v>
      </c>
      <c r="K29" s="167">
        <v>1830</v>
      </c>
      <c r="L29" s="167">
        <v>160714</v>
      </c>
      <c r="M29" s="167">
        <v>1915</v>
      </c>
      <c r="N29" s="168" t="s">
        <v>62</v>
      </c>
      <c r="O29" s="171">
        <v>0.5</v>
      </c>
      <c r="P29" s="168">
        <v>0</v>
      </c>
      <c r="Q29" s="168">
        <v>0</v>
      </c>
      <c r="R29" s="168">
        <v>0</v>
      </c>
      <c r="S29" s="168">
        <v>0</v>
      </c>
      <c r="T29" s="168">
        <v>0</v>
      </c>
      <c r="U29" s="168">
        <v>0</v>
      </c>
      <c r="V29" s="168">
        <v>0</v>
      </c>
      <c r="W29" s="168">
        <v>0</v>
      </c>
      <c r="X29" s="168">
        <v>0</v>
      </c>
      <c r="Y29" s="168">
        <v>0.5</v>
      </c>
      <c r="Z29" s="168">
        <v>0</v>
      </c>
      <c r="AA29" s="168">
        <v>0</v>
      </c>
      <c r="AB29" s="168">
        <v>0</v>
      </c>
      <c r="AC29" s="168">
        <v>0</v>
      </c>
      <c r="AD29" s="168">
        <f t="shared" si="1"/>
        <v>0.5</v>
      </c>
      <c r="AE29" s="169" t="s">
        <v>117</v>
      </c>
      <c r="AF29" s="169" t="s">
        <v>117</v>
      </c>
      <c r="AG29" s="169" t="s">
        <v>57</v>
      </c>
      <c r="AH29" s="169" t="s">
        <v>1380</v>
      </c>
      <c r="AI29" s="169" t="s">
        <v>1370</v>
      </c>
      <c r="AJ29" s="179">
        <v>100000</v>
      </c>
      <c r="AK29" s="168" t="s">
        <v>60</v>
      </c>
    </row>
    <row r="30" spans="1:37" x14ac:dyDescent="0.35">
      <c r="A30" s="165">
        <v>18100214</v>
      </c>
      <c r="B30" s="165" t="s">
        <v>49</v>
      </c>
      <c r="C30" s="165" t="s">
        <v>1397</v>
      </c>
      <c r="D30" s="165" t="s">
        <v>1382</v>
      </c>
      <c r="E30" s="165" t="s">
        <v>1400</v>
      </c>
      <c r="F30" s="165" t="s">
        <v>1401</v>
      </c>
      <c r="G30" s="166">
        <v>550</v>
      </c>
      <c r="H30" s="740">
        <v>41837</v>
      </c>
      <c r="I30" s="167">
        <v>1315</v>
      </c>
      <c r="J30" s="167">
        <v>170714</v>
      </c>
      <c r="K30" s="167">
        <v>1330</v>
      </c>
      <c r="L30" s="167">
        <v>180714</v>
      </c>
      <c r="M30" s="167">
        <v>500</v>
      </c>
      <c r="N30" s="168" t="s">
        <v>62</v>
      </c>
      <c r="O30" s="171">
        <v>6</v>
      </c>
      <c r="P30" s="168">
        <v>0</v>
      </c>
      <c r="Q30" s="168">
        <v>0</v>
      </c>
      <c r="R30" s="168">
        <v>0</v>
      </c>
      <c r="S30" s="168">
        <v>0</v>
      </c>
      <c r="T30" s="168">
        <v>0</v>
      </c>
      <c r="U30" s="168">
        <v>0</v>
      </c>
      <c r="V30" s="168">
        <v>0</v>
      </c>
      <c r="W30" s="168">
        <v>0</v>
      </c>
      <c r="X30" s="168">
        <v>0</v>
      </c>
      <c r="Y30" s="168">
        <v>6</v>
      </c>
      <c r="Z30" s="168">
        <v>0</v>
      </c>
      <c r="AA30" s="168">
        <v>0</v>
      </c>
      <c r="AB30" s="168">
        <v>0</v>
      </c>
      <c r="AC30" s="168">
        <v>0</v>
      </c>
      <c r="AD30" s="168">
        <f t="shared" si="1"/>
        <v>6</v>
      </c>
      <c r="AE30" s="169" t="s">
        <v>117</v>
      </c>
      <c r="AF30" s="169" t="s">
        <v>117</v>
      </c>
      <c r="AG30" s="169" t="s">
        <v>57</v>
      </c>
      <c r="AH30" s="169" t="s">
        <v>1402</v>
      </c>
      <c r="AI30" s="169" t="s">
        <v>1370</v>
      </c>
      <c r="AJ30" s="179">
        <v>1209000</v>
      </c>
      <c r="AK30" s="168" t="s">
        <v>60</v>
      </c>
    </row>
    <row r="31" spans="1:37" x14ac:dyDescent="0.35">
      <c r="A31" s="165">
        <v>19100514</v>
      </c>
      <c r="B31" s="165" t="s">
        <v>208</v>
      </c>
      <c r="C31" s="165" t="s">
        <v>208</v>
      </c>
      <c r="D31" s="165" t="s">
        <v>1328</v>
      </c>
      <c r="E31" s="165" t="s">
        <v>1403</v>
      </c>
      <c r="F31" s="165" t="s">
        <v>1404</v>
      </c>
      <c r="G31" s="166">
        <v>533</v>
      </c>
      <c r="H31" s="740">
        <v>41837</v>
      </c>
      <c r="I31" s="167">
        <v>1630</v>
      </c>
      <c r="J31" s="167">
        <v>170714</v>
      </c>
      <c r="K31" s="167">
        <v>1645</v>
      </c>
      <c r="L31" s="167">
        <v>170714</v>
      </c>
      <c r="M31" s="167">
        <v>2000</v>
      </c>
      <c r="N31" s="168" t="s">
        <v>165</v>
      </c>
      <c r="O31" s="171">
        <v>2</v>
      </c>
      <c r="P31" s="168">
        <v>0</v>
      </c>
      <c r="Q31" s="168">
        <v>0</v>
      </c>
      <c r="R31" s="168">
        <v>0</v>
      </c>
      <c r="S31" s="168">
        <v>0</v>
      </c>
      <c r="T31" s="168">
        <v>0</v>
      </c>
      <c r="U31" s="168">
        <v>0</v>
      </c>
      <c r="V31" s="168">
        <v>0</v>
      </c>
      <c r="W31" s="168">
        <v>0</v>
      </c>
      <c r="X31" s="168" t="s">
        <v>1405</v>
      </c>
      <c r="Y31" s="168">
        <v>2</v>
      </c>
      <c r="Z31" s="168">
        <v>0</v>
      </c>
      <c r="AA31" s="168">
        <v>0</v>
      </c>
      <c r="AB31" s="168">
        <v>0</v>
      </c>
      <c r="AC31" s="168" t="s">
        <v>1405</v>
      </c>
      <c r="AD31" s="168">
        <f t="shared" si="1"/>
        <v>2</v>
      </c>
      <c r="AE31" s="169" t="s">
        <v>117</v>
      </c>
      <c r="AF31" s="169" t="s">
        <v>117</v>
      </c>
      <c r="AG31" s="169" t="s">
        <v>57</v>
      </c>
      <c r="AH31" s="169" t="s">
        <v>1406</v>
      </c>
      <c r="AI31" s="169" t="s">
        <v>1385</v>
      </c>
      <c r="AJ31" s="179">
        <v>500000</v>
      </c>
      <c r="AK31" s="168" t="s">
        <v>60</v>
      </c>
    </row>
    <row r="32" spans="1:37" x14ac:dyDescent="0.35">
      <c r="A32" s="165">
        <v>20101514</v>
      </c>
      <c r="B32" s="165" t="s">
        <v>1361</v>
      </c>
      <c r="C32" s="165" t="s">
        <v>1361</v>
      </c>
      <c r="D32" s="165" t="s">
        <v>1407</v>
      </c>
      <c r="E32" s="165" t="s">
        <v>1408</v>
      </c>
      <c r="F32" s="165" t="s">
        <v>1409</v>
      </c>
      <c r="G32" s="166">
        <v>915</v>
      </c>
      <c r="H32" s="740">
        <v>41838</v>
      </c>
      <c r="I32" s="167">
        <v>830</v>
      </c>
      <c r="J32" s="167">
        <v>180714</v>
      </c>
      <c r="K32" s="167">
        <v>845</v>
      </c>
      <c r="L32" s="167">
        <v>180714</v>
      </c>
      <c r="M32" s="167">
        <v>1915</v>
      </c>
      <c r="N32" s="168" t="s">
        <v>62</v>
      </c>
      <c r="O32" s="171">
        <v>5</v>
      </c>
      <c r="P32" s="168">
        <v>0</v>
      </c>
      <c r="Q32" s="168">
        <v>0</v>
      </c>
      <c r="R32" s="168">
        <v>0</v>
      </c>
      <c r="S32" s="168">
        <v>0</v>
      </c>
      <c r="T32" s="168">
        <v>0</v>
      </c>
      <c r="U32" s="168">
        <v>0</v>
      </c>
      <c r="V32" s="168">
        <v>0</v>
      </c>
      <c r="W32" s="168">
        <v>0</v>
      </c>
      <c r="X32" s="168">
        <v>0</v>
      </c>
      <c r="Y32" s="168">
        <v>5</v>
      </c>
      <c r="Z32" s="168">
        <v>0</v>
      </c>
      <c r="AA32" s="168">
        <v>0</v>
      </c>
      <c r="AB32" s="168">
        <v>0</v>
      </c>
      <c r="AC32" s="168">
        <v>0</v>
      </c>
      <c r="AD32" s="168">
        <f t="shared" si="1"/>
        <v>5</v>
      </c>
      <c r="AE32" s="169" t="s">
        <v>117</v>
      </c>
      <c r="AF32" s="169" t="s">
        <v>117</v>
      </c>
      <c r="AG32" s="169" t="s">
        <v>72</v>
      </c>
      <c r="AH32" s="169" t="s">
        <v>1410</v>
      </c>
      <c r="AI32" s="169" t="s">
        <v>1411</v>
      </c>
      <c r="AJ32" s="179">
        <v>800000</v>
      </c>
      <c r="AK32" s="168" t="s">
        <v>60</v>
      </c>
    </row>
    <row r="33" spans="1:37" x14ac:dyDescent="0.35">
      <c r="A33" s="180">
        <v>21103514</v>
      </c>
      <c r="B33" s="165" t="s">
        <v>1391</v>
      </c>
      <c r="C33" s="165" t="s">
        <v>1391</v>
      </c>
      <c r="D33" s="165" t="s">
        <v>1393</v>
      </c>
      <c r="E33" s="165" t="s">
        <v>1412</v>
      </c>
      <c r="F33" s="165" t="s">
        <v>1413</v>
      </c>
      <c r="G33" s="166">
        <v>800</v>
      </c>
      <c r="H33" s="740">
        <v>41838</v>
      </c>
      <c r="I33" s="167">
        <v>1415</v>
      </c>
      <c r="J33" s="167">
        <v>180714</v>
      </c>
      <c r="K33" s="167">
        <v>1440</v>
      </c>
      <c r="L33" s="167">
        <v>180714</v>
      </c>
      <c r="M33" s="167">
        <v>1610</v>
      </c>
      <c r="N33" s="168" t="s">
        <v>62</v>
      </c>
      <c r="O33" s="171">
        <v>0.5</v>
      </c>
      <c r="P33" s="168">
        <v>0</v>
      </c>
      <c r="Q33" s="168">
        <v>0</v>
      </c>
      <c r="R33" s="168">
        <v>0</v>
      </c>
      <c r="S33" s="168">
        <v>0</v>
      </c>
      <c r="T33" s="168">
        <v>0</v>
      </c>
      <c r="U33" s="168">
        <v>0</v>
      </c>
      <c r="V33" s="168">
        <v>0</v>
      </c>
      <c r="W33" s="168">
        <v>0</v>
      </c>
      <c r="X33" s="168">
        <v>0</v>
      </c>
      <c r="Y33" s="168">
        <v>0.5</v>
      </c>
      <c r="Z33" s="168">
        <v>0</v>
      </c>
      <c r="AA33" s="168">
        <v>0</v>
      </c>
      <c r="AB33" s="168">
        <v>0</v>
      </c>
      <c r="AC33" s="168">
        <v>0</v>
      </c>
      <c r="AD33" s="168">
        <f t="shared" si="1"/>
        <v>0.5</v>
      </c>
      <c r="AE33" s="169" t="s">
        <v>117</v>
      </c>
      <c r="AF33" s="169" t="s">
        <v>117</v>
      </c>
      <c r="AG33" s="169" t="s">
        <v>72</v>
      </c>
      <c r="AH33" s="169" t="s">
        <v>1414</v>
      </c>
      <c r="AI33" s="169" t="s">
        <v>73</v>
      </c>
      <c r="AJ33" s="179">
        <v>160000</v>
      </c>
      <c r="AK33" s="168" t="s">
        <v>60</v>
      </c>
    </row>
    <row r="34" spans="1:37" x14ac:dyDescent="0.35">
      <c r="A34" s="165">
        <v>22100514</v>
      </c>
      <c r="B34" s="165" t="s">
        <v>208</v>
      </c>
      <c r="C34" s="165" t="s">
        <v>208</v>
      </c>
      <c r="D34" s="165" t="s">
        <v>1328</v>
      </c>
      <c r="E34" s="165" t="s">
        <v>1415</v>
      </c>
      <c r="F34" s="165" t="s">
        <v>1416</v>
      </c>
      <c r="G34" s="166">
        <v>740</v>
      </c>
      <c r="H34" s="740">
        <v>41838</v>
      </c>
      <c r="I34" s="167">
        <v>1745</v>
      </c>
      <c r="J34" s="167">
        <v>180714</v>
      </c>
      <c r="K34" s="167">
        <v>1750</v>
      </c>
      <c r="L34" s="167">
        <v>180714</v>
      </c>
      <c r="M34" s="167">
        <v>1830</v>
      </c>
      <c r="N34" s="168" t="s">
        <v>165</v>
      </c>
      <c r="O34" s="171">
        <v>1</v>
      </c>
      <c r="P34" s="168">
        <v>0</v>
      </c>
      <c r="Q34" s="168">
        <v>0</v>
      </c>
      <c r="R34" s="168">
        <v>0</v>
      </c>
      <c r="S34" s="168">
        <v>0</v>
      </c>
      <c r="T34" s="168">
        <v>0</v>
      </c>
      <c r="U34" s="168">
        <v>0</v>
      </c>
      <c r="V34" s="168">
        <v>0</v>
      </c>
      <c r="W34" s="168">
        <v>0</v>
      </c>
      <c r="X34" s="168">
        <v>0</v>
      </c>
      <c r="Y34" s="168">
        <v>1</v>
      </c>
      <c r="Z34" s="168">
        <v>0</v>
      </c>
      <c r="AA34" s="168">
        <v>0</v>
      </c>
      <c r="AB34" s="168">
        <v>0</v>
      </c>
      <c r="AC34" s="168">
        <v>0</v>
      </c>
      <c r="AD34" s="168">
        <f t="shared" si="1"/>
        <v>1</v>
      </c>
      <c r="AE34" s="169" t="s">
        <v>117</v>
      </c>
      <c r="AF34" s="169" t="s">
        <v>117</v>
      </c>
      <c r="AG34" s="169" t="s">
        <v>57</v>
      </c>
      <c r="AH34" s="169" t="s">
        <v>1417</v>
      </c>
      <c r="AI34" s="169" t="s">
        <v>65</v>
      </c>
      <c r="AJ34" s="179">
        <v>50000</v>
      </c>
      <c r="AK34" s="168" t="s">
        <v>60</v>
      </c>
    </row>
    <row r="35" spans="1:37" x14ac:dyDescent="0.35">
      <c r="A35" s="165">
        <v>23100914</v>
      </c>
      <c r="B35" s="165" t="s">
        <v>83</v>
      </c>
      <c r="C35" s="165" t="s">
        <v>95</v>
      </c>
      <c r="D35" s="165" t="s">
        <v>1376</v>
      </c>
      <c r="E35" s="165" t="s">
        <v>1418</v>
      </c>
      <c r="F35" s="165" t="s">
        <v>1419</v>
      </c>
      <c r="G35" s="166">
        <v>725</v>
      </c>
      <c r="H35" s="740">
        <v>41838</v>
      </c>
      <c r="I35" s="167">
        <v>1730</v>
      </c>
      <c r="J35" s="167">
        <v>180714</v>
      </c>
      <c r="K35" s="167">
        <v>1745</v>
      </c>
      <c r="L35" s="167">
        <v>180714</v>
      </c>
      <c r="M35" s="167">
        <v>1915</v>
      </c>
      <c r="N35" s="168" t="s">
        <v>62</v>
      </c>
      <c r="O35" s="171">
        <v>5.0000000000000001E-3</v>
      </c>
      <c r="P35" s="168">
        <v>0.01</v>
      </c>
      <c r="Q35" s="168">
        <v>0</v>
      </c>
      <c r="R35" s="168">
        <v>0</v>
      </c>
      <c r="S35" s="168">
        <v>0</v>
      </c>
      <c r="T35" s="168">
        <v>0</v>
      </c>
      <c r="U35" s="168">
        <v>0</v>
      </c>
      <c r="V35" s="168">
        <v>0</v>
      </c>
      <c r="W35" s="168">
        <v>0</v>
      </c>
      <c r="X35" s="168">
        <v>0</v>
      </c>
      <c r="Y35" s="168">
        <v>5.0000000000000001E-3</v>
      </c>
      <c r="Z35" s="168">
        <v>0.01</v>
      </c>
      <c r="AA35" s="168">
        <v>0</v>
      </c>
      <c r="AB35" s="168">
        <v>0</v>
      </c>
      <c r="AC35" s="168">
        <v>0</v>
      </c>
      <c r="AD35" s="168">
        <f t="shared" si="1"/>
        <v>1.4999999999999999E-2</v>
      </c>
      <c r="AE35" s="169" t="s">
        <v>117</v>
      </c>
      <c r="AF35" s="169" t="s">
        <v>117</v>
      </c>
      <c r="AG35" s="169" t="s">
        <v>57</v>
      </c>
      <c r="AH35" s="169" t="s">
        <v>1420</v>
      </c>
      <c r="AI35" s="169" t="s">
        <v>1370</v>
      </c>
      <c r="AJ35" s="179">
        <v>206000</v>
      </c>
      <c r="AK35" s="168" t="s">
        <v>60</v>
      </c>
    </row>
    <row r="36" spans="1:37" x14ac:dyDescent="0.35">
      <c r="A36" s="165">
        <v>24100214</v>
      </c>
      <c r="B36" s="165" t="s">
        <v>49</v>
      </c>
      <c r="C36" s="165" t="s">
        <v>1397</v>
      </c>
      <c r="D36" s="165" t="s">
        <v>1382</v>
      </c>
      <c r="E36" s="165" t="s">
        <v>1421</v>
      </c>
      <c r="F36" s="165" t="s">
        <v>1422</v>
      </c>
      <c r="G36" s="166">
        <v>590</v>
      </c>
      <c r="H36" s="740">
        <v>41839</v>
      </c>
      <c r="I36" s="167">
        <v>1205</v>
      </c>
      <c r="J36" s="167">
        <v>190714</v>
      </c>
      <c r="K36" s="167">
        <v>1215</v>
      </c>
      <c r="L36" s="167">
        <v>190714</v>
      </c>
      <c r="M36" s="167">
        <v>2305</v>
      </c>
      <c r="N36" s="168" t="s">
        <v>62</v>
      </c>
      <c r="O36" s="171">
        <v>7</v>
      </c>
      <c r="P36" s="168">
        <v>0</v>
      </c>
      <c r="Q36" s="168">
        <v>0</v>
      </c>
      <c r="R36" s="168">
        <v>0</v>
      </c>
      <c r="S36" s="168">
        <v>0</v>
      </c>
      <c r="T36" s="168">
        <v>0</v>
      </c>
      <c r="U36" s="168">
        <v>0</v>
      </c>
      <c r="V36" s="168">
        <v>0</v>
      </c>
      <c r="W36" s="168">
        <v>0</v>
      </c>
      <c r="X36" s="168">
        <v>0</v>
      </c>
      <c r="Y36" s="168">
        <v>7</v>
      </c>
      <c r="Z36" s="168">
        <v>0</v>
      </c>
      <c r="AA36" s="168">
        <v>0</v>
      </c>
      <c r="AB36" s="168">
        <v>0</v>
      </c>
      <c r="AC36" s="168">
        <v>0</v>
      </c>
      <c r="AD36" s="168">
        <f t="shared" si="1"/>
        <v>7</v>
      </c>
      <c r="AE36" s="169" t="s">
        <v>117</v>
      </c>
      <c r="AF36" s="169" t="s">
        <v>117</v>
      </c>
      <c r="AG36" s="169" t="s">
        <v>57</v>
      </c>
      <c r="AH36" s="169" t="s">
        <v>1420</v>
      </c>
      <c r="AI36" s="169" t="s">
        <v>1370</v>
      </c>
      <c r="AJ36" s="179">
        <v>1401050</v>
      </c>
      <c r="AK36" s="168" t="s">
        <v>60</v>
      </c>
    </row>
    <row r="37" spans="1:37" x14ac:dyDescent="0.35">
      <c r="A37" s="165">
        <v>25104414</v>
      </c>
      <c r="B37" s="181" t="s">
        <v>1423</v>
      </c>
      <c r="C37" s="165" t="s">
        <v>1424</v>
      </c>
      <c r="D37" s="165" t="s">
        <v>1425</v>
      </c>
      <c r="E37" s="165" t="s">
        <v>1426</v>
      </c>
      <c r="F37" s="165" t="s">
        <v>1427</v>
      </c>
      <c r="G37" s="166">
        <v>730</v>
      </c>
      <c r="H37" s="740">
        <v>41839</v>
      </c>
      <c r="I37" s="167">
        <v>1418</v>
      </c>
      <c r="J37" s="167">
        <v>190714</v>
      </c>
      <c r="K37" s="167">
        <v>1500</v>
      </c>
      <c r="L37" s="167">
        <v>190714</v>
      </c>
      <c r="M37" s="167">
        <v>1810</v>
      </c>
      <c r="N37" s="168" t="s">
        <v>62</v>
      </c>
      <c r="O37" s="171">
        <v>0.5</v>
      </c>
      <c r="P37" s="171">
        <v>0.5</v>
      </c>
      <c r="Q37" s="171">
        <v>0.5</v>
      </c>
      <c r="R37" s="168">
        <v>0</v>
      </c>
      <c r="S37" s="168">
        <v>0</v>
      </c>
      <c r="T37" s="168">
        <v>0</v>
      </c>
      <c r="U37" s="168">
        <v>0</v>
      </c>
      <c r="V37" s="168">
        <v>0</v>
      </c>
      <c r="W37" s="168">
        <v>0</v>
      </c>
      <c r="X37" s="168">
        <v>0</v>
      </c>
      <c r="Y37" s="168">
        <v>0.5</v>
      </c>
      <c r="Z37" s="168">
        <v>0.5</v>
      </c>
      <c r="AA37" s="168">
        <v>0.5</v>
      </c>
      <c r="AB37" s="168">
        <v>0</v>
      </c>
      <c r="AC37" s="168">
        <v>0</v>
      </c>
      <c r="AD37" s="168">
        <f t="shared" si="1"/>
        <v>1.5</v>
      </c>
      <c r="AE37" s="169" t="s">
        <v>117</v>
      </c>
      <c r="AF37" s="169" t="s">
        <v>117</v>
      </c>
      <c r="AG37" s="169" t="s">
        <v>72</v>
      </c>
      <c r="AH37" s="169" t="s">
        <v>1428</v>
      </c>
      <c r="AI37" s="169" t="s">
        <v>73</v>
      </c>
      <c r="AJ37" s="179">
        <v>200000</v>
      </c>
      <c r="AK37" s="168" t="s">
        <v>60</v>
      </c>
    </row>
    <row r="38" spans="1:37" x14ac:dyDescent="0.35">
      <c r="A38" s="165">
        <v>26103414</v>
      </c>
      <c r="B38" s="165" t="s">
        <v>198</v>
      </c>
      <c r="C38" s="165" t="s">
        <v>1429</v>
      </c>
      <c r="D38" s="165" t="s">
        <v>1430</v>
      </c>
      <c r="E38" s="165" t="s">
        <v>1431</v>
      </c>
      <c r="F38" s="165" t="s">
        <v>1432</v>
      </c>
      <c r="G38" s="166">
        <v>560</v>
      </c>
      <c r="H38" s="740">
        <v>41839</v>
      </c>
      <c r="I38" s="167">
        <v>1530</v>
      </c>
      <c r="J38" s="167">
        <v>190714</v>
      </c>
      <c r="K38" s="167">
        <v>1545</v>
      </c>
      <c r="L38" s="167">
        <v>190714</v>
      </c>
      <c r="M38" s="167">
        <v>2045</v>
      </c>
      <c r="N38" s="168" t="s">
        <v>62</v>
      </c>
      <c r="O38" s="171">
        <v>0.5</v>
      </c>
      <c r="P38" s="171">
        <v>0.5</v>
      </c>
      <c r="Q38" s="168">
        <v>0</v>
      </c>
      <c r="R38" s="168">
        <v>0</v>
      </c>
      <c r="S38" s="168">
        <v>0</v>
      </c>
      <c r="T38" s="168">
        <v>0</v>
      </c>
      <c r="U38" s="168">
        <v>0</v>
      </c>
      <c r="V38" s="168">
        <v>0</v>
      </c>
      <c r="W38" s="168">
        <v>0</v>
      </c>
      <c r="X38" s="168" t="s">
        <v>1433</v>
      </c>
      <c r="Y38" s="168">
        <v>0.5</v>
      </c>
      <c r="Z38" s="168">
        <v>0.5</v>
      </c>
      <c r="AA38" s="168">
        <v>0</v>
      </c>
      <c r="AB38" s="168">
        <v>0</v>
      </c>
      <c r="AC38" s="168" t="s">
        <v>1433</v>
      </c>
      <c r="AD38" s="168">
        <f t="shared" si="1"/>
        <v>1</v>
      </c>
      <c r="AE38" s="169" t="s">
        <v>117</v>
      </c>
      <c r="AF38" s="169" t="s">
        <v>117</v>
      </c>
      <c r="AG38" s="169" t="s">
        <v>72</v>
      </c>
      <c r="AH38" s="169" t="s">
        <v>1434</v>
      </c>
      <c r="AI38" s="169" t="s">
        <v>1435</v>
      </c>
      <c r="AJ38" s="179">
        <v>50000</v>
      </c>
      <c r="AK38" s="168" t="s">
        <v>60</v>
      </c>
    </row>
    <row r="39" spans="1:37" x14ac:dyDescent="0.35">
      <c r="A39" s="165">
        <v>27103114</v>
      </c>
      <c r="B39" s="182" t="s">
        <v>68</v>
      </c>
      <c r="C39" s="165" t="s">
        <v>157</v>
      </c>
      <c r="D39" s="165" t="s">
        <v>1436</v>
      </c>
      <c r="E39" s="165" t="s">
        <v>1437</v>
      </c>
      <c r="F39" s="165" t="s">
        <v>1438</v>
      </c>
      <c r="G39" s="166">
        <v>1308</v>
      </c>
      <c r="H39" s="740">
        <v>41839</v>
      </c>
      <c r="I39" s="167">
        <v>1600</v>
      </c>
      <c r="J39" s="167">
        <v>190714</v>
      </c>
      <c r="K39" s="167">
        <v>1610</v>
      </c>
      <c r="L39" s="167">
        <v>190714</v>
      </c>
      <c r="M39" s="167">
        <v>1920</v>
      </c>
      <c r="N39" s="168" t="s">
        <v>1379</v>
      </c>
      <c r="O39" s="171">
        <v>0</v>
      </c>
      <c r="P39" s="168">
        <v>2</v>
      </c>
      <c r="Q39" s="168">
        <v>0</v>
      </c>
      <c r="R39" s="168">
        <v>0</v>
      </c>
      <c r="S39" s="168">
        <v>0</v>
      </c>
      <c r="T39" s="168">
        <v>0</v>
      </c>
      <c r="U39" s="168">
        <v>0</v>
      </c>
      <c r="V39" s="168">
        <v>0</v>
      </c>
      <c r="W39" s="168">
        <v>0</v>
      </c>
      <c r="X39" s="168">
        <v>0</v>
      </c>
      <c r="Y39" s="168">
        <v>0</v>
      </c>
      <c r="Z39" s="168">
        <v>2</v>
      </c>
      <c r="AA39" s="168">
        <v>0</v>
      </c>
      <c r="AB39" s="168">
        <v>0</v>
      </c>
      <c r="AC39" s="168">
        <v>0</v>
      </c>
      <c r="AD39" s="168">
        <f t="shared" si="1"/>
        <v>2</v>
      </c>
      <c r="AE39" s="169" t="s">
        <v>117</v>
      </c>
      <c r="AF39" s="169" t="s">
        <v>117</v>
      </c>
      <c r="AG39" s="169" t="s">
        <v>628</v>
      </c>
      <c r="AH39" s="169" t="s">
        <v>1439</v>
      </c>
      <c r="AI39" s="169" t="s">
        <v>73</v>
      </c>
      <c r="AJ39" s="179">
        <v>25000</v>
      </c>
      <c r="AK39" s="168" t="s">
        <v>60</v>
      </c>
    </row>
    <row r="40" spans="1:37" x14ac:dyDescent="0.35">
      <c r="A40" s="165">
        <v>28101114</v>
      </c>
      <c r="B40" s="165" t="s">
        <v>101</v>
      </c>
      <c r="C40" s="165" t="s">
        <v>186</v>
      </c>
      <c r="D40" s="165" t="s">
        <v>1371</v>
      </c>
      <c r="E40" s="165" t="s">
        <v>1440</v>
      </c>
      <c r="F40" s="165" t="s">
        <v>1441</v>
      </c>
      <c r="G40" s="166">
        <v>910</v>
      </c>
      <c r="H40" s="740">
        <v>41839</v>
      </c>
      <c r="I40" s="167">
        <v>1720</v>
      </c>
      <c r="J40" s="167">
        <v>190714</v>
      </c>
      <c r="K40" s="167">
        <v>1735</v>
      </c>
      <c r="L40" s="167">
        <v>200714</v>
      </c>
      <c r="M40" s="183">
        <v>900</v>
      </c>
      <c r="N40" s="168" t="s">
        <v>1379</v>
      </c>
      <c r="O40" s="171">
        <v>0</v>
      </c>
      <c r="P40" s="168">
        <v>1.8</v>
      </c>
      <c r="Q40" s="168">
        <v>0</v>
      </c>
      <c r="R40" s="168">
        <v>0</v>
      </c>
      <c r="S40" s="168">
        <v>0</v>
      </c>
      <c r="T40" s="168">
        <v>0</v>
      </c>
      <c r="U40" s="168">
        <v>0</v>
      </c>
      <c r="V40" s="168">
        <v>0</v>
      </c>
      <c r="W40" s="168">
        <v>0</v>
      </c>
      <c r="X40" s="168">
        <v>0</v>
      </c>
      <c r="Y40" s="168">
        <v>0</v>
      </c>
      <c r="Z40" s="168">
        <v>1.8</v>
      </c>
      <c r="AA40" s="168">
        <v>0</v>
      </c>
      <c r="AB40" s="168">
        <v>0</v>
      </c>
      <c r="AC40" s="168">
        <v>0</v>
      </c>
      <c r="AD40" s="168">
        <f t="shared" si="1"/>
        <v>1.8</v>
      </c>
      <c r="AE40" s="169" t="s">
        <v>117</v>
      </c>
      <c r="AF40" s="169" t="s">
        <v>117</v>
      </c>
      <c r="AG40" s="169" t="s">
        <v>72</v>
      </c>
      <c r="AH40" s="169" t="s">
        <v>1442</v>
      </c>
      <c r="AI40" s="169" t="s">
        <v>73</v>
      </c>
      <c r="AJ40" s="179">
        <v>70000</v>
      </c>
      <c r="AK40" s="168" t="s">
        <v>60</v>
      </c>
    </row>
    <row r="41" spans="1:37" x14ac:dyDescent="0.35">
      <c r="A41" s="165">
        <v>29100114</v>
      </c>
      <c r="B41" s="165" t="s">
        <v>145</v>
      </c>
      <c r="C41" s="165" t="s">
        <v>145</v>
      </c>
      <c r="D41" s="165" t="s">
        <v>1336</v>
      </c>
      <c r="E41" s="165" t="s">
        <v>1443</v>
      </c>
      <c r="F41" s="165" t="s">
        <v>1444</v>
      </c>
      <c r="G41" s="166">
        <v>715</v>
      </c>
      <c r="H41" s="740">
        <v>41839</v>
      </c>
      <c r="I41" s="167">
        <v>2130</v>
      </c>
      <c r="J41" s="167">
        <v>190714</v>
      </c>
      <c r="K41" s="167">
        <v>2145</v>
      </c>
      <c r="L41" s="167">
        <v>190714</v>
      </c>
      <c r="M41" s="167">
        <v>2230</v>
      </c>
      <c r="N41" s="168" t="s">
        <v>1339</v>
      </c>
      <c r="O41" s="171">
        <v>0</v>
      </c>
      <c r="P41" s="168">
        <v>0</v>
      </c>
      <c r="Q41" s="168">
        <v>0.01</v>
      </c>
      <c r="R41" s="168">
        <v>0</v>
      </c>
      <c r="S41" s="168">
        <v>0</v>
      </c>
      <c r="T41" s="168">
        <v>0</v>
      </c>
      <c r="U41" s="168">
        <v>0</v>
      </c>
      <c r="V41" s="168">
        <v>0</v>
      </c>
      <c r="W41" s="168">
        <v>0</v>
      </c>
      <c r="X41" s="168">
        <v>0</v>
      </c>
      <c r="Y41" s="168">
        <v>0</v>
      </c>
      <c r="Z41" s="168">
        <v>0</v>
      </c>
      <c r="AA41" s="168">
        <v>0.01</v>
      </c>
      <c r="AB41" s="168">
        <v>0</v>
      </c>
      <c r="AC41" s="168">
        <v>0</v>
      </c>
      <c r="AD41" s="168">
        <f t="shared" si="1"/>
        <v>0.01</v>
      </c>
      <c r="AE41" s="169" t="s">
        <v>117</v>
      </c>
      <c r="AF41" s="169" t="s">
        <v>117</v>
      </c>
      <c r="AG41" s="169" t="s">
        <v>628</v>
      </c>
      <c r="AH41" s="169" t="s">
        <v>1420</v>
      </c>
      <c r="AI41" s="169" t="s">
        <v>1445</v>
      </c>
      <c r="AJ41" s="179">
        <v>200900</v>
      </c>
      <c r="AK41" s="168" t="s">
        <v>60</v>
      </c>
    </row>
    <row r="42" spans="1:37" x14ac:dyDescent="0.35">
      <c r="A42" s="165">
        <v>30100914</v>
      </c>
      <c r="B42" s="165" t="s">
        <v>83</v>
      </c>
      <c r="C42" s="165" t="s">
        <v>95</v>
      </c>
      <c r="D42" s="165" t="s">
        <v>1376</v>
      </c>
      <c r="E42" s="165" t="s">
        <v>1446</v>
      </c>
      <c r="F42" s="165" t="s">
        <v>1447</v>
      </c>
      <c r="G42" s="166">
        <v>840</v>
      </c>
      <c r="H42" s="740">
        <v>41840</v>
      </c>
      <c r="I42" s="167">
        <v>1700</v>
      </c>
      <c r="J42" s="167">
        <v>200714</v>
      </c>
      <c r="K42" s="167">
        <v>1715</v>
      </c>
      <c r="L42" s="167">
        <v>210714</v>
      </c>
      <c r="M42" s="184">
        <v>0</v>
      </c>
      <c r="N42" s="168" t="s">
        <v>1379</v>
      </c>
      <c r="O42" s="171">
        <v>1</v>
      </c>
      <c r="P42" s="168">
        <v>4</v>
      </c>
      <c r="Q42" s="168">
        <v>0</v>
      </c>
      <c r="R42" s="168">
        <v>0</v>
      </c>
      <c r="S42" s="168">
        <v>0</v>
      </c>
      <c r="T42" s="168">
        <v>0</v>
      </c>
      <c r="U42" s="168">
        <v>0</v>
      </c>
      <c r="V42" s="168">
        <v>0</v>
      </c>
      <c r="W42" s="168">
        <v>0</v>
      </c>
      <c r="X42" s="168">
        <v>0</v>
      </c>
      <c r="Y42" s="168">
        <v>1</v>
      </c>
      <c r="Z42" s="168">
        <v>4</v>
      </c>
      <c r="AA42" s="168">
        <v>0</v>
      </c>
      <c r="AB42" s="168">
        <v>0</v>
      </c>
      <c r="AC42" s="168">
        <v>0</v>
      </c>
      <c r="AD42" s="168">
        <f t="shared" si="1"/>
        <v>5</v>
      </c>
      <c r="AE42" s="169" t="s">
        <v>117</v>
      </c>
      <c r="AF42" s="169" t="s">
        <v>117</v>
      </c>
      <c r="AG42" s="169" t="s">
        <v>57</v>
      </c>
      <c r="AH42" s="169" t="s">
        <v>1360</v>
      </c>
      <c r="AI42" s="169" t="s">
        <v>1370</v>
      </c>
      <c r="AJ42" s="179">
        <v>846400</v>
      </c>
      <c r="AK42" s="168" t="s">
        <v>60</v>
      </c>
    </row>
    <row r="43" spans="1:37" x14ac:dyDescent="0.35">
      <c r="A43" s="165">
        <v>31100914</v>
      </c>
      <c r="B43" s="165" t="s">
        <v>83</v>
      </c>
      <c r="C43" s="165" t="s">
        <v>95</v>
      </c>
      <c r="D43" s="165" t="s">
        <v>1376</v>
      </c>
      <c r="E43" s="165" t="s">
        <v>1448</v>
      </c>
      <c r="F43" s="165" t="s">
        <v>1449</v>
      </c>
      <c r="G43" s="166">
        <v>975</v>
      </c>
      <c r="H43" s="740">
        <v>41841</v>
      </c>
      <c r="I43" s="167">
        <v>1435</v>
      </c>
      <c r="J43" s="167">
        <v>210714</v>
      </c>
      <c r="K43" s="167">
        <v>1455</v>
      </c>
      <c r="L43" s="167">
        <v>210714</v>
      </c>
      <c r="M43" s="167">
        <v>2230</v>
      </c>
      <c r="N43" s="168" t="s">
        <v>1339</v>
      </c>
      <c r="O43" s="171">
        <v>0</v>
      </c>
      <c r="P43" s="168">
        <v>1</v>
      </c>
      <c r="Q43" s="168">
        <v>2</v>
      </c>
      <c r="R43" s="168">
        <v>0</v>
      </c>
      <c r="S43" s="168">
        <v>0</v>
      </c>
      <c r="T43" s="168">
        <v>0</v>
      </c>
      <c r="U43" s="168">
        <v>0</v>
      </c>
      <c r="V43" s="168">
        <v>0</v>
      </c>
      <c r="W43" s="168">
        <v>0</v>
      </c>
      <c r="X43" s="168">
        <v>0</v>
      </c>
      <c r="Y43" s="168">
        <v>0</v>
      </c>
      <c r="Z43" s="168">
        <v>1</v>
      </c>
      <c r="AA43" s="168">
        <v>2</v>
      </c>
      <c r="AB43" s="168">
        <v>0</v>
      </c>
      <c r="AC43" s="168">
        <v>0</v>
      </c>
      <c r="AD43" s="168">
        <f t="shared" si="1"/>
        <v>3</v>
      </c>
      <c r="AE43" s="169" t="s">
        <v>117</v>
      </c>
      <c r="AF43" s="169" t="s">
        <v>117</v>
      </c>
      <c r="AG43" s="169" t="s">
        <v>57</v>
      </c>
      <c r="AH43" s="169" t="s">
        <v>1360</v>
      </c>
      <c r="AI43" s="169" t="s">
        <v>1370</v>
      </c>
      <c r="AJ43" s="179">
        <v>403000</v>
      </c>
      <c r="AK43" s="168" t="s">
        <v>60</v>
      </c>
    </row>
    <row r="44" spans="1:37" x14ac:dyDescent="0.35">
      <c r="A44" s="165">
        <v>32101214</v>
      </c>
      <c r="B44" s="165" t="s">
        <v>83</v>
      </c>
      <c r="C44" s="165" t="s">
        <v>83</v>
      </c>
      <c r="D44" s="165" t="s">
        <v>1382</v>
      </c>
      <c r="E44" s="165" t="s">
        <v>1450</v>
      </c>
      <c r="F44" s="165" t="s">
        <v>1451</v>
      </c>
      <c r="G44" s="166">
        <v>599</v>
      </c>
      <c r="H44" s="740">
        <v>41842</v>
      </c>
      <c r="I44" s="167">
        <v>1510</v>
      </c>
      <c r="J44" s="167">
        <v>220714</v>
      </c>
      <c r="K44" s="167">
        <v>1525</v>
      </c>
      <c r="L44" s="167">
        <v>220714</v>
      </c>
      <c r="M44" s="167">
        <v>1830</v>
      </c>
      <c r="N44" s="168" t="s">
        <v>1379</v>
      </c>
      <c r="O44" s="171">
        <v>0</v>
      </c>
      <c r="P44" s="168">
        <v>1</v>
      </c>
      <c r="Q44" s="168">
        <v>0</v>
      </c>
      <c r="R44" s="168">
        <v>0</v>
      </c>
      <c r="S44" s="168">
        <v>0</v>
      </c>
      <c r="T44" s="168">
        <v>0</v>
      </c>
      <c r="U44" s="168">
        <v>0</v>
      </c>
      <c r="V44" s="168">
        <v>0</v>
      </c>
      <c r="W44" s="168">
        <v>0</v>
      </c>
      <c r="X44" s="168">
        <v>0</v>
      </c>
      <c r="Y44" s="168">
        <v>0</v>
      </c>
      <c r="Z44" s="168">
        <v>1</v>
      </c>
      <c r="AA44" s="168">
        <v>0</v>
      </c>
      <c r="AB44" s="168">
        <v>0</v>
      </c>
      <c r="AC44" s="168">
        <v>0</v>
      </c>
      <c r="AD44" s="168">
        <f t="shared" si="1"/>
        <v>1</v>
      </c>
      <c r="AE44" s="169" t="s">
        <v>117</v>
      </c>
      <c r="AF44" s="169" t="s">
        <v>117</v>
      </c>
      <c r="AG44" s="169" t="s">
        <v>57</v>
      </c>
      <c r="AH44" s="169" t="s">
        <v>1360</v>
      </c>
      <c r="AI44" s="169" t="s">
        <v>1370</v>
      </c>
      <c r="AJ44" s="179">
        <v>210400</v>
      </c>
      <c r="AK44" s="168" t="s">
        <v>60</v>
      </c>
    </row>
    <row r="45" spans="1:37" x14ac:dyDescent="0.35">
      <c r="A45" s="165">
        <v>33100414</v>
      </c>
      <c r="B45" s="165" t="s">
        <v>208</v>
      </c>
      <c r="C45" s="165" t="s">
        <v>208</v>
      </c>
      <c r="D45" s="165" t="s">
        <v>1452</v>
      </c>
      <c r="E45" s="181" t="s">
        <v>1453</v>
      </c>
      <c r="F45" s="181" t="s">
        <v>1454</v>
      </c>
      <c r="G45" s="185">
        <v>440</v>
      </c>
      <c r="H45" s="740">
        <v>41842</v>
      </c>
      <c r="I45" s="167">
        <v>1620</v>
      </c>
      <c r="J45" s="167">
        <v>220714</v>
      </c>
      <c r="K45" s="167">
        <v>1635</v>
      </c>
      <c r="L45" s="167">
        <v>220714</v>
      </c>
      <c r="M45" s="167">
        <v>1820</v>
      </c>
      <c r="N45" s="168" t="s">
        <v>62</v>
      </c>
      <c r="O45" s="171">
        <v>0</v>
      </c>
      <c r="P45" s="168">
        <v>0</v>
      </c>
      <c r="Q45" s="168">
        <v>0</v>
      </c>
      <c r="R45" s="168">
        <v>0</v>
      </c>
      <c r="S45" s="168">
        <v>0</v>
      </c>
      <c r="T45" s="168">
        <v>0.5</v>
      </c>
      <c r="U45" s="168">
        <v>0</v>
      </c>
      <c r="V45" s="168">
        <v>0</v>
      </c>
      <c r="W45" s="168">
        <v>0</v>
      </c>
      <c r="X45" s="168" t="s">
        <v>1455</v>
      </c>
      <c r="Y45" s="168">
        <v>0.5</v>
      </c>
      <c r="Z45" s="168">
        <v>0</v>
      </c>
      <c r="AA45" s="168">
        <v>0</v>
      </c>
      <c r="AB45" s="168">
        <v>0</v>
      </c>
      <c r="AC45" s="168" t="s">
        <v>1455</v>
      </c>
      <c r="AD45" s="168">
        <f t="shared" si="1"/>
        <v>0.5</v>
      </c>
      <c r="AE45" s="169" t="s">
        <v>117</v>
      </c>
      <c r="AF45" s="169" t="s">
        <v>117</v>
      </c>
      <c r="AG45" s="169" t="s">
        <v>57</v>
      </c>
      <c r="AH45" s="169" t="s">
        <v>1417</v>
      </c>
      <c r="AI45" s="169" t="s">
        <v>73</v>
      </c>
      <c r="AJ45" s="179">
        <v>50000</v>
      </c>
      <c r="AK45" s="168" t="s">
        <v>60</v>
      </c>
    </row>
    <row r="46" spans="1:37" x14ac:dyDescent="0.35">
      <c r="A46" s="165">
        <v>34101214</v>
      </c>
      <c r="B46" s="165" t="s">
        <v>83</v>
      </c>
      <c r="C46" s="165" t="s">
        <v>83</v>
      </c>
      <c r="D46" s="165" t="s">
        <v>1382</v>
      </c>
      <c r="E46" s="165" t="s">
        <v>1456</v>
      </c>
      <c r="F46" s="165" t="s">
        <v>1457</v>
      </c>
      <c r="G46" s="166">
        <v>570</v>
      </c>
      <c r="H46" s="740">
        <v>41842</v>
      </c>
      <c r="I46" s="167">
        <v>1855</v>
      </c>
      <c r="J46" s="167">
        <v>220714</v>
      </c>
      <c r="K46" s="167">
        <v>1905</v>
      </c>
      <c r="L46" s="167">
        <v>220714</v>
      </c>
      <c r="M46" s="167">
        <v>1955</v>
      </c>
      <c r="N46" s="168" t="s">
        <v>62</v>
      </c>
      <c r="O46" s="171">
        <v>0.02</v>
      </c>
      <c r="P46" s="168">
        <v>0</v>
      </c>
      <c r="Q46" s="168">
        <v>0</v>
      </c>
      <c r="R46" s="168">
        <v>0</v>
      </c>
      <c r="S46" s="168">
        <v>0</v>
      </c>
      <c r="T46" s="168">
        <v>0</v>
      </c>
      <c r="U46" s="168">
        <v>0</v>
      </c>
      <c r="V46" s="168">
        <v>0</v>
      </c>
      <c r="W46" s="168">
        <v>0</v>
      </c>
      <c r="X46" s="168">
        <v>0</v>
      </c>
      <c r="Y46" s="168">
        <v>0.02</v>
      </c>
      <c r="Z46" s="168">
        <v>0</v>
      </c>
      <c r="AA46" s="168">
        <v>0</v>
      </c>
      <c r="AB46" s="168">
        <v>0</v>
      </c>
      <c r="AC46" s="168">
        <v>0</v>
      </c>
      <c r="AD46" s="168">
        <f t="shared" si="1"/>
        <v>0.02</v>
      </c>
      <c r="AE46" s="169" t="s">
        <v>117</v>
      </c>
      <c r="AF46" s="169" t="s">
        <v>117</v>
      </c>
      <c r="AG46" s="169" t="s">
        <v>57</v>
      </c>
      <c r="AH46" s="169" t="s">
        <v>1360</v>
      </c>
      <c r="AI46" s="169" t="s">
        <v>1370</v>
      </c>
      <c r="AJ46" s="179">
        <v>4000</v>
      </c>
      <c r="AK46" s="168" t="s">
        <v>60</v>
      </c>
    </row>
    <row r="47" spans="1:37" x14ac:dyDescent="0.35">
      <c r="A47" s="165">
        <v>35100514</v>
      </c>
      <c r="B47" s="165" t="s">
        <v>208</v>
      </c>
      <c r="C47" s="165" t="s">
        <v>208</v>
      </c>
      <c r="D47" s="165" t="s">
        <v>1458</v>
      </c>
      <c r="E47" s="181" t="s">
        <v>1459</v>
      </c>
      <c r="F47" s="181" t="s">
        <v>1454</v>
      </c>
      <c r="G47" s="166">
        <v>460</v>
      </c>
      <c r="H47" s="740">
        <v>41843</v>
      </c>
      <c r="I47" s="167">
        <v>1140</v>
      </c>
      <c r="J47" s="167">
        <v>230714</v>
      </c>
      <c r="K47" s="167">
        <v>1155</v>
      </c>
      <c r="L47" s="167">
        <v>230714</v>
      </c>
      <c r="M47" s="167">
        <v>1515</v>
      </c>
      <c r="N47" s="168" t="s">
        <v>62</v>
      </c>
      <c r="O47" s="171">
        <v>0</v>
      </c>
      <c r="P47" s="168">
        <v>0</v>
      </c>
      <c r="Q47" s="168">
        <v>0</v>
      </c>
      <c r="R47" s="168">
        <v>0</v>
      </c>
      <c r="S47" s="168">
        <v>0</v>
      </c>
      <c r="T47" s="168">
        <v>1</v>
      </c>
      <c r="U47" s="168">
        <v>0</v>
      </c>
      <c r="V47" s="168">
        <v>0.5</v>
      </c>
      <c r="W47" s="168">
        <v>0</v>
      </c>
      <c r="X47" s="168">
        <v>0</v>
      </c>
      <c r="Y47" s="168">
        <v>1.5</v>
      </c>
      <c r="Z47" s="168">
        <v>0</v>
      </c>
      <c r="AA47" s="168">
        <v>0</v>
      </c>
      <c r="AB47" s="168">
        <v>0</v>
      </c>
      <c r="AC47" s="168">
        <v>0</v>
      </c>
      <c r="AD47" s="168">
        <f t="shared" si="1"/>
        <v>1.5</v>
      </c>
      <c r="AE47" s="169" t="s">
        <v>117</v>
      </c>
      <c r="AF47" s="169" t="s">
        <v>117</v>
      </c>
      <c r="AG47" s="169" t="s">
        <v>57</v>
      </c>
      <c r="AH47" s="169" t="s">
        <v>1460</v>
      </c>
      <c r="AI47" s="169" t="s">
        <v>73</v>
      </c>
      <c r="AJ47" s="179">
        <v>105000</v>
      </c>
      <c r="AK47" s="168" t="s">
        <v>60</v>
      </c>
    </row>
    <row r="48" spans="1:37" x14ac:dyDescent="0.35">
      <c r="A48" s="165">
        <v>36101214</v>
      </c>
      <c r="B48" s="165" t="s">
        <v>83</v>
      </c>
      <c r="C48" s="165" t="s">
        <v>83</v>
      </c>
      <c r="D48" s="165" t="s">
        <v>1382</v>
      </c>
      <c r="E48" s="165" t="s">
        <v>1461</v>
      </c>
      <c r="F48" s="165" t="s">
        <v>1462</v>
      </c>
      <c r="G48" s="166">
        <v>635</v>
      </c>
      <c r="H48" s="740">
        <v>41843</v>
      </c>
      <c r="I48" s="167">
        <v>1225</v>
      </c>
      <c r="J48" s="167">
        <v>230714</v>
      </c>
      <c r="K48" s="167">
        <v>1240</v>
      </c>
      <c r="L48" s="167">
        <v>230714</v>
      </c>
      <c r="M48" s="167">
        <v>1500</v>
      </c>
      <c r="N48" s="168" t="s">
        <v>62</v>
      </c>
      <c r="O48" s="171">
        <v>1</v>
      </c>
      <c r="P48" s="168">
        <v>0</v>
      </c>
      <c r="Q48" s="168">
        <v>1</v>
      </c>
      <c r="R48" s="168">
        <v>0</v>
      </c>
      <c r="S48" s="168">
        <v>0</v>
      </c>
      <c r="T48" s="168">
        <v>0</v>
      </c>
      <c r="U48" s="168">
        <v>0</v>
      </c>
      <c r="V48" s="168">
        <v>0</v>
      </c>
      <c r="W48" s="168"/>
      <c r="X48" s="168">
        <v>0</v>
      </c>
      <c r="Y48" s="168">
        <v>1</v>
      </c>
      <c r="Z48" s="168">
        <v>0</v>
      </c>
      <c r="AA48" s="168">
        <v>1</v>
      </c>
      <c r="AB48" s="168">
        <v>0</v>
      </c>
      <c r="AC48" s="168">
        <v>0</v>
      </c>
      <c r="AD48" s="168">
        <f t="shared" si="1"/>
        <v>2</v>
      </c>
      <c r="AE48" s="169" t="s">
        <v>117</v>
      </c>
      <c r="AF48" s="169" t="s">
        <v>117</v>
      </c>
      <c r="AG48" s="169" t="s">
        <v>57</v>
      </c>
      <c r="AH48" s="169" t="s">
        <v>1360</v>
      </c>
      <c r="AI48" s="169" t="s">
        <v>1370</v>
      </c>
      <c r="AJ48" s="179">
        <v>410500</v>
      </c>
      <c r="AK48" s="168" t="s">
        <v>60</v>
      </c>
    </row>
    <row r="49" spans="1:37" x14ac:dyDescent="0.35">
      <c r="A49" s="165">
        <v>37100914</v>
      </c>
      <c r="B49" s="165" t="s">
        <v>83</v>
      </c>
      <c r="C49" s="165" t="s">
        <v>95</v>
      </c>
      <c r="D49" s="165" t="s">
        <v>1376</v>
      </c>
      <c r="E49" s="181" t="s">
        <v>1463</v>
      </c>
      <c r="F49" s="181" t="s">
        <v>1464</v>
      </c>
      <c r="G49" s="166">
        <v>1730</v>
      </c>
      <c r="H49" s="740">
        <v>41845</v>
      </c>
      <c r="I49" s="167">
        <v>1430</v>
      </c>
      <c r="J49" s="167">
        <v>250714</v>
      </c>
      <c r="K49" s="167">
        <v>1440</v>
      </c>
      <c r="L49" s="167">
        <v>250714</v>
      </c>
      <c r="M49" s="167">
        <v>2030</v>
      </c>
      <c r="N49" s="168" t="s">
        <v>1379</v>
      </c>
      <c r="O49" s="171">
        <v>0</v>
      </c>
      <c r="P49" s="168">
        <v>0.5</v>
      </c>
      <c r="Q49" s="168">
        <v>0</v>
      </c>
      <c r="R49" s="168">
        <v>0</v>
      </c>
      <c r="S49" s="168" t="s">
        <v>1465</v>
      </c>
      <c r="T49" s="168">
        <v>0</v>
      </c>
      <c r="U49" s="168">
        <v>0</v>
      </c>
      <c r="V49" s="168">
        <v>0</v>
      </c>
      <c r="W49" s="168">
        <v>0</v>
      </c>
      <c r="X49" s="168">
        <v>0</v>
      </c>
      <c r="Y49" s="168">
        <v>0</v>
      </c>
      <c r="Z49" s="168">
        <v>0.5</v>
      </c>
      <c r="AA49" s="168">
        <v>0</v>
      </c>
      <c r="AB49" s="168">
        <v>0</v>
      </c>
      <c r="AC49" s="168" t="s">
        <v>1465</v>
      </c>
      <c r="AD49" s="168">
        <f t="shared" si="1"/>
        <v>0.5</v>
      </c>
      <c r="AE49" s="169" t="s">
        <v>117</v>
      </c>
      <c r="AF49" s="169" t="s">
        <v>117</v>
      </c>
      <c r="AG49" s="169" t="s">
        <v>57</v>
      </c>
      <c r="AH49" s="169" t="s">
        <v>1466</v>
      </c>
      <c r="AI49" s="169" t="s">
        <v>1370</v>
      </c>
      <c r="AJ49" s="179">
        <v>403500</v>
      </c>
      <c r="AK49" s="168" t="s">
        <v>1467</v>
      </c>
    </row>
    <row r="50" spans="1:37" x14ac:dyDescent="0.35">
      <c r="A50" s="165">
        <v>38100914</v>
      </c>
      <c r="B50" s="165" t="s">
        <v>83</v>
      </c>
      <c r="C50" s="165" t="s">
        <v>95</v>
      </c>
      <c r="D50" s="165" t="s">
        <v>1468</v>
      </c>
      <c r="E50" s="165" t="s">
        <v>1469</v>
      </c>
      <c r="F50" s="165" t="s">
        <v>1470</v>
      </c>
      <c r="G50" s="166">
        <v>660</v>
      </c>
      <c r="H50" s="740">
        <v>41845</v>
      </c>
      <c r="I50" s="167">
        <v>1455</v>
      </c>
      <c r="J50" s="167">
        <v>250714</v>
      </c>
      <c r="K50" s="167">
        <v>1505</v>
      </c>
      <c r="L50" s="167">
        <v>250714</v>
      </c>
      <c r="M50" s="167">
        <v>1545</v>
      </c>
      <c r="N50" s="168" t="s">
        <v>1379</v>
      </c>
      <c r="O50" s="171">
        <v>0</v>
      </c>
      <c r="P50" s="168">
        <v>0</v>
      </c>
      <c r="Q50" s="168">
        <v>0</v>
      </c>
      <c r="R50" s="168">
        <v>0</v>
      </c>
      <c r="S50" s="168">
        <v>0</v>
      </c>
      <c r="T50" s="168">
        <v>0</v>
      </c>
      <c r="U50" s="168">
        <v>1</v>
      </c>
      <c r="V50" s="168">
        <v>0</v>
      </c>
      <c r="W50" s="168">
        <v>0</v>
      </c>
      <c r="X50" s="168" t="s">
        <v>1471</v>
      </c>
      <c r="Y50" s="168">
        <v>0</v>
      </c>
      <c r="Z50" s="168">
        <v>1</v>
      </c>
      <c r="AA50" s="168">
        <v>0</v>
      </c>
      <c r="AB50" s="168">
        <v>0</v>
      </c>
      <c r="AC50" s="168" t="s">
        <v>1471</v>
      </c>
      <c r="AD50" s="168">
        <f t="shared" si="1"/>
        <v>1</v>
      </c>
      <c r="AE50" s="169" t="s">
        <v>117</v>
      </c>
      <c r="AF50" s="169" t="s">
        <v>117</v>
      </c>
      <c r="AG50" s="169" t="s">
        <v>57</v>
      </c>
      <c r="AH50" s="169" t="s">
        <v>1472</v>
      </c>
      <c r="AI50" s="169" t="s">
        <v>1370</v>
      </c>
      <c r="AJ50" s="179">
        <v>205000</v>
      </c>
      <c r="AK50" s="168" t="s">
        <v>60</v>
      </c>
    </row>
    <row r="51" spans="1:37" x14ac:dyDescent="0.35">
      <c r="A51" s="165">
        <v>39100914</v>
      </c>
      <c r="B51" s="165" t="s">
        <v>83</v>
      </c>
      <c r="C51" s="165" t="s">
        <v>95</v>
      </c>
      <c r="D51" s="165" t="s">
        <v>1376</v>
      </c>
      <c r="E51" s="165" t="s">
        <v>1473</v>
      </c>
      <c r="F51" s="165" t="s">
        <v>1474</v>
      </c>
      <c r="G51" s="166">
        <v>665</v>
      </c>
      <c r="H51" s="740">
        <v>41847</v>
      </c>
      <c r="I51" s="167">
        <v>1600</v>
      </c>
      <c r="J51" s="167">
        <v>270714</v>
      </c>
      <c r="K51" s="167">
        <v>1610</v>
      </c>
      <c r="L51" s="167">
        <v>270714</v>
      </c>
      <c r="M51" s="167">
        <v>1800</v>
      </c>
      <c r="N51" s="168" t="s">
        <v>165</v>
      </c>
      <c r="O51" s="171">
        <v>1</v>
      </c>
      <c r="P51" s="168">
        <v>0</v>
      </c>
      <c r="Q51" s="168">
        <v>0</v>
      </c>
      <c r="R51" s="168">
        <v>0</v>
      </c>
      <c r="S51" s="168">
        <v>0</v>
      </c>
      <c r="T51" s="168">
        <v>0</v>
      </c>
      <c r="U51" s="168">
        <v>0</v>
      </c>
      <c r="V51" s="168">
        <v>0</v>
      </c>
      <c r="W51" s="168">
        <v>0</v>
      </c>
      <c r="X51" s="168">
        <v>0</v>
      </c>
      <c r="Y51" s="168">
        <v>1</v>
      </c>
      <c r="Z51" s="168">
        <v>0</v>
      </c>
      <c r="AA51" s="168">
        <v>0</v>
      </c>
      <c r="AB51" s="168">
        <v>0</v>
      </c>
      <c r="AC51" s="168">
        <v>0</v>
      </c>
      <c r="AD51" s="168">
        <f t="shared" si="1"/>
        <v>1</v>
      </c>
      <c r="AE51" s="169" t="s">
        <v>117</v>
      </c>
      <c r="AF51" s="169" t="s">
        <v>117</v>
      </c>
      <c r="AG51" s="169" t="s">
        <v>57</v>
      </c>
      <c r="AH51" s="169" t="s">
        <v>1472</v>
      </c>
      <c r="AI51" s="169" t="s">
        <v>1370</v>
      </c>
      <c r="AJ51" s="179">
        <v>206000</v>
      </c>
      <c r="AK51" s="168" t="s">
        <v>60</v>
      </c>
    </row>
    <row r="52" spans="1:37" x14ac:dyDescent="0.35">
      <c r="A52" s="165">
        <v>40102914</v>
      </c>
      <c r="B52" s="165" t="s">
        <v>145</v>
      </c>
      <c r="C52" s="165" t="s">
        <v>1475</v>
      </c>
      <c r="D52" s="165" t="s">
        <v>1476</v>
      </c>
      <c r="E52" s="165" t="s">
        <v>1477</v>
      </c>
      <c r="F52" s="165" t="s">
        <v>1478</v>
      </c>
      <c r="G52" s="166">
        <v>430</v>
      </c>
      <c r="H52" s="740">
        <v>41848</v>
      </c>
      <c r="I52" s="167">
        <v>1300</v>
      </c>
      <c r="J52" s="167">
        <v>280714</v>
      </c>
      <c r="K52" s="167">
        <v>1315</v>
      </c>
      <c r="L52" s="167">
        <v>280714</v>
      </c>
      <c r="M52" s="167">
        <v>1700</v>
      </c>
      <c r="N52" s="168" t="s">
        <v>1326</v>
      </c>
      <c r="O52" s="171">
        <v>0</v>
      </c>
      <c r="P52" s="168">
        <v>3</v>
      </c>
      <c r="Q52" s="168">
        <v>0</v>
      </c>
      <c r="R52" s="168">
        <v>0</v>
      </c>
      <c r="S52" s="168">
        <v>0</v>
      </c>
      <c r="T52" s="168">
        <v>0</v>
      </c>
      <c r="U52" s="168">
        <v>0</v>
      </c>
      <c r="V52" s="168">
        <v>0</v>
      </c>
      <c r="W52" s="168">
        <v>0</v>
      </c>
      <c r="X52" s="168">
        <v>0</v>
      </c>
      <c r="Y52" s="168">
        <v>0</v>
      </c>
      <c r="Z52" s="168">
        <v>3</v>
      </c>
      <c r="AA52" s="168">
        <v>0</v>
      </c>
      <c r="AB52" s="168">
        <v>0</v>
      </c>
      <c r="AC52" s="168">
        <v>0</v>
      </c>
      <c r="AD52" s="168">
        <f t="shared" si="1"/>
        <v>3</v>
      </c>
      <c r="AE52" s="169" t="s">
        <v>117</v>
      </c>
      <c r="AF52" s="169" t="s">
        <v>117</v>
      </c>
      <c r="AG52" s="169" t="s">
        <v>57</v>
      </c>
      <c r="AH52" s="169" t="s">
        <v>1466</v>
      </c>
      <c r="AI52" s="169" t="s">
        <v>1370</v>
      </c>
      <c r="AJ52" s="179">
        <v>605400</v>
      </c>
      <c r="AK52" s="168" t="s">
        <v>60</v>
      </c>
    </row>
    <row r="53" spans="1:37" x14ac:dyDescent="0.35">
      <c r="A53" s="165">
        <v>41100914</v>
      </c>
      <c r="B53" s="165" t="s">
        <v>83</v>
      </c>
      <c r="C53" s="165" t="s">
        <v>95</v>
      </c>
      <c r="D53" s="165" t="s">
        <v>1376</v>
      </c>
      <c r="E53" s="165" t="s">
        <v>1479</v>
      </c>
      <c r="F53" s="165" t="s">
        <v>1480</v>
      </c>
      <c r="G53" s="166">
        <v>655</v>
      </c>
      <c r="H53" s="740">
        <v>41849</v>
      </c>
      <c r="I53" s="167">
        <v>1030</v>
      </c>
      <c r="J53" s="167">
        <v>290714</v>
      </c>
      <c r="K53" s="167">
        <v>1040</v>
      </c>
      <c r="L53" s="167">
        <v>290714</v>
      </c>
      <c r="M53" s="167">
        <v>1200</v>
      </c>
      <c r="N53" s="168" t="s">
        <v>1326</v>
      </c>
      <c r="O53" s="168">
        <v>0</v>
      </c>
      <c r="P53" s="168">
        <v>1</v>
      </c>
      <c r="Q53" s="168">
        <v>0</v>
      </c>
      <c r="R53" s="168">
        <v>0</v>
      </c>
      <c r="S53" s="168">
        <v>0</v>
      </c>
      <c r="T53" s="168">
        <v>0</v>
      </c>
      <c r="U53" s="168">
        <v>0</v>
      </c>
      <c r="V53" s="168">
        <v>0</v>
      </c>
      <c r="W53" s="168">
        <v>0</v>
      </c>
      <c r="X53" s="168" t="s">
        <v>1481</v>
      </c>
      <c r="Y53" s="168">
        <v>0</v>
      </c>
      <c r="Z53" s="168">
        <v>1</v>
      </c>
      <c r="AA53" s="168">
        <v>0</v>
      </c>
      <c r="AB53" s="168">
        <v>0</v>
      </c>
      <c r="AC53" s="168" t="s">
        <v>1481</v>
      </c>
      <c r="AD53" s="168">
        <f t="shared" si="1"/>
        <v>1</v>
      </c>
      <c r="AE53" s="169" t="s">
        <v>117</v>
      </c>
      <c r="AF53" s="169" t="s">
        <v>117</v>
      </c>
      <c r="AG53" s="169" t="s">
        <v>57</v>
      </c>
      <c r="AH53" s="169" t="s">
        <v>1472</v>
      </c>
      <c r="AI53" s="169" t="s">
        <v>1370</v>
      </c>
      <c r="AJ53" s="179">
        <v>204000</v>
      </c>
      <c r="AK53" s="168" t="s">
        <v>60</v>
      </c>
    </row>
    <row r="54" spans="1:37" x14ac:dyDescent="0.35">
      <c r="A54" s="165">
        <v>42101514</v>
      </c>
      <c r="B54" s="165" t="s">
        <v>1361</v>
      </c>
      <c r="C54" s="165" t="s">
        <v>1361</v>
      </c>
      <c r="D54" s="165" t="s">
        <v>1407</v>
      </c>
      <c r="E54" s="165" t="s">
        <v>1426</v>
      </c>
      <c r="F54" s="165" t="s">
        <v>1427</v>
      </c>
      <c r="G54" s="166">
        <v>998</v>
      </c>
      <c r="H54" s="740">
        <v>41849</v>
      </c>
      <c r="I54" s="167">
        <v>1115</v>
      </c>
      <c r="J54" s="167">
        <v>290714</v>
      </c>
      <c r="K54" s="167">
        <v>1125</v>
      </c>
      <c r="L54" s="167">
        <v>290714</v>
      </c>
      <c r="M54" s="167">
        <v>1200</v>
      </c>
      <c r="N54" s="168" t="s">
        <v>62</v>
      </c>
      <c r="O54" s="168">
        <v>0.04</v>
      </c>
      <c r="P54" s="168">
        <v>0</v>
      </c>
      <c r="Q54" s="168">
        <v>0</v>
      </c>
      <c r="R54" s="168">
        <v>0</v>
      </c>
      <c r="S54" s="168">
        <v>0</v>
      </c>
      <c r="T54" s="168">
        <v>0</v>
      </c>
      <c r="U54" s="168">
        <v>0</v>
      </c>
      <c r="V54" s="168">
        <v>0</v>
      </c>
      <c r="W54" s="168">
        <v>0</v>
      </c>
      <c r="X54" s="168">
        <v>0</v>
      </c>
      <c r="Y54" s="168">
        <v>0.04</v>
      </c>
      <c r="Z54" s="168">
        <v>0</v>
      </c>
      <c r="AA54" s="168">
        <v>0</v>
      </c>
      <c r="AB54" s="168">
        <v>0</v>
      </c>
      <c r="AC54" s="168">
        <v>0</v>
      </c>
      <c r="AD54" s="168">
        <f t="shared" si="1"/>
        <v>0.04</v>
      </c>
      <c r="AE54" s="169" t="s">
        <v>66</v>
      </c>
      <c r="AF54" s="169" t="s">
        <v>117</v>
      </c>
      <c r="AG54" s="169" t="s">
        <v>72</v>
      </c>
      <c r="AH54" s="169" t="s">
        <v>1482</v>
      </c>
      <c r="AI54" s="169" t="s">
        <v>1483</v>
      </c>
      <c r="AJ54" s="179">
        <v>5000</v>
      </c>
      <c r="AK54" s="168" t="s">
        <v>60</v>
      </c>
    </row>
    <row r="55" spans="1:37" x14ac:dyDescent="0.35">
      <c r="A55" s="165">
        <v>43100514</v>
      </c>
      <c r="B55" s="165" t="s">
        <v>208</v>
      </c>
      <c r="C55" s="165" t="s">
        <v>208</v>
      </c>
      <c r="D55" s="165" t="s">
        <v>1484</v>
      </c>
      <c r="E55" s="181" t="s">
        <v>1485</v>
      </c>
      <c r="F55" s="181" t="s">
        <v>1486</v>
      </c>
      <c r="G55" s="166">
        <v>470</v>
      </c>
      <c r="H55" s="740">
        <v>41849</v>
      </c>
      <c r="I55" s="167">
        <v>1510</v>
      </c>
      <c r="J55" s="167">
        <v>290714</v>
      </c>
      <c r="K55" s="167">
        <v>1525</v>
      </c>
      <c r="L55" s="167">
        <v>290714</v>
      </c>
      <c r="M55" s="167">
        <v>1750</v>
      </c>
      <c r="N55" s="168" t="s">
        <v>1326</v>
      </c>
      <c r="O55" s="168">
        <v>0</v>
      </c>
      <c r="P55" s="168">
        <v>1</v>
      </c>
      <c r="Q55" s="168">
        <v>0</v>
      </c>
      <c r="R55" s="168">
        <v>0</v>
      </c>
      <c r="S55" s="168">
        <v>0</v>
      </c>
      <c r="T55" s="168">
        <v>0</v>
      </c>
      <c r="U55" s="168">
        <v>0</v>
      </c>
      <c r="V55" s="168">
        <v>0</v>
      </c>
      <c r="W55" s="168">
        <v>0</v>
      </c>
      <c r="X55" s="168" t="s">
        <v>1471</v>
      </c>
      <c r="Y55" s="168">
        <v>0</v>
      </c>
      <c r="Z55" s="168">
        <v>1</v>
      </c>
      <c r="AA55" s="168">
        <v>0</v>
      </c>
      <c r="AB55" s="168">
        <v>0</v>
      </c>
      <c r="AC55" s="168" t="s">
        <v>1471</v>
      </c>
      <c r="AD55" s="168">
        <f t="shared" si="1"/>
        <v>1</v>
      </c>
      <c r="AE55" s="169" t="s">
        <v>117</v>
      </c>
      <c r="AF55" s="169" t="s">
        <v>117</v>
      </c>
      <c r="AG55" s="169" t="s">
        <v>628</v>
      </c>
      <c r="AH55" s="169" t="s">
        <v>1487</v>
      </c>
      <c r="AI55" s="169" t="s">
        <v>73</v>
      </c>
      <c r="AJ55" s="179">
        <v>50000</v>
      </c>
      <c r="AK55" s="168" t="s">
        <v>60</v>
      </c>
    </row>
    <row r="56" spans="1:37" x14ac:dyDescent="0.35">
      <c r="A56" s="165">
        <v>44103014</v>
      </c>
      <c r="B56" s="165" t="s">
        <v>78</v>
      </c>
      <c r="C56" s="165" t="s">
        <v>107</v>
      </c>
      <c r="D56" s="165" t="s">
        <v>1488</v>
      </c>
      <c r="E56" s="165" t="s">
        <v>1489</v>
      </c>
      <c r="F56" s="165" t="s">
        <v>1490</v>
      </c>
      <c r="G56" s="166">
        <v>975</v>
      </c>
      <c r="H56" s="740">
        <v>41849</v>
      </c>
      <c r="I56" s="167">
        <v>1730</v>
      </c>
      <c r="J56" s="167">
        <v>290714</v>
      </c>
      <c r="K56" s="167">
        <v>1745</v>
      </c>
      <c r="L56" s="167">
        <v>290714</v>
      </c>
      <c r="M56" s="167">
        <v>2005</v>
      </c>
      <c r="N56" s="168" t="s">
        <v>1379</v>
      </c>
      <c r="O56" s="171">
        <v>0</v>
      </c>
      <c r="P56" s="168">
        <v>0</v>
      </c>
      <c r="Q56" s="168">
        <v>0</v>
      </c>
      <c r="R56" s="168">
        <v>0</v>
      </c>
      <c r="S56" s="168">
        <v>0</v>
      </c>
      <c r="T56" s="168">
        <v>0</v>
      </c>
      <c r="U56" s="168">
        <v>2</v>
      </c>
      <c r="V56" s="168">
        <v>0</v>
      </c>
      <c r="W56" s="168">
        <v>0</v>
      </c>
      <c r="X56" s="168">
        <v>0</v>
      </c>
      <c r="Y56" s="168">
        <v>0</v>
      </c>
      <c r="Z56" s="168">
        <v>2</v>
      </c>
      <c r="AA56" s="168">
        <v>0</v>
      </c>
      <c r="AB56" s="168">
        <v>0</v>
      </c>
      <c r="AC56" s="168">
        <v>0</v>
      </c>
      <c r="AD56" s="168">
        <f t="shared" si="1"/>
        <v>2</v>
      </c>
      <c r="AE56" s="169" t="s">
        <v>71</v>
      </c>
      <c r="AF56" s="169" t="s">
        <v>117</v>
      </c>
      <c r="AG56" s="169" t="s">
        <v>493</v>
      </c>
      <c r="AH56" s="169" t="s">
        <v>1491</v>
      </c>
      <c r="AI56" s="169" t="s">
        <v>1370</v>
      </c>
      <c r="AJ56" s="179">
        <v>7020</v>
      </c>
      <c r="AK56" s="168" t="s">
        <v>60</v>
      </c>
    </row>
    <row r="57" spans="1:37" x14ac:dyDescent="0.35">
      <c r="A57" s="165">
        <v>45100514</v>
      </c>
      <c r="B57" s="165" t="s">
        <v>208</v>
      </c>
      <c r="C57" s="165" t="s">
        <v>208</v>
      </c>
      <c r="D57" s="165" t="s">
        <v>1492</v>
      </c>
      <c r="E57" s="165" t="s">
        <v>1493</v>
      </c>
      <c r="F57" s="165" t="s">
        <v>1494</v>
      </c>
      <c r="G57" s="166">
        <v>166</v>
      </c>
      <c r="H57" s="740">
        <v>41850</v>
      </c>
      <c r="I57" s="167">
        <v>1300</v>
      </c>
      <c r="J57" s="167">
        <v>300714</v>
      </c>
      <c r="K57" s="167">
        <v>1310</v>
      </c>
      <c r="L57" s="167">
        <v>300714</v>
      </c>
      <c r="M57" s="167">
        <v>1345</v>
      </c>
      <c r="N57" s="168" t="s">
        <v>1495</v>
      </c>
      <c r="O57" s="171">
        <v>0.04</v>
      </c>
      <c r="P57" s="168">
        <v>0</v>
      </c>
      <c r="Q57" s="168">
        <v>0</v>
      </c>
      <c r="R57" s="168">
        <v>0</v>
      </c>
      <c r="S57" s="168">
        <v>0</v>
      </c>
      <c r="T57" s="168">
        <v>0</v>
      </c>
      <c r="U57" s="168">
        <v>0</v>
      </c>
      <c r="V57" s="168">
        <v>0</v>
      </c>
      <c r="W57" s="168">
        <v>0</v>
      </c>
      <c r="X57" s="168">
        <v>0</v>
      </c>
      <c r="Y57" s="168">
        <v>0.04</v>
      </c>
      <c r="Z57" s="168">
        <v>0</v>
      </c>
      <c r="AA57" s="168">
        <v>0</v>
      </c>
      <c r="AB57" s="168">
        <v>0</v>
      </c>
      <c r="AC57" s="168">
        <v>0</v>
      </c>
      <c r="AD57" s="168">
        <f t="shared" si="1"/>
        <v>0.04</v>
      </c>
      <c r="AE57" s="169" t="s">
        <v>117</v>
      </c>
      <c r="AF57" s="169" t="s">
        <v>117</v>
      </c>
      <c r="AG57" s="169" t="s">
        <v>57</v>
      </c>
      <c r="AH57" s="169" t="s">
        <v>1496</v>
      </c>
      <c r="AI57" s="169" t="s">
        <v>73</v>
      </c>
      <c r="AJ57" s="179">
        <v>8096</v>
      </c>
      <c r="AK57" s="168" t="s">
        <v>60</v>
      </c>
    </row>
    <row r="58" spans="1:37" x14ac:dyDescent="0.35">
      <c r="A58" s="165">
        <v>46102414</v>
      </c>
      <c r="B58" s="165" t="s">
        <v>198</v>
      </c>
      <c r="C58" s="165" t="s">
        <v>1356</v>
      </c>
      <c r="D58" s="165" t="s">
        <v>1497</v>
      </c>
      <c r="E58" s="165" t="s">
        <v>1498</v>
      </c>
      <c r="F58" s="165" t="s">
        <v>1499</v>
      </c>
      <c r="G58" s="173">
        <v>520</v>
      </c>
      <c r="H58" s="740">
        <v>41850</v>
      </c>
      <c r="I58" s="167">
        <v>1800</v>
      </c>
      <c r="J58" s="167">
        <v>300714</v>
      </c>
      <c r="K58" s="167">
        <v>1830</v>
      </c>
      <c r="L58" s="167">
        <v>300714</v>
      </c>
      <c r="M58" s="167">
        <v>2215</v>
      </c>
      <c r="N58" s="168" t="s">
        <v>62</v>
      </c>
      <c r="O58" s="175">
        <v>0</v>
      </c>
      <c r="P58" s="176">
        <v>0</v>
      </c>
      <c r="Q58" s="176">
        <v>0</v>
      </c>
      <c r="R58" s="176">
        <v>0</v>
      </c>
      <c r="S58" s="176">
        <v>0</v>
      </c>
      <c r="T58" s="176">
        <v>3</v>
      </c>
      <c r="U58" s="176">
        <v>0</v>
      </c>
      <c r="V58" s="176">
        <v>0</v>
      </c>
      <c r="W58" s="176">
        <v>0</v>
      </c>
      <c r="X58" s="176">
        <v>0</v>
      </c>
      <c r="Y58" s="176">
        <v>3</v>
      </c>
      <c r="Z58" s="176">
        <v>0</v>
      </c>
      <c r="AA58" s="176">
        <v>0</v>
      </c>
      <c r="AB58" s="176">
        <v>0</v>
      </c>
      <c r="AC58" s="176">
        <v>0</v>
      </c>
      <c r="AD58" s="168">
        <f t="shared" si="1"/>
        <v>3</v>
      </c>
      <c r="AE58" s="169" t="s">
        <v>117</v>
      </c>
      <c r="AF58" s="169" t="s">
        <v>117</v>
      </c>
      <c r="AG58" s="177" t="s">
        <v>493</v>
      </c>
      <c r="AH58" s="177" t="s">
        <v>1500</v>
      </c>
      <c r="AI58" s="177" t="s">
        <v>1385</v>
      </c>
      <c r="AJ58" s="186">
        <v>300000</v>
      </c>
      <c r="AK58" s="176" t="s">
        <v>60</v>
      </c>
    </row>
    <row r="59" spans="1:37" x14ac:dyDescent="0.35">
      <c r="A59" s="165">
        <v>47101514</v>
      </c>
      <c r="B59" s="165" t="s">
        <v>1361</v>
      </c>
      <c r="C59" s="165" t="s">
        <v>1361</v>
      </c>
      <c r="D59" s="165" t="s">
        <v>1407</v>
      </c>
      <c r="E59" s="172" t="s">
        <v>1501</v>
      </c>
      <c r="F59" s="187" t="s">
        <v>1502</v>
      </c>
      <c r="G59" s="173">
        <v>998</v>
      </c>
      <c r="H59" s="741">
        <v>41851</v>
      </c>
      <c r="I59" s="174">
        <v>1455</v>
      </c>
      <c r="J59" s="174">
        <v>310714</v>
      </c>
      <c r="K59" s="174">
        <v>1500</v>
      </c>
      <c r="L59" s="174">
        <v>310714</v>
      </c>
      <c r="M59" s="174">
        <v>1620</v>
      </c>
      <c r="N59" s="168" t="s">
        <v>62</v>
      </c>
      <c r="O59" s="175">
        <v>0.05</v>
      </c>
      <c r="P59" s="176">
        <v>0</v>
      </c>
      <c r="Q59" s="176">
        <v>0</v>
      </c>
      <c r="R59" s="176">
        <v>0</v>
      </c>
      <c r="S59" s="176">
        <v>0</v>
      </c>
      <c r="T59" s="176">
        <v>0</v>
      </c>
      <c r="U59" s="176">
        <v>0</v>
      </c>
      <c r="V59" s="176">
        <v>0</v>
      </c>
      <c r="W59" s="176">
        <v>0</v>
      </c>
      <c r="X59" s="176">
        <v>0</v>
      </c>
      <c r="Y59" s="176">
        <v>0.05</v>
      </c>
      <c r="Z59" s="176">
        <v>0</v>
      </c>
      <c r="AA59" s="176">
        <v>0</v>
      </c>
      <c r="AB59" s="176">
        <v>0</v>
      </c>
      <c r="AC59" s="176">
        <v>0</v>
      </c>
      <c r="AD59" s="168">
        <f t="shared" si="1"/>
        <v>0.05</v>
      </c>
      <c r="AE59" s="177" t="s">
        <v>66</v>
      </c>
      <c r="AF59" s="169" t="s">
        <v>117</v>
      </c>
      <c r="AG59" s="177" t="s">
        <v>72</v>
      </c>
      <c r="AH59" s="169" t="s">
        <v>1482</v>
      </c>
      <c r="AI59" s="177" t="s">
        <v>1503</v>
      </c>
      <c r="AJ59" s="186">
        <v>5000</v>
      </c>
      <c r="AK59" s="176" t="s">
        <v>60</v>
      </c>
    </row>
    <row r="60" spans="1:37" x14ac:dyDescent="0.35">
      <c r="A60" s="165">
        <v>48102414</v>
      </c>
      <c r="B60" s="165" t="s">
        <v>198</v>
      </c>
      <c r="C60" s="165" t="s">
        <v>1356</v>
      </c>
      <c r="D60" s="165" t="s">
        <v>1497</v>
      </c>
      <c r="E60" s="165" t="s">
        <v>1504</v>
      </c>
      <c r="F60" s="165" t="s">
        <v>1505</v>
      </c>
      <c r="G60" s="173">
        <v>630</v>
      </c>
      <c r="H60" s="741">
        <v>41851</v>
      </c>
      <c r="I60" s="174">
        <v>1520</v>
      </c>
      <c r="J60" s="174">
        <v>310714</v>
      </c>
      <c r="K60" s="174">
        <v>1535</v>
      </c>
      <c r="L60" s="174">
        <v>310714</v>
      </c>
      <c r="M60" s="174">
        <v>1930</v>
      </c>
      <c r="N60" s="168" t="s">
        <v>62</v>
      </c>
      <c r="O60" s="175">
        <v>0</v>
      </c>
      <c r="P60" s="176">
        <v>0</v>
      </c>
      <c r="Q60" s="176">
        <v>0</v>
      </c>
      <c r="R60" s="176">
        <v>0</v>
      </c>
      <c r="S60" s="176">
        <v>0</v>
      </c>
      <c r="T60" s="176">
        <v>0</v>
      </c>
      <c r="U60" s="176">
        <v>2.5</v>
      </c>
      <c r="V60" s="176">
        <v>2</v>
      </c>
      <c r="W60" s="176">
        <v>0</v>
      </c>
      <c r="X60" s="168" t="s">
        <v>1506</v>
      </c>
      <c r="Y60" s="176">
        <v>2.5</v>
      </c>
      <c r="Z60" s="176">
        <v>2</v>
      </c>
      <c r="AA60" s="176">
        <v>0</v>
      </c>
      <c r="AB60" s="176">
        <v>0</v>
      </c>
      <c r="AC60" s="168" t="s">
        <v>1506</v>
      </c>
      <c r="AD60" s="168">
        <f t="shared" si="1"/>
        <v>4.5</v>
      </c>
      <c r="AE60" s="169" t="s">
        <v>117</v>
      </c>
      <c r="AF60" s="169" t="s">
        <v>117</v>
      </c>
      <c r="AG60" s="177" t="s">
        <v>72</v>
      </c>
      <c r="AH60" s="177" t="s">
        <v>1487</v>
      </c>
      <c r="AI60" s="177" t="s">
        <v>1385</v>
      </c>
      <c r="AJ60" s="186">
        <v>450000</v>
      </c>
      <c r="AK60" s="176" t="s">
        <v>60</v>
      </c>
    </row>
    <row r="61" spans="1:37" x14ac:dyDescent="0.35">
      <c r="A61" s="165">
        <v>49101314</v>
      </c>
      <c r="B61" s="165" t="s">
        <v>198</v>
      </c>
      <c r="C61" s="165" t="s">
        <v>198</v>
      </c>
      <c r="D61" s="165" t="s">
        <v>1323</v>
      </c>
      <c r="E61" s="172" t="s">
        <v>1507</v>
      </c>
      <c r="F61" s="172" t="s">
        <v>1508</v>
      </c>
      <c r="G61" s="173">
        <v>492</v>
      </c>
      <c r="H61" s="174" t="s">
        <v>2897</v>
      </c>
      <c r="I61" s="174">
        <v>1830</v>
      </c>
      <c r="J61" s="174"/>
      <c r="K61" s="174"/>
      <c r="L61" s="174">
        <v>10814</v>
      </c>
      <c r="M61" s="174">
        <v>1000</v>
      </c>
      <c r="N61" s="168" t="s">
        <v>1326</v>
      </c>
      <c r="O61" s="175">
        <v>0</v>
      </c>
      <c r="P61" s="176">
        <v>2.5</v>
      </c>
      <c r="Q61" s="176">
        <v>0</v>
      </c>
      <c r="R61" s="176">
        <v>0</v>
      </c>
      <c r="S61" s="176">
        <v>0</v>
      </c>
      <c r="T61" s="176">
        <v>0</v>
      </c>
      <c r="U61" s="176">
        <v>3</v>
      </c>
      <c r="V61" s="176">
        <v>0</v>
      </c>
      <c r="W61" s="176">
        <v>0</v>
      </c>
      <c r="X61" s="168" t="s">
        <v>1509</v>
      </c>
      <c r="Y61" s="176">
        <v>0</v>
      </c>
      <c r="Z61" s="176">
        <v>5.5</v>
      </c>
      <c r="AA61" s="176">
        <v>0</v>
      </c>
      <c r="AB61" s="176">
        <v>0</v>
      </c>
      <c r="AC61" s="168" t="s">
        <v>1509</v>
      </c>
      <c r="AD61" s="168">
        <f t="shared" si="1"/>
        <v>5.5</v>
      </c>
      <c r="AE61" s="169" t="s">
        <v>117</v>
      </c>
      <c r="AF61" s="177" t="s">
        <v>117</v>
      </c>
      <c r="AG61" s="177" t="s">
        <v>57</v>
      </c>
      <c r="AH61" s="177" t="s">
        <v>1417</v>
      </c>
      <c r="AI61" s="177" t="s">
        <v>175</v>
      </c>
      <c r="AJ61" s="186">
        <v>200000</v>
      </c>
      <c r="AK61" s="176" t="s">
        <v>60</v>
      </c>
    </row>
    <row r="62" spans="1:37" x14ac:dyDescent="0.35">
      <c r="A62" s="166">
        <v>50102414</v>
      </c>
      <c r="B62" s="165" t="s">
        <v>198</v>
      </c>
      <c r="C62" s="165" t="s">
        <v>1356</v>
      </c>
      <c r="D62" s="188" t="s">
        <v>1510</v>
      </c>
      <c r="E62" s="165" t="s">
        <v>1511</v>
      </c>
      <c r="F62" s="165" t="s">
        <v>1512</v>
      </c>
      <c r="G62" s="166">
        <v>740</v>
      </c>
      <c r="H62" s="742">
        <v>41861</v>
      </c>
      <c r="I62" s="167">
        <v>1500</v>
      </c>
      <c r="J62" s="167">
        <v>10814</v>
      </c>
      <c r="K62" s="167">
        <v>1525</v>
      </c>
      <c r="L62" s="189">
        <v>30814</v>
      </c>
      <c r="M62" s="189">
        <v>1100</v>
      </c>
      <c r="N62" s="190" t="s">
        <v>62</v>
      </c>
      <c r="O62" s="191"/>
      <c r="P62" s="191"/>
      <c r="Q62" s="191"/>
      <c r="R62" s="191"/>
      <c r="S62" s="191"/>
      <c r="T62" s="191">
        <v>8</v>
      </c>
      <c r="U62" s="191"/>
      <c r="V62" s="191">
        <v>2</v>
      </c>
      <c r="W62" s="191"/>
      <c r="X62" s="191"/>
      <c r="Y62" s="168">
        <f>T62+O62</f>
        <v>8</v>
      </c>
      <c r="Z62" s="168">
        <f>U62+P62</f>
        <v>0</v>
      </c>
      <c r="AA62" s="168">
        <f>V62+Q62</f>
        <v>2</v>
      </c>
      <c r="AB62" s="168">
        <f>W62+R62</f>
        <v>0</v>
      </c>
      <c r="AC62" s="192"/>
      <c r="AD62" s="168">
        <f t="shared" si="1"/>
        <v>10</v>
      </c>
      <c r="AE62" s="169" t="s">
        <v>117</v>
      </c>
      <c r="AF62" s="169" t="s">
        <v>117</v>
      </c>
      <c r="AG62" s="169" t="s">
        <v>72</v>
      </c>
      <c r="AH62" s="169" t="s">
        <v>1417</v>
      </c>
      <c r="AI62" s="169" t="s">
        <v>1370</v>
      </c>
      <c r="AJ62" s="179">
        <v>1000000</v>
      </c>
      <c r="AK62" s="168" t="s">
        <v>60</v>
      </c>
    </row>
    <row r="63" spans="1:37" x14ac:dyDescent="0.35">
      <c r="A63" s="166">
        <v>51101614</v>
      </c>
      <c r="B63" s="181" t="s">
        <v>208</v>
      </c>
      <c r="C63" s="181" t="s">
        <v>1513</v>
      </c>
      <c r="D63" s="188" t="s">
        <v>1514</v>
      </c>
      <c r="E63" s="165" t="s">
        <v>1515</v>
      </c>
      <c r="F63" s="165" t="s">
        <v>1516</v>
      </c>
      <c r="G63" s="166">
        <v>620</v>
      </c>
      <c r="H63" s="742">
        <v>41861</v>
      </c>
      <c r="I63" s="167">
        <v>1615</v>
      </c>
      <c r="J63" s="167">
        <v>10814</v>
      </c>
      <c r="K63" s="167">
        <v>1630</v>
      </c>
      <c r="L63" s="189">
        <v>10814</v>
      </c>
      <c r="M63" s="189">
        <v>1820</v>
      </c>
      <c r="N63" s="190" t="s">
        <v>1517</v>
      </c>
      <c r="O63" s="191"/>
      <c r="P63" s="191">
        <v>2</v>
      </c>
      <c r="Q63" s="191"/>
      <c r="R63" s="191"/>
      <c r="S63" s="191"/>
      <c r="T63" s="191"/>
      <c r="U63" s="191"/>
      <c r="V63" s="191"/>
      <c r="W63" s="191"/>
      <c r="X63" s="191"/>
      <c r="Y63" s="168">
        <f t="shared" ref="Y63:AB126" si="2">T63+O63</f>
        <v>0</v>
      </c>
      <c r="Z63" s="168">
        <f t="shared" si="2"/>
        <v>2</v>
      </c>
      <c r="AA63" s="168">
        <f t="shared" si="2"/>
        <v>0</v>
      </c>
      <c r="AB63" s="168">
        <f t="shared" si="2"/>
        <v>0</v>
      </c>
      <c r="AC63" s="192"/>
      <c r="AD63" s="168">
        <f t="shared" si="1"/>
        <v>2</v>
      </c>
      <c r="AE63" s="169" t="s">
        <v>117</v>
      </c>
      <c r="AF63" s="169" t="s">
        <v>117</v>
      </c>
      <c r="AG63" s="169" t="s">
        <v>57</v>
      </c>
      <c r="AH63" s="169" t="s">
        <v>1417</v>
      </c>
      <c r="AI63" s="169" t="s">
        <v>1381</v>
      </c>
      <c r="AJ63" s="179">
        <v>100000</v>
      </c>
      <c r="AK63" s="168" t="s">
        <v>60</v>
      </c>
    </row>
    <row r="64" spans="1:37" x14ac:dyDescent="0.35">
      <c r="A64" s="166">
        <v>52102414</v>
      </c>
      <c r="B64" s="181" t="s">
        <v>198</v>
      </c>
      <c r="C64" s="181" t="s">
        <v>1356</v>
      </c>
      <c r="D64" s="188" t="s">
        <v>1518</v>
      </c>
      <c r="E64" s="165" t="s">
        <v>1519</v>
      </c>
      <c r="F64" s="165" t="s">
        <v>1520</v>
      </c>
      <c r="G64" s="166">
        <v>665</v>
      </c>
      <c r="H64" s="742">
        <v>41855</v>
      </c>
      <c r="I64" s="167">
        <v>1230</v>
      </c>
      <c r="J64" s="167">
        <v>40814</v>
      </c>
      <c r="K64" s="167">
        <v>1250</v>
      </c>
      <c r="L64" s="189">
        <v>40814</v>
      </c>
      <c r="M64" s="189">
        <v>1930</v>
      </c>
      <c r="N64" s="190" t="s">
        <v>62</v>
      </c>
      <c r="O64" s="191"/>
      <c r="P64" s="191"/>
      <c r="Q64" s="191"/>
      <c r="R64" s="191"/>
      <c r="S64" s="191"/>
      <c r="T64" s="191">
        <v>1</v>
      </c>
      <c r="U64" s="191">
        <v>0.5</v>
      </c>
      <c r="V64" s="191"/>
      <c r="W64" s="191"/>
      <c r="X64" s="191"/>
      <c r="Y64" s="168">
        <f t="shared" si="2"/>
        <v>1</v>
      </c>
      <c r="Z64" s="168">
        <f t="shared" si="2"/>
        <v>0.5</v>
      </c>
      <c r="AA64" s="168">
        <f t="shared" si="2"/>
        <v>0</v>
      </c>
      <c r="AB64" s="168">
        <f t="shared" si="2"/>
        <v>0</v>
      </c>
      <c r="AC64" s="192"/>
      <c r="AD64" s="168">
        <f t="shared" si="1"/>
        <v>1.5</v>
      </c>
      <c r="AE64" s="169" t="s">
        <v>117</v>
      </c>
      <c r="AF64" s="169" t="s">
        <v>117</v>
      </c>
      <c r="AG64" s="169" t="s">
        <v>57</v>
      </c>
      <c r="AH64" s="169" t="s">
        <v>1521</v>
      </c>
      <c r="AI64" s="169" t="s">
        <v>1522</v>
      </c>
      <c r="AJ64" s="179">
        <v>150000</v>
      </c>
      <c r="AK64" s="168" t="s">
        <v>60</v>
      </c>
    </row>
    <row r="65" spans="1:37" x14ac:dyDescent="0.35">
      <c r="A65" s="166">
        <v>5310314</v>
      </c>
      <c r="B65" s="181" t="s">
        <v>198</v>
      </c>
      <c r="C65" s="181" t="s">
        <v>1523</v>
      </c>
      <c r="D65" s="188" t="s">
        <v>1524</v>
      </c>
      <c r="E65" s="165" t="s">
        <v>1525</v>
      </c>
      <c r="F65" s="165" t="s">
        <v>1526</v>
      </c>
      <c r="G65" s="166">
        <v>560</v>
      </c>
      <c r="H65" s="742">
        <v>41856</v>
      </c>
      <c r="I65" s="167">
        <v>1530</v>
      </c>
      <c r="J65" s="167">
        <v>50814</v>
      </c>
      <c r="K65" s="167">
        <v>1545</v>
      </c>
      <c r="L65" s="189">
        <v>50814</v>
      </c>
      <c r="M65" s="189">
        <v>1940</v>
      </c>
      <c r="N65" s="190" t="s">
        <v>62</v>
      </c>
      <c r="O65" s="191"/>
      <c r="P65" s="191"/>
      <c r="Q65" s="191"/>
      <c r="R65" s="191"/>
      <c r="S65" s="191"/>
      <c r="T65" s="191">
        <v>3</v>
      </c>
      <c r="U65" s="191"/>
      <c r="V65" s="191"/>
      <c r="W65" s="191"/>
      <c r="X65" s="191"/>
      <c r="Y65" s="168">
        <f t="shared" si="2"/>
        <v>3</v>
      </c>
      <c r="Z65" s="168">
        <f t="shared" si="2"/>
        <v>0</v>
      </c>
      <c r="AA65" s="168">
        <f t="shared" si="2"/>
        <v>0</v>
      </c>
      <c r="AB65" s="168">
        <f t="shared" si="2"/>
        <v>0</v>
      </c>
      <c r="AC65" s="192"/>
      <c r="AD65" s="168">
        <f t="shared" si="1"/>
        <v>3</v>
      </c>
      <c r="AE65" s="169" t="s">
        <v>117</v>
      </c>
      <c r="AF65" s="169" t="s">
        <v>117</v>
      </c>
      <c r="AG65" s="169" t="s">
        <v>72</v>
      </c>
      <c r="AH65" s="169" t="s">
        <v>1417</v>
      </c>
      <c r="AI65" s="169" t="s">
        <v>1370</v>
      </c>
      <c r="AJ65" s="179">
        <v>300000</v>
      </c>
      <c r="AK65" s="168" t="s">
        <v>60</v>
      </c>
    </row>
    <row r="66" spans="1:37" x14ac:dyDescent="0.35">
      <c r="A66" s="166">
        <v>54103114</v>
      </c>
      <c r="B66" s="181" t="s">
        <v>68</v>
      </c>
      <c r="C66" s="181" t="s">
        <v>157</v>
      </c>
      <c r="D66" s="193" t="s">
        <v>1527</v>
      </c>
      <c r="E66" s="181" t="s">
        <v>1528</v>
      </c>
      <c r="F66" s="181" t="s">
        <v>1529</v>
      </c>
      <c r="G66" s="185">
        <v>1038</v>
      </c>
      <c r="H66" s="742">
        <v>41856</v>
      </c>
      <c r="I66" s="167">
        <v>1730</v>
      </c>
      <c r="J66" s="167">
        <v>50814</v>
      </c>
      <c r="K66" s="167">
        <v>1735</v>
      </c>
      <c r="L66" s="189">
        <v>50814</v>
      </c>
      <c r="M66" s="189">
        <v>1945</v>
      </c>
      <c r="N66" s="190" t="s">
        <v>1352</v>
      </c>
      <c r="O66" s="191"/>
      <c r="P66" s="191">
        <v>1</v>
      </c>
      <c r="Q66" s="191"/>
      <c r="R66" s="191"/>
      <c r="S66" s="191"/>
      <c r="T66" s="191"/>
      <c r="U66" s="191"/>
      <c r="V66" s="191"/>
      <c r="W66" s="191"/>
      <c r="X66" s="191"/>
      <c r="Y66" s="168">
        <f t="shared" si="2"/>
        <v>0</v>
      </c>
      <c r="Z66" s="168">
        <f t="shared" si="2"/>
        <v>1</v>
      </c>
      <c r="AA66" s="168">
        <f t="shared" si="2"/>
        <v>0</v>
      </c>
      <c r="AB66" s="168">
        <f t="shared" si="2"/>
        <v>0</v>
      </c>
      <c r="AC66" s="192"/>
      <c r="AD66" s="168">
        <f t="shared" si="1"/>
        <v>1</v>
      </c>
      <c r="AE66" s="169" t="s">
        <v>1530</v>
      </c>
      <c r="AF66" s="169" t="s">
        <v>117</v>
      </c>
      <c r="AG66" s="169" t="s">
        <v>57</v>
      </c>
      <c r="AH66" s="169" t="s">
        <v>1531</v>
      </c>
      <c r="AI66" s="169" t="s">
        <v>1532</v>
      </c>
      <c r="AJ66" s="179">
        <v>12500</v>
      </c>
      <c r="AK66" s="168" t="s">
        <v>60</v>
      </c>
    </row>
    <row r="67" spans="1:37" x14ac:dyDescent="0.35">
      <c r="A67" s="166">
        <v>55101214</v>
      </c>
      <c r="B67" s="181" t="s">
        <v>83</v>
      </c>
      <c r="C67" s="181" t="s">
        <v>83</v>
      </c>
      <c r="D67" s="188" t="s">
        <v>1382</v>
      </c>
      <c r="E67" s="165" t="s">
        <v>1533</v>
      </c>
      <c r="F67" s="165" t="s">
        <v>1534</v>
      </c>
      <c r="G67" s="166">
        <v>775</v>
      </c>
      <c r="H67" s="742">
        <v>41857</v>
      </c>
      <c r="I67" s="167">
        <v>1430</v>
      </c>
      <c r="J67" s="167">
        <v>60814</v>
      </c>
      <c r="K67" s="167">
        <v>1440</v>
      </c>
      <c r="L67" s="189">
        <v>60814</v>
      </c>
      <c r="M67" s="189">
        <v>1840</v>
      </c>
      <c r="N67" s="190" t="s">
        <v>1352</v>
      </c>
      <c r="O67" s="191"/>
      <c r="P67" s="191">
        <v>0.5</v>
      </c>
      <c r="Q67" s="191"/>
      <c r="R67" s="191"/>
      <c r="S67" s="191"/>
      <c r="T67" s="191"/>
      <c r="U67" s="191"/>
      <c r="V67" s="191"/>
      <c r="W67" s="191"/>
      <c r="X67" s="191"/>
      <c r="Y67" s="168">
        <f t="shared" si="2"/>
        <v>0</v>
      </c>
      <c r="Z67" s="168">
        <f t="shared" si="2"/>
        <v>0.5</v>
      </c>
      <c r="AA67" s="168">
        <f t="shared" si="2"/>
        <v>0</v>
      </c>
      <c r="AB67" s="168">
        <f t="shared" si="2"/>
        <v>0</v>
      </c>
      <c r="AC67" s="192"/>
      <c r="AD67" s="168">
        <f t="shared" si="1"/>
        <v>0.5</v>
      </c>
      <c r="AE67" s="169" t="s">
        <v>117</v>
      </c>
      <c r="AF67" s="169" t="s">
        <v>117</v>
      </c>
      <c r="AG67" s="169" t="s">
        <v>57</v>
      </c>
      <c r="AH67" s="169" t="s">
        <v>1380</v>
      </c>
      <c r="AI67" s="169" t="s">
        <v>1381</v>
      </c>
      <c r="AJ67" s="179">
        <v>102000</v>
      </c>
      <c r="AK67" s="168" t="s">
        <v>60</v>
      </c>
    </row>
    <row r="68" spans="1:37" x14ac:dyDescent="0.35">
      <c r="A68" s="166">
        <v>56102914</v>
      </c>
      <c r="B68" s="181" t="s">
        <v>145</v>
      </c>
      <c r="C68" s="181" t="s">
        <v>1475</v>
      </c>
      <c r="D68" s="182" t="s">
        <v>1336</v>
      </c>
      <c r="E68" s="165" t="s">
        <v>1535</v>
      </c>
      <c r="F68" s="165" t="s">
        <v>1536</v>
      </c>
      <c r="G68" s="166">
        <v>600</v>
      </c>
      <c r="H68" s="742">
        <v>41858</v>
      </c>
      <c r="I68" s="167">
        <v>1408</v>
      </c>
      <c r="J68" s="167">
        <v>70814</v>
      </c>
      <c r="K68" s="167">
        <v>1415</v>
      </c>
      <c r="L68" s="189">
        <v>70814</v>
      </c>
      <c r="M68" s="189">
        <v>1615</v>
      </c>
      <c r="N68" s="191" t="s">
        <v>1537</v>
      </c>
      <c r="O68" s="181"/>
      <c r="P68" s="181">
        <v>1</v>
      </c>
      <c r="Q68" s="181"/>
      <c r="R68" s="181"/>
      <c r="S68" s="181"/>
      <c r="T68" s="181"/>
      <c r="U68" s="181"/>
      <c r="V68" s="181"/>
      <c r="W68" s="181"/>
      <c r="X68" s="191"/>
      <c r="Y68" s="168">
        <f t="shared" si="2"/>
        <v>0</v>
      </c>
      <c r="Z68" s="168">
        <f t="shared" si="2"/>
        <v>1</v>
      </c>
      <c r="AA68" s="168">
        <f t="shared" si="2"/>
        <v>0</v>
      </c>
      <c r="AB68" s="168">
        <f t="shared" si="2"/>
        <v>0</v>
      </c>
      <c r="AC68" s="192"/>
      <c r="AD68" s="168">
        <f t="shared" si="1"/>
        <v>1</v>
      </c>
      <c r="AE68" s="169" t="s">
        <v>117</v>
      </c>
      <c r="AF68" s="169" t="s">
        <v>117</v>
      </c>
      <c r="AG68" s="169" t="s">
        <v>57</v>
      </c>
      <c r="AH68" s="169" t="s">
        <v>1380</v>
      </c>
      <c r="AI68" s="169" t="s">
        <v>1385</v>
      </c>
      <c r="AJ68" s="179">
        <v>203000</v>
      </c>
      <c r="AK68" s="168" t="s">
        <v>60</v>
      </c>
    </row>
    <row r="69" spans="1:37" x14ac:dyDescent="0.35">
      <c r="A69" s="166">
        <v>57101114</v>
      </c>
      <c r="B69" s="181" t="s">
        <v>1538</v>
      </c>
      <c r="C69" s="181" t="s">
        <v>186</v>
      </c>
      <c r="D69" s="182" t="s">
        <v>1539</v>
      </c>
      <c r="E69" s="165" t="s">
        <v>1540</v>
      </c>
      <c r="F69" s="165" t="s">
        <v>1541</v>
      </c>
      <c r="G69" s="166">
        <v>1000</v>
      </c>
      <c r="H69" s="742">
        <v>41858</v>
      </c>
      <c r="I69" s="167">
        <v>1445</v>
      </c>
      <c r="J69" s="189">
        <v>70814</v>
      </c>
      <c r="K69" s="167">
        <v>1500</v>
      </c>
      <c r="L69" s="189">
        <v>70814</v>
      </c>
      <c r="M69" s="189">
        <v>1715</v>
      </c>
      <c r="N69" s="194" t="s">
        <v>1537</v>
      </c>
      <c r="O69" s="181">
        <v>0</v>
      </c>
      <c r="P69" s="181">
        <v>2</v>
      </c>
      <c r="Q69" s="181"/>
      <c r="R69" s="181"/>
      <c r="S69" s="181"/>
      <c r="T69" s="181"/>
      <c r="U69" s="181"/>
      <c r="V69" s="181"/>
      <c r="W69" s="181"/>
      <c r="X69" s="191"/>
      <c r="Y69" s="168">
        <f t="shared" si="2"/>
        <v>0</v>
      </c>
      <c r="Z69" s="168">
        <f t="shared" si="2"/>
        <v>2</v>
      </c>
      <c r="AA69" s="168">
        <f t="shared" si="2"/>
        <v>0</v>
      </c>
      <c r="AB69" s="168">
        <f t="shared" si="2"/>
        <v>0</v>
      </c>
      <c r="AC69" s="192"/>
      <c r="AD69" s="168">
        <f t="shared" si="1"/>
        <v>2</v>
      </c>
      <c r="AE69" s="169" t="s">
        <v>117</v>
      </c>
      <c r="AF69" s="169" t="s">
        <v>117</v>
      </c>
      <c r="AG69" s="169" t="s">
        <v>72</v>
      </c>
      <c r="AH69" s="169" t="s">
        <v>1369</v>
      </c>
      <c r="AI69" s="169" t="s">
        <v>1390</v>
      </c>
      <c r="AJ69" s="179">
        <v>120000</v>
      </c>
      <c r="AK69" s="168" t="s">
        <v>60</v>
      </c>
    </row>
    <row r="70" spans="1:37" x14ac:dyDescent="0.35">
      <c r="A70" s="166">
        <v>58101614</v>
      </c>
      <c r="B70" s="181" t="s">
        <v>208</v>
      </c>
      <c r="C70" s="181" t="s">
        <v>1513</v>
      </c>
      <c r="D70" s="182" t="s">
        <v>1542</v>
      </c>
      <c r="E70" s="165" t="s">
        <v>1543</v>
      </c>
      <c r="F70" s="165" t="s">
        <v>1544</v>
      </c>
      <c r="G70" s="166">
        <v>560</v>
      </c>
      <c r="H70" s="742">
        <v>41858</v>
      </c>
      <c r="I70" s="167">
        <v>1540</v>
      </c>
      <c r="J70" s="167">
        <v>70814</v>
      </c>
      <c r="K70" s="167">
        <v>1555</v>
      </c>
      <c r="L70" s="189">
        <v>70814</v>
      </c>
      <c r="M70" s="189">
        <v>1730</v>
      </c>
      <c r="N70" s="194" t="s">
        <v>62</v>
      </c>
      <c r="O70" s="181">
        <v>0.5</v>
      </c>
      <c r="P70" s="181"/>
      <c r="Q70" s="181"/>
      <c r="R70" s="181"/>
      <c r="S70" s="181"/>
      <c r="T70" s="181"/>
      <c r="U70" s="181"/>
      <c r="V70" s="181"/>
      <c r="W70" s="181"/>
      <c r="X70" s="191" t="s">
        <v>1545</v>
      </c>
      <c r="Y70" s="168">
        <f t="shared" si="2"/>
        <v>0.5</v>
      </c>
      <c r="Z70" s="168">
        <f t="shared" si="2"/>
        <v>0</v>
      </c>
      <c r="AA70" s="168">
        <f t="shared" si="2"/>
        <v>0</v>
      </c>
      <c r="AB70" s="168">
        <f t="shared" si="2"/>
        <v>0</v>
      </c>
      <c r="AC70" s="191" t="s">
        <v>1545</v>
      </c>
      <c r="AD70" s="168">
        <f t="shared" si="1"/>
        <v>0.5</v>
      </c>
      <c r="AE70" s="169" t="s">
        <v>117</v>
      </c>
      <c r="AF70" s="169" t="s">
        <v>117</v>
      </c>
      <c r="AG70" s="169" t="s">
        <v>57</v>
      </c>
      <c r="AH70" s="169" t="s">
        <v>1521</v>
      </c>
      <c r="AI70" s="169" t="s">
        <v>1370</v>
      </c>
      <c r="AJ70" s="179">
        <v>50000</v>
      </c>
      <c r="AK70" s="168" t="s">
        <v>60</v>
      </c>
    </row>
    <row r="71" spans="1:37" x14ac:dyDescent="0.35">
      <c r="A71" s="166">
        <v>59103514</v>
      </c>
      <c r="B71" s="181" t="s">
        <v>1391</v>
      </c>
      <c r="C71" s="181" t="s">
        <v>1391</v>
      </c>
      <c r="D71" s="182" t="s">
        <v>1546</v>
      </c>
      <c r="E71" s="165" t="s">
        <v>1547</v>
      </c>
      <c r="F71" s="165" t="s">
        <v>1548</v>
      </c>
      <c r="G71" s="166">
        <v>720</v>
      </c>
      <c r="H71" s="742">
        <v>41858</v>
      </c>
      <c r="I71" s="167">
        <v>1815</v>
      </c>
      <c r="J71" s="167">
        <v>70814</v>
      </c>
      <c r="K71" s="167">
        <v>1825</v>
      </c>
      <c r="L71" s="189">
        <v>70814</v>
      </c>
      <c r="M71" s="189">
        <v>1845</v>
      </c>
      <c r="N71" s="194" t="s">
        <v>1339</v>
      </c>
      <c r="O71" s="181"/>
      <c r="P71" s="181"/>
      <c r="Q71" s="181">
        <v>0.04</v>
      </c>
      <c r="R71" s="181"/>
      <c r="S71" s="181"/>
      <c r="T71" s="181"/>
      <c r="U71" s="181"/>
      <c r="V71" s="181"/>
      <c r="W71" s="181"/>
      <c r="X71" s="191"/>
      <c r="Y71" s="168">
        <f t="shared" si="2"/>
        <v>0</v>
      </c>
      <c r="Z71" s="168">
        <f t="shared" si="2"/>
        <v>0</v>
      </c>
      <c r="AA71" s="168">
        <f t="shared" si="2"/>
        <v>0.04</v>
      </c>
      <c r="AB71" s="168">
        <f t="shared" si="2"/>
        <v>0</v>
      </c>
      <c r="AC71" s="191"/>
      <c r="AD71" s="168">
        <f t="shared" si="1"/>
        <v>0.04</v>
      </c>
      <c r="AE71" s="169" t="s">
        <v>117</v>
      </c>
      <c r="AF71" s="169" t="s">
        <v>117</v>
      </c>
      <c r="AG71" s="169" t="s">
        <v>57</v>
      </c>
      <c r="AH71" s="169" t="s">
        <v>1549</v>
      </c>
      <c r="AI71" s="169" t="s">
        <v>1550</v>
      </c>
      <c r="AJ71" s="179">
        <v>5000</v>
      </c>
      <c r="AK71" s="168" t="s">
        <v>60</v>
      </c>
    </row>
    <row r="72" spans="1:37" x14ac:dyDescent="0.35">
      <c r="A72" s="166">
        <v>6010114</v>
      </c>
      <c r="B72" s="181" t="s">
        <v>145</v>
      </c>
      <c r="C72" s="181" t="s">
        <v>145</v>
      </c>
      <c r="D72" s="182" t="s">
        <v>1551</v>
      </c>
      <c r="E72" s="165" t="s">
        <v>1552</v>
      </c>
      <c r="F72" s="165" t="s">
        <v>1553</v>
      </c>
      <c r="G72" s="166">
        <v>568</v>
      </c>
      <c r="H72" s="742">
        <v>41858</v>
      </c>
      <c r="I72" s="167">
        <v>1910</v>
      </c>
      <c r="J72" s="167">
        <v>70814</v>
      </c>
      <c r="K72" s="167">
        <v>1920</v>
      </c>
      <c r="L72" s="189">
        <v>70814</v>
      </c>
      <c r="M72" s="189">
        <v>2120</v>
      </c>
      <c r="N72" s="194" t="s">
        <v>1537</v>
      </c>
      <c r="O72" s="181">
        <v>0.5</v>
      </c>
      <c r="P72" s="181">
        <v>1</v>
      </c>
      <c r="Q72" s="181"/>
      <c r="R72" s="181"/>
      <c r="S72" s="181"/>
      <c r="T72" s="181"/>
      <c r="U72" s="181"/>
      <c r="V72" s="181"/>
      <c r="W72" s="181"/>
      <c r="X72" s="191"/>
      <c r="Y72" s="168">
        <f t="shared" si="2"/>
        <v>0.5</v>
      </c>
      <c r="Z72" s="168">
        <f t="shared" si="2"/>
        <v>1</v>
      </c>
      <c r="AA72" s="168">
        <f t="shared" si="2"/>
        <v>0</v>
      </c>
      <c r="AB72" s="168">
        <f t="shared" si="2"/>
        <v>0</v>
      </c>
      <c r="AC72" s="191"/>
      <c r="AD72" s="168">
        <f t="shared" si="1"/>
        <v>1.5</v>
      </c>
      <c r="AE72" s="169" t="s">
        <v>117</v>
      </c>
      <c r="AF72" s="169" t="s">
        <v>117</v>
      </c>
      <c r="AG72" s="169" t="s">
        <v>57</v>
      </c>
      <c r="AH72" s="169" t="s">
        <v>1380</v>
      </c>
      <c r="AI72" s="169" t="s">
        <v>1550</v>
      </c>
      <c r="AJ72" s="179">
        <v>324000</v>
      </c>
      <c r="AK72" s="168" t="s">
        <v>60</v>
      </c>
    </row>
    <row r="73" spans="1:37" x14ac:dyDescent="0.35">
      <c r="A73" s="166">
        <v>61102214</v>
      </c>
      <c r="B73" s="181" t="s">
        <v>49</v>
      </c>
      <c r="C73" s="181" t="s">
        <v>137</v>
      </c>
      <c r="D73" s="182" t="s">
        <v>1554</v>
      </c>
      <c r="E73" s="165" t="s">
        <v>1555</v>
      </c>
      <c r="F73" s="165" t="s">
        <v>1556</v>
      </c>
      <c r="G73" s="166">
        <v>768</v>
      </c>
      <c r="H73" s="742">
        <v>41859</v>
      </c>
      <c r="I73" s="167">
        <v>1230</v>
      </c>
      <c r="J73" s="167">
        <v>80814</v>
      </c>
      <c r="K73" s="167">
        <v>1240</v>
      </c>
      <c r="L73" s="189">
        <v>80814</v>
      </c>
      <c r="M73" s="189">
        <v>1430</v>
      </c>
      <c r="N73" s="194" t="s">
        <v>62</v>
      </c>
      <c r="O73" s="181">
        <v>1.5</v>
      </c>
      <c r="P73" s="181"/>
      <c r="Q73" s="181"/>
      <c r="R73" s="181"/>
      <c r="S73" s="181"/>
      <c r="T73" s="181"/>
      <c r="U73" s="181"/>
      <c r="V73" s="181"/>
      <c r="W73" s="181"/>
      <c r="X73" s="191"/>
      <c r="Y73" s="168">
        <f t="shared" si="2"/>
        <v>1.5</v>
      </c>
      <c r="Z73" s="168">
        <f t="shared" si="2"/>
        <v>0</v>
      </c>
      <c r="AA73" s="168">
        <f t="shared" si="2"/>
        <v>0</v>
      </c>
      <c r="AB73" s="168">
        <f t="shared" si="2"/>
        <v>0</v>
      </c>
      <c r="AC73" s="191"/>
      <c r="AD73" s="168">
        <f t="shared" si="1"/>
        <v>1.5</v>
      </c>
      <c r="AE73" s="169" t="s">
        <v>71</v>
      </c>
      <c r="AF73" s="169" t="s">
        <v>117</v>
      </c>
      <c r="AG73" s="169" t="s">
        <v>493</v>
      </c>
      <c r="AH73" s="169" t="s">
        <v>1557</v>
      </c>
      <c r="AI73" s="169" t="s">
        <v>1385</v>
      </c>
      <c r="AJ73" s="179">
        <v>44680</v>
      </c>
      <c r="AK73" s="168" t="s">
        <v>60</v>
      </c>
    </row>
    <row r="74" spans="1:37" x14ac:dyDescent="0.35">
      <c r="A74" s="166">
        <v>62101314</v>
      </c>
      <c r="B74" s="181" t="s">
        <v>198</v>
      </c>
      <c r="C74" s="181" t="s">
        <v>198</v>
      </c>
      <c r="D74" s="182" t="s">
        <v>1558</v>
      </c>
      <c r="E74" s="165" t="s">
        <v>1559</v>
      </c>
      <c r="F74" s="165" t="s">
        <v>1560</v>
      </c>
      <c r="G74" s="166">
        <v>530</v>
      </c>
      <c r="H74" s="742">
        <v>41859</v>
      </c>
      <c r="I74" s="167">
        <v>1340</v>
      </c>
      <c r="J74" s="167">
        <v>80814</v>
      </c>
      <c r="K74" s="167">
        <v>1400</v>
      </c>
      <c r="L74" s="189">
        <v>80814</v>
      </c>
      <c r="M74" s="189">
        <v>1830</v>
      </c>
      <c r="N74" s="194" t="s">
        <v>1352</v>
      </c>
      <c r="O74" s="181"/>
      <c r="P74" s="181">
        <v>3</v>
      </c>
      <c r="Q74" s="181"/>
      <c r="R74" s="181"/>
      <c r="S74" s="181" t="s">
        <v>1471</v>
      </c>
      <c r="T74" s="181"/>
      <c r="U74" s="181"/>
      <c r="V74" s="181"/>
      <c r="W74" s="181"/>
      <c r="X74" s="191"/>
      <c r="Y74" s="168">
        <f t="shared" si="2"/>
        <v>0</v>
      </c>
      <c r="Z74" s="168">
        <f t="shared" si="2"/>
        <v>3</v>
      </c>
      <c r="AA74" s="168">
        <f t="shared" si="2"/>
        <v>0</v>
      </c>
      <c r="AB74" s="168">
        <f t="shared" si="2"/>
        <v>0</v>
      </c>
      <c r="AC74" s="191" t="s">
        <v>1471</v>
      </c>
      <c r="AD74" s="168">
        <f t="shared" si="1"/>
        <v>3</v>
      </c>
      <c r="AE74" s="169" t="s">
        <v>117</v>
      </c>
      <c r="AF74" s="169" t="s">
        <v>117</v>
      </c>
      <c r="AG74" s="169" t="s">
        <v>57</v>
      </c>
      <c r="AH74" s="169" t="s">
        <v>1561</v>
      </c>
      <c r="AI74" s="169" t="s">
        <v>1522</v>
      </c>
      <c r="AJ74" s="179">
        <v>175000</v>
      </c>
      <c r="AK74" s="168" t="s">
        <v>60</v>
      </c>
    </row>
    <row r="75" spans="1:37" x14ac:dyDescent="0.35">
      <c r="A75" s="166">
        <v>63100514</v>
      </c>
      <c r="B75" s="181" t="s">
        <v>208</v>
      </c>
      <c r="C75" s="181" t="s">
        <v>208</v>
      </c>
      <c r="D75" s="182" t="s">
        <v>1562</v>
      </c>
      <c r="E75" s="165" t="s">
        <v>1563</v>
      </c>
      <c r="F75" s="165" t="s">
        <v>1416</v>
      </c>
      <c r="G75" s="166">
        <v>715</v>
      </c>
      <c r="H75" s="742">
        <v>41859</v>
      </c>
      <c r="I75" s="167">
        <v>1600</v>
      </c>
      <c r="J75" s="167">
        <v>80814</v>
      </c>
      <c r="K75" s="167">
        <v>1420</v>
      </c>
      <c r="L75" s="189">
        <v>80814</v>
      </c>
      <c r="M75" s="189">
        <v>1910</v>
      </c>
      <c r="N75" s="194" t="s">
        <v>1517</v>
      </c>
      <c r="O75" s="181"/>
      <c r="P75" s="181"/>
      <c r="Q75" s="181"/>
      <c r="R75" s="181"/>
      <c r="S75" s="181"/>
      <c r="T75" s="181"/>
      <c r="U75" s="181">
        <v>4</v>
      </c>
      <c r="V75" s="181"/>
      <c r="W75" s="181"/>
      <c r="X75" s="191"/>
      <c r="Y75" s="168">
        <f t="shared" si="2"/>
        <v>0</v>
      </c>
      <c r="Z75" s="168">
        <f t="shared" si="2"/>
        <v>4</v>
      </c>
      <c r="AA75" s="168">
        <f t="shared" si="2"/>
        <v>0</v>
      </c>
      <c r="AB75" s="168">
        <f t="shared" si="2"/>
        <v>0</v>
      </c>
      <c r="AC75" s="191"/>
      <c r="AD75" s="168">
        <f t="shared" si="1"/>
        <v>4</v>
      </c>
      <c r="AE75" s="169" t="s">
        <v>117</v>
      </c>
      <c r="AF75" s="169" t="s">
        <v>117</v>
      </c>
      <c r="AG75" s="169" t="s">
        <v>72</v>
      </c>
      <c r="AH75" s="169" t="s">
        <v>1417</v>
      </c>
      <c r="AI75" s="169" t="s">
        <v>65</v>
      </c>
      <c r="AJ75" s="179">
        <v>200000</v>
      </c>
      <c r="AK75" s="168" t="s">
        <v>60</v>
      </c>
    </row>
    <row r="76" spans="1:37" x14ac:dyDescent="0.35">
      <c r="A76" s="166">
        <v>64100514</v>
      </c>
      <c r="B76" s="181" t="s">
        <v>208</v>
      </c>
      <c r="C76" s="181" t="s">
        <v>208</v>
      </c>
      <c r="D76" s="182" t="s">
        <v>1564</v>
      </c>
      <c r="E76" s="165" t="s">
        <v>1565</v>
      </c>
      <c r="F76" s="165" t="s">
        <v>1566</v>
      </c>
      <c r="G76" s="166">
        <v>770</v>
      </c>
      <c r="H76" s="742">
        <v>41859</v>
      </c>
      <c r="I76" s="167">
        <v>1625</v>
      </c>
      <c r="J76" s="167">
        <v>80814</v>
      </c>
      <c r="K76" s="167">
        <v>1640</v>
      </c>
      <c r="L76" s="189">
        <v>80814</v>
      </c>
      <c r="M76" s="189">
        <v>1945</v>
      </c>
      <c r="N76" s="194" t="s">
        <v>1517</v>
      </c>
      <c r="O76" s="181"/>
      <c r="P76" s="181">
        <v>0.5</v>
      </c>
      <c r="Q76" s="181"/>
      <c r="R76" s="181"/>
      <c r="S76" s="181"/>
      <c r="T76" s="181"/>
      <c r="U76" s="181"/>
      <c r="V76" s="181"/>
      <c r="W76" s="181"/>
      <c r="X76" s="191"/>
      <c r="Y76" s="168">
        <f t="shared" si="2"/>
        <v>0</v>
      </c>
      <c r="Z76" s="168">
        <f t="shared" si="2"/>
        <v>0.5</v>
      </c>
      <c r="AA76" s="168">
        <f t="shared" si="2"/>
        <v>0</v>
      </c>
      <c r="AB76" s="168">
        <f t="shared" si="2"/>
        <v>0</v>
      </c>
      <c r="AC76" s="191"/>
      <c r="AD76" s="168">
        <f t="shared" si="1"/>
        <v>0.5</v>
      </c>
      <c r="AE76" s="169" t="s">
        <v>117</v>
      </c>
      <c r="AF76" s="169" t="s">
        <v>117</v>
      </c>
      <c r="AG76" s="169" t="s">
        <v>72</v>
      </c>
      <c r="AH76" s="169" t="s">
        <v>1417</v>
      </c>
      <c r="AI76" s="169" t="s">
        <v>65</v>
      </c>
      <c r="AJ76" s="179">
        <v>25000</v>
      </c>
      <c r="AK76" s="168" t="s">
        <v>60</v>
      </c>
    </row>
    <row r="77" spans="1:37" x14ac:dyDescent="0.35">
      <c r="A77" s="166">
        <v>65104414</v>
      </c>
      <c r="B77" s="181" t="s">
        <v>1423</v>
      </c>
      <c r="C77" s="181" t="s">
        <v>1424</v>
      </c>
      <c r="D77" s="182" t="s">
        <v>1567</v>
      </c>
      <c r="E77" s="165" t="s">
        <v>1568</v>
      </c>
      <c r="F77" s="165" t="s">
        <v>1569</v>
      </c>
      <c r="G77" s="166">
        <v>540</v>
      </c>
      <c r="H77" s="742">
        <v>41859</v>
      </c>
      <c r="I77" s="167">
        <v>1820</v>
      </c>
      <c r="J77" s="167">
        <v>80814</v>
      </c>
      <c r="K77" s="167">
        <v>1900</v>
      </c>
      <c r="L77" s="189">
        <v>80814</v>
      </c>
      <c r="M77" s="189">
        <v>1930</v>
      </c>
      <c r="N77" s="194" t="s">
        <v>62</v>
      </c>
      <c r="O77" s="181"/>
      <c r="P77" s="181"/>
      <c r="Q77" s="181"/>
      <c r="R77" s="181"/>
      <c r="S77" s="181"/>
      <c r="T77" s="181">
        <v>1</v>
      </c>
      <c r="U77" s="181"/>
      <c r="V77" s="181"/>
      <c r="W77" s="181"/>
      <c r="X77" s="191"/>
      <c r="Y77" s="168">
        <f t="shared" si="2"/>
        <v>1</v>
      </c>
      <c r="Z77" s="168">
        <f t="shared" si="2"/>
        <v>0</v>
      </c>
      <c r="AA77" s="168">
        <f t="shared" si="2"/>
        <v>0</v>
      </c>
      <c r="AB77" s="168">
        <f t="shared" si="2"/>
        <v>0</v>
      </c>
      <c r="AC77" s="191"/>
      <c r="AD77" s="168">
        <f t="shared" si="1"/>
        <v>1</v>
      </c>
      <c r="AE77" s="169" t="s">
        <v>117</v>
      </c>
      <c r="AF77" s="169" t="s">
        <v>117</v>
      </c>
      <c r="AG77" s="169" t="s">
        <v>57</v>
      </c>
      <c r="AH77" s="169" t="s">
        <v>1570</v>
      </c>
      <c r="AI77" s="169" t="s">
        <v>1381</v>
      </c>
      <c r="AJ77" s="179">
        <v>100000</v>
      </c>
      <c r="AK77" s="168" t="s">
        <v>60</v>
      </c>
    </row>
    <row r="78" spans="1:37" x14ac:dyDescent="0.35">
      <c r="A78" s="166">
        <v>66101814</v>
      </c>
      <c r="B78" s="181" t="s">
        <v>1538</v>
      </c>
      <c r="C78" s="181" t="s">
        <v>101</v>
      </c>
      <c r="D78" s="182" t="s">
        <v>1371</v>
      </c>
      <c r="E78" s="165" t="s">
        <v>1571</v>
      </c>
      <c r="F78" s="165" t="s">
        <v>1572</v>
      </c>
      <c r="G78" s="166">
        <v>900</v>
      </c>
      <c r="H78" s="742">
        <v>41859</v>
      </c>
      <c r="I78" s="167">
        <v>1830</v>
      </c>
      <c r="J78" s="189">
        <v>80814</v>
      </c>
      <c r="K78" s="167">
        <v>1845</v>
      </c>
      <c r="L78" s="189">
        <v>80814</v>
      </c>
      <c r="M78" s="189">
        <v>1930</v>
      </c>
      <c r="N78" s="194" t="s">
        <v>62</v>
      </c>
      <c r="O78" s="181">
        <v>0.2</v>
      </c>
      <c r="P78" s="181"/>
      <c r="Q78" s="181"/>
      <c r="R78" s="181"/>
      <c r="S78" s="181"/>
      <c r="T78" s="181"/>
      <c r="U78" s="181"/>
      <c r="V78" s="181"/>
      <c r="W78" s="181"/>
      <c r="X78" s="191"/>
      <c r="Y78" s="168">
        <f t="shared" si="2"/>
        <v>0.2</v>
      </c>
      <c r="Z78" s="168">
        <f t="shared" si="2"/>
        <v>0</v>
      </c>
      <c r="AA78" s="168">
        <f t="shared" si="2"/>
        <v>0</v>
      </c>
      <c r="AB78" s="168">
        <f t="shared" si="2"/>
        <v>0</v>
      </c>
      <c r="AC78" s="191"/>
      <c r="AD78" s="168">
        <f t="shared" ref="AD78:AD141" si="3">Y78+Z78+AA78+AB78</f>
        <v>0.2</v>
      </c>
      <c r="AE78" s="169" t="s">
        <v>117</v>
      </c>
      <c r="AF78" s="169" t="s">
        <v>117</v>
      </c>
      <c r="AG78" s="169" t="s">
        <v>72</v>
      </c>
      <c r="AH78" s="169" t="s">
        <v>1420</v>
      </c>
      <c r="AI78" s="169" t="s">
        <v>1370</v>
      </c>
      <c r="AJ78" s="179">
        <v>20000</v>
      </c>
      <c r="AK78" s="168" t="s">
        <v>60</v>
      </c>
    </row>
    <row r="79" spans="1:37" x14ac:dyDescent="0.35">
      <c r="A79" s="166">
        <v>67100514</v>
      </c>
      <c r="B79" s="181" t="s">
        <v>208</v>
      </c>
      <c r="C79" s="181" t="s">
        <v>208</v>
      </c>
      <c r="D79" s="182" t="s">
        <v>1564</v>
      </c>
      <c r="E79" s="165" t="s">
        <v>1573</v>
      </c>
      <c r="F79" s="165" t="s">
        <v>1574</v>
      </c>
      <c r="G79" s="166">
        <v>500</v>
      </c>
      <c r="H79" s="742">
        <v>41859</v>
      </c>
      <c r="I79" s="167">
        <v>2000</v>
      </c>
      <c r="J79" s="167">
        <v>80814</v>
      </c>
      <c r="K79" s="167">
        <v>2015</v>
      </c>
      <c r="L79" s="189">
        <v>90814</v>
      </c>
      <c r="M79" s="189">
        <v>2000</v>
      </c>
      <c r="N79" s="194" t="s">
        <v>1517</v>
      </c>
      <c r="O79" s="181"/>
      <c r="P79" s="181">
        <v>10</v>
      </c>
      <c r="Q79" s="181"/>
      <c r="R79" s="181"/>
      <c r="S79" s="181"/>
      <c r="T79" s="181"/>
      <c r="U79" s="181"/>
      <c r="V79" s="181"/>
      <c r="W79" s="181"/>
      <c r="X79" s="191" t="s">
        <v>1575</v>
      </c>
      <c r="Y79" s="168">
        <f t="shared" si="2"/>
        <v>0</v>
      </c>
      <c r="Z79" s="168">
        <f t="shared" si="2"/>
        <v>10</v>
      </c>
      <c r="AA79" s="168">
        <f t="shared" si="2"/>
        <v>0</v>
      </c>
      <c r="AB79" s="168">
        <f t="shared" si="2"/>
        <v>0</v>
      </c>
      <c r="AC79" s="191" t="s">
        <v>1575</v>
      </c>
      <c r="AD79" s="168">
        <f t="shared" si="3"/>
        <v>10</v>
      </c>
      <c r="AE79" s="169" t="s">
        <v>117</v>
      </c>
      <c r="AF79" s="169" t="s">
        <v>117</v>
      </c>
      <c r="AG79" s="169" t="s">
        <v>72</v>
      </c>
      <c r="AH79" s="169" t="s">
        <v>1417</v>
      </c>
      <c r="AI79" s="169" t="s">
        <v>1370</v>
      </c>
      <c r="AJ79" s="179">
        <v>1200000</v>
      </c>
      <c r="AK79" s="168" t="s">
        <v>60</v>
      </c>
    </row>
    <row r="80" spans="1:37" x14ac:dyDescent="0.35">
      <c r="A80" s="166">
        <v>68100514</v>
      </c>
      <c r="B80" s="181" t="s">
        <v>208</v>
      </c>
      <c r="C80" s="181" t="s">
        <v>208</v>
      </c>
      <c r="D80" s="182" t="s">
        <v>1576</v>
      </c>
      <c r="E80" s="165" t="s">
        <v>1577</v>
      </c>
      <c r="F80" s="165" t="s">
        <v>1578</v>
      </c>
      <c r="G80" s="166">
        <v>740</v>
      </c>
      <c r="H80" s="742">
        <v>41860</v>
      </c>
      <c r="I80" s="167">
        <v>1100</v>
      </c>
      <c r="J80" s="167"/>
      <c r="K80" s="167"/>
      <c r="L80" s="189">
        <v>90814</v>
      </c>
      <c r="M80" s="189">
        <v>1815</v>
      </c>
      <c r="N80" s="194" t="s">
        <v>1517</v>
      </c>
      <c r="O80" s="181"/>
      <c r="P80" s="181">
        <v>6.5</v>
      </c>
      <c r="Q80" s="181"/>
      <c r="R80" s="181"/>
      <c r="S80" s="181"/>
      <c r="T80" s="181"/>
      <c r="U80" s="181"/>
      <c r="V80" s="181"/>
      <c r="W80" s="181"/>
      <c r="X80" s="191"/>
      <c r="Y80" s="168">
        <f t="shared" si="2"/>
        <v>0</v>
      </c>
      <c r="Z80" s="168">
        <f t="shared" si="2"/>
        <v>6.5</v>
      </c>
      <c r="AA80" s="168">
        <f t="shared" si="2"/>
        <v>0</v>
      </c>
      <c r="AB80" s="168">
        <f t="shared" si="2"/>
        <v>0</v>
      </c>
      <c r="AC80" s="191"/>
      <c r="AD80" s="168">
        <f t="shared" si="3"/>
        <v>6.5</v>
      </c>
      <c r="AE80" s="169" t="s">
        <v>117</v>
      </c>
      <c r="AF80" s="169" t="s">
        <v>117</v>
      </c>
      <c r="AG80" s="169" t="s">
        <v>72</v>
      </c>
      <c r="AH80" s="169" t="s">
        <v>1521</v>
      </c>
      <c r="AI80" s="169" t="s">
        <v>175</v>
      </c>
      <c r="AJ80" s="179">
        <v>500000</v>
      </c>
      <c r="AK80" s="168" t="s">
        <v>60</v>
      </c>
    </row>
    <row r="81" spans="1:37" x14ac:dyDescent="0.35">
      <c r="A81" s="166">
        <v>69101814</v>
      </c>
      <c r="B81" s="181" t="s">
        <v>1538</v>
      </c>
      <c r="C81" s="181" t="s">
        <v>101</v>
      </c>
      <c r="D81" s="182" t="s">
        <v>1371</v>
      </c>
      <c r="E81" s="165" t="s">
        <v>1579</v>
      </c>
      <c r="F81" s="165" t="s">
        <v>1580</v>
      </c>
      <c r="G81" s="166">
        <v>800</v>
      </c>
      <c r="H81" s="742">
        <v>41860</v>
      </c>
      <c r="I81" s="167">
        <v>1145</v>
      </c>
      <c r="J81" s="189">
        <v>90814</v>
      </c>
      <c r="K81" s="167">
        <v>1200</v>
      </c>
      <c r="L81" s="189">
        <v>90814</v>
      </c>
      <c r="M81" s="189">
        <v>1550</v>
      </c>
      <c r="N81" s="194" t="s">
        <v>1537</v>
      </c>
      <c r="O81" s="181"/>
      <c r="P81" s="181">
        <v>5</v>
      </c>
      <c r="Q81" s="181"/>
      <c r="R81" s="181"/>
      <c r="S81" s="181"/>
      <c r="T81" s="181"/>
      <c r="U81" s="181"/>
      <c r="V81" s="181"/>
      <c r="W81" s="181"/>
      <c r="X81" s="191"/>
      <c r="Y81" s="168">
        <f t="shared" si="2"/>
        <v>0</v>
      </c>
      <c r="Z81" s="168">
        <f t="shared" si="2"/>
        <v>5</v>
      </c>
      <c r="AA81" s="168">
        <f t="shared" si="2"/>
        <v>0</v>
      </c>
      <c r="AB81" s="168">
        <f t="shared" si="2"/>
        <v>0</v>
      </c>
      <c r="AC81" s="191"/>
      <c r="AD81" s="168">
        <f t="shared" si="3"/>
        <v>5</v>
      </c>
      <c r="AE81" s="169" t="s">
        <v>117</v>
      </c>
      <c r="AF81" s="169" t="s">
        <v>117</v>
      </c>
      <c r="AG81" s="169" t="s">
        <v>72</v>
      </c>
      <c r="AH81" s="169" t="s">
        <v>1521</v>
      </c>
      <c r="AI81" s="169" t="s">
        <v>1370</v>
      </c>
      <c r="AJ81" s="179">
        <v>100000</v>
      </c>
      <c r="AK81" s="168" t="s">
        <v>60</v>
      </c>
    </row>
    <row r="82" spans="1:37" x14ac:dyDescent="0.35">
      <c r="A82" s="166">
        <v>70101514</v>
      </c>
      <c r="B82" s="181" t="s">
        <v>1361</v>
      </c>
      <c r="C82" s="181" t="s">
        <v>1361</v>
      </c>
      <c r="D82" s="182" t="s">
        <v>1581</v>
      </c>
      <c r="E82" s="165" t="s">
        <v>1582</v>
      </c>
      <c r="F82" s="165" t="s">
        <v>1583</v>
      </c>
      <c r="G82" s="166">
        <v>740</v>
      </c>
      <c r="H82" s="742">
        <v>41860</v>
      </c>
      <c r="I82" s="167">
        <v>1230</v>
      </c>
      <c r="J82" s="167">
        <v>90814</v>
      </c>
      <c r="K82" s="167">
        <v>1300</v>
      </c>
      <c r="L82" s="189">
        <v>90814</v>
      </c>
      <c r="M82" s="189">
        <v>1800</v>
      </c>
      <c r="N82" s="194" t="s">
        <v>62</v>
      </c>
      <c r="O82" s="181">
        <v>1.5</v>
      </c>
      <c r="P82" s="181"/>
      <c r="Q82" s="181">
        <v>1.5</v>
      </c>
      <c r="R82" s="181"/>
      <c r="S82" s="181"/>
      <c r="T82" s="181"/>
      <c r="U82" s="181"/>
      <c r="V82" s="181"/>
      <c r="W82" s="181"/>
      <c r="X82" s="191"/>
      <c r="Y82" s="168">
        <f t="shared" si="2"/>
        <v>1.5</v>
      </c>
      <c r="Z82" s="168">
        <f t="shared" si="2"/>
        <v>0</v>
      </c>
      <c r="AA82" s="168">
        <f t="shared" si="2"/>
        <v>1.5</v>
      </c>
      <c r="AB82" s="168">
        <f t="shared" si="2"/>
        <v>0</v>
      </c>
      <c r="AC82" s="191"/>
      <c r="AD82" s="168">
        <f t="shared" si="3"/>
        <v>3</v>
      </c>
      <c r="AE82" s="169" t="s">
        <v>117</v>
      </c>
      <c r="AF82" s="169" t="s">
        <v>117</v>
      </c>
      <c r="AG82" s="169" t="s">
        <v>72</v>
      </c>
      <c r="AH82" s="169" t="s">
        <v>1584</v>
      </c>
      <c r="AI82" s="169" t="s">
        <v>1503</v>
      </c>
      <c r="AJ82" s="179">
        <v>300000</v>
      </c>
      <c r="AK82" s="168" t="s">
        <v>60</v>
      </c>
    </row>
    <row r="83" spans="1:37" x14ac:dyDescent="0.35">
      <c r="A83" s="166">
        <v>71101514</v>
      </c>
      <c r="B83" s="181" t="s">
        <v>1361</v>
      </c>
      <c r="C83" s="181" t="s">
        <v>1361</v>
      </c>
      <c r="D83" s="182" t="s">
        <v>1585</v>
      </c>
      <c r="E83" s="165" t="s">
        <v>1586</v>
      </c>
      <c r="F83" s="165" t="s">
        <v>1587</v>
      </c>
      <c r="G83" s="166">
        <v>826</v>
      </c>
      <c r="H83" s="742">
        <v>41860</v>
      </c>
      <c r="I83" s="167">
        <v>1530</v>
      </c>
      <c r="J83" s="167">
        <v>90814</v>
      </c>
      <c r="K83" s="167">
        <v>1545</v>
      </c>
      <c r="L83" s="189">
        <v>90814</v>
      </c>
      <c r="M83" s="189">
        <v>1650</v>
      </c>
      <c r="N83" s="194" t="s">
        <v>62</v>
      </c>
      <c r="O83" s="181">
        <v>3</v>
      </c>
      <c r="P83" s="181"/>
      <c r="Q83" s="181"/>
      <c r="R83" s="181"/>
      <c r="S83" s="181"/>
      <c r="T83" s="181"/>
      <c r="U83" s="181"/>
      <c r="V83" s="181"/>
      <c r="W83" s="181"/>
      <c r="X83" s="191"/>
      <c r="Y83" s="168">
        <f t="shared" si="2"/>
        <v>3</v>
      </c>
      <c r="Z83" s="168">
        <f t="shared" si="2"/>
        <v>0</v>
      </c>
      <c r="AA83" s="168">
        <f t="shared" si="2"/>
        <v>0</v>
      </c>
      <c r="AB83" s="168">
        <f t="shared" si="2"/>
        <v>0</v>
      </c>
      <c r="AC83" s="191"/>
      <c r="AD83" s="168">
        <f t="shared" si="3"/>
        <v>3</v>
      </c>
      <c r="AE83" s="169" t="s">
        <v>117</v>
      </c>
      <c r="AF83" s="169" t="s">
        <v>117</v>
      </c>
      <c r="AG83" s="169" t="s">
        <v>57</v>
      </c>
      <c r="AH83" s="169" t="s">
        <v>1420</v>
      </c>
      <c r="AI83" s="169" t="s">
        <v>1588</v>
      </c>
      <c r="AJ83" s="179">
        <v>250000</v>
      </c>
      <c r="AK83" s="168" t="s">
        <v>60</v>
      </c>
    </row>
    <row r="84" spans="1:37" x14ac:dyDescent="0.35">
      <c r="A84" s="166">
        <v>7210314</v>
      </c>
      <c r="B84" s="181" t="s">
        <v>198</v>
      </c>
      <c r="C84" s="181" t="s">
        <v>1523</v>
      </c>
      <c r="D84" s="182" t="s">
        <v>1589</v>
      </c>
      <c r="E84" s="165" t="s">
        <v>1590</v>
      </c>
      <c r="F84" s="165" t="s">
        <v>1591</v>
      </c>
      <c r="G84" s="166">
        <v>526</v>
      </c>
      <c r="H84" s="742">
        <v>41860</v>
      </c>
      <c r="I84" s="167">
        <v>1630</v>
      </c>
      <c r="J84" s="167">
        <v>90814</v>
      </c>
      <c r="K84" s="167">
        <v>1700</v>
      </c>
      <c r="L84" s="189">
        <v>90814</v>
      </c>
      <c r="M84" s="189">
        <v>1930</v>
      </c>
      <c r="N84" s="194" t="s">
        <v>62</v>
      </c>
      <c r="O84" s="181"/>
      <c r="P84" s="181"/>
      <c r="Q84" s="181"/>
      <c r="R84" s="181"/>
      <c r="S84" s="181"/>
      <c r="T84" s="181">
        <v>1.5</v>
      </c>
      <c r="U84" s="181"/>
      <c r="V84" s="181"/>
      <c r="W84" s="181"/>
      <c r="X84" s="191" t="s">
        <v>1592</v>
      </c>
      <c r="Y84" s="168">
        <f t="shared" si="2"/>
        <v>1.5</v>
      </c>
      <c r="Z84" s="168">
        <f t="shared" si="2"/>
        <v>0</v>
      </c>
      <c r="AA84" s="168">
        <f t="shared" si="2"/>
        <v>0</v>
      </c>
      <c r="AB84" s="168">
        <f t="shared" si="2"/>
        <v>0</v>
      </c>
      <c r="AC84" s="191" t="s">
        <v>1592</v>
      </c>
      <c r="AD84" s="168">
        <f t="shared" si="3"/>
        <v>1.5</v>
      </c>
      <c r="AE84" s="169" t="s">
        <v>117</v>
      </c>
      <c r="AF84" s="169" t="s">
        <v>117</v>
      </c>
      <c r="AG84" s="169" t="s">
        <v>72</v>
      </c>
      <c r="AH84" s="169" t="s">
        <v>1460</v>
      </c>
      <c r="AI84" s="169" t="s">
        <v>65</v>
      </c>
      <c r="AJ84" s="179">
        <v>150000</v>
      </c>
      <c r="AK84" s="168" t="s">
        <v>60</v>
      </c>
    </row>
    <row r="85" spans="1:37" x14ac:dyDescent="0.35">
      <c r="A85" s="166">
        <v>73102214</v>
      </c>
      <c r="B85" s="181" t="s">
        <v>49</v>
      </c>
      <c r="C85" s="181" t="s">
        <v>137</v>
      </c>
      <c r="D85" s="182" t="s">
        <v>1554</v>
      </c>
      <c r="E85" s="165" t="s">
        <v>1593</v>
      </c>
      <c r="F85" s="165" t="s">
        <v>1594</v>
      </c>
      <c r="G85" s="166">
        <v>772</v>
      </c>
      <c r="H85" s="742">
        <v>41861</v>
      </c>
      <c r="I85" s="189">
        <v>930</v>
      </c>
      <c r="J85" s="167">
        <v>100814</v>
      </c>
      <c r="K85" s="167">
        <v>940</v>
      </c>
      <c r="L85" s="189">
        <v>100814</v>
      </c>
      <c r="M85" s="189">
        <v>1100</v>
      </c>
      <c r="N85" s="191" t="s">
        <v>62</v>
      </c>
      <c r="O85" s="191">
        <v>0.25</v>
      </c>
      <c r="P85" s="191"/>
      <c r="Q85" s="191"/>
      <c r="R85" s="191"/>
      <c r="S85" s="191"/>
      <c r="T85" s="191"/>
      <c r="U85" s="191"/>
      <c r="V85" s="191"/>
      <c r="W85" s="191"/>
      <c r="X85" s="191"/>
      <c r="Y85" s="168">
        <f t="shared" si="2"/>
        <v>0.25</v>
      </c>
      <c r="Z85" s="168">
        <f t="shared" si="2"/>
        <v>0</v>
      </c>
      <c r="AA85" s="168">
        <f t="shared" si="2"/>
        <v>0</v>
      </c>
      <c r="AB85" s="168">
        <f t="shared" si="2"/>
        <v>0</v>
      </c>
      <c r="AC85" s="191"/>
      <c r="AD85" s="168">
        <f t="shared" si="3"/>
        <v>0.25</v>
      </c>
      <c r="AE85" s="169" t="s">
        <v>71</v>
      </c>
      <c r="AF85" s="169" t="s">
        <v>117</v>
      </c>
      <c r="AG85" s="169" t="s">
        <v>493</v>
      </c>
      <c r="AH85" s="169" t="s">
        <v>1595</v>
      </c>
      <c r="AI85" s="169" t="s">
        <v>65</v>
      </c>
      <c r="AJ85" s="179">
        <v>8350</v>
      </c>
      <c r="AK85" s="168" t="s">
        <v>60</v>
      </c>
    </row>
    <row r="86" spans="1:37" x14ac:dyDescent="0.35">
      <c r="A86" s="166">
        <v>74101514</v>
      </c>
      <c r="B86" s="181" t="s">
        <v>1361</v>
      </c>
      <c r="C86" s="181" t="s">
        <v>1361</v>
      </c>
      <c r="D86" s="182" t="s">
        <v>1596</v>
      </c>
      <c r="E86" s="165" t="s">
        <v>1597</v>
      </c>
      <c r="F86" s="165" t="s">
        <v>1598</v>
      </c>
      <c r="G86" s="166">
        <v>740</v>
      </c>
      <c r="H86" s="742">
        <v>41861</v>
      </c>
      <c r="I86" s="189">
        <v>1245</v>
      </c>
      <c r="J86" s="167">
        <v>100814</v>
      </c>
      <c r="K86" s="167">
        <v>1300</v>
      </c>
      <c r="L86" s="189">
        <v>100814</v>
      </c>
      <c r="M86" s="189">
        <v>1530</v>
      </c>
      <c r="N86" s="194" t="s">
        <v>62</v>
      </c>
      <c r="O86" s="191"/>
      <c r="P86" s="191"/>
      <c r="Q86" s="191"/>
      <c r="R86" s="191"/>
      <c r="S86" s="191"/>
      <c r="T86" s="191">
        <v>1</v>
      </c>
      <c r="U86" s="191"/>
      <c r="V86" s="191">
        <v>1</v>
      </c>
      <c r="W86" s="191"/>
      <c r="X86" s="191"/>
      <c r="Y86" s="168">
        <f t="shared" si="2"/>
        <v>1</v>
      </c>
      <c r="Z86" s="168">
        <f t="shared" si="2"/>
        <v>0</v>
      </c>
      <c r="AA86" s="168">
        <f t="shared" si="2"/>
        <v>1</v>
      </c>
      <c r="AB86" s="168">
        <f t="shared" si="2"/>
        <v>0</v>
      </c>
      <c r="AC86" s="191"/>
      <c r="AD86" s="168">
        <f t="shared" si="3"/>
        <v>2</v>
      </c>
      <c r="AE86" s="169" t="s">
        <v>117</v>
      </c>
      <c r="AF86" s="169" t="s">
        <v>117</v>
      </c>
      <c r="AG86" s="169" t="s">
        <v>72</v>
      </c>
      <c r="AH86" s="169" t="s">
        <v>1599</v>
      </c>
      <c r="AI86" s="169" t="s">
        <v>1503</v>
      </c>
      <c r="AJ86" s="179">
        <v>260000</v>
      </c>
      <c r="AK86" s="168" t="s">
        <v>60</v>
      </c>
    </row>
    <row r="87" spans="1:37" x14ac:dyDescent="0.35">
      <c r="A87" s="166">
        <v>75102414</v>
      </c>
      <c r="B87" s="181" t="s">
        <v>198</v>
      </c>
      <c r="C87" s="181" t="s">
        <v>1356</v>
      </c>
      <c r="D87" s="182" t="s">
        <v>1600</v>
      </c>
      <c r="E87" s="181" t="s">
        <v>1601</v>
      </c>
      <c r="F87" s="181" t="s">
        <v>1602</v>
      </c>
      <c r="G87" s="185">
        <v>690</v>
      </c>
      <c r="H87" s="742">
        <v>41861</v>
      </c>
      <c r="I87" s="189">
        <v>1340</v>
      </c>
      <c r="J87" s="167">
        <v>100814</v>
      </c>
      <c r="K87" s="167">
        <v>1400</v>
      </c>
      <c r="L87" s="189">
        <v>100814</v>
      </c>
      <c r="M87" s="189">
        <v>1940</v>
      </c>
      <c r="N87" s="194" t="s">
        <v>62</v>
      </c>
      <c r="O87" s="191">
        <v>0.75</v>
      </c>
      <c r="P87" s="191">
        <v>0.25</v>
      </c>
      <c r="Q87" s="191"/>
      <c r="R87" s="191"/>
      <c r="S87" s="191"/>
      <c r="T87" s="191"/>
      <c r="U87" s="191"/>
      <c r="V87" s="191"/>
      <c r="W87" s="191"/>
      <c r="X87" s="191" t="s">
        <v>1545</v>
      </c>
      <c r="Y87" s="168">
        <f t="shared" si="2"/>
        <v>0.75</v>
      </c>
      <c r="Z87" s="168">
        <f t="shared" si="2"/>
        <v>0.25</v>
      </c>
      <c r="AA87" s="168">
        <f t="shared" si="2"/>
        <v>0</v>
      </c>
      <c r="AB87" s="168">
        <f t="shared" si="2"/>
        <v>0</v>
      </c>
      <c r="AC87" s="191" t="s">
        <v>1545</v>
      </c>
      <c r="AD87" s="168">
        <f t="shared" si="3"/>
        <v>1</v>
      </c>
      <c r="AE87" s="169" t="s">
        <v>117</v>
      </c>
      <c r="AF87" s="169" t="s">
        <v>117</v>
      </c>
      <c r="AG87" s="169" t="s">
        <v>72</v>
      </c>
      <c r="AH87" s="169" t="s">
        <v>1603</v>
      </c>
      <c r="AI87" s="169" t="s">
        <v>73</v>
      </c>
      <c r="AJ87" s="179">
        <v>100000</v>
      </c>
      <c r="AK87" s="168" t="s">
        <v>60</v>
      </c>
    </row>
    <row r="88" spans="1:37" x14ac:dyDescent="0.35">
      <c r="A88" s="166">
        <v>76101214</v>
      </c>
      <c r="B88" s="181" t="s">
        <v>83</v>
      </c>
      <c r="C88" s="181" t="s">
        <v>83</v>
      </c>
      <c r="D88" s="182" t="s">
        <v>1604</v>
      </c>
      <c r="E88" s="165" t="s">
        <v>1605</v>
      </c>
      <c r="F88" s="165" t="s">
        <v>1606</v>
      </c>
      <c r="G88" s="166">
        <v>892</v>
      </c>
      <c r="H88" s="742">
        <v>41861</v>
      </c>
      <c r="I88" s="189">
        <v>1545</v>
      </c>
      <c r="J88" s="167">
        <v>100814</v>
      </c>
      <c r="K88" s="167">
        <v>1555</v>
      </c>
      <c r="L88" s="189">
        <v>100814</v>
      </c>
      <c r="M88" s="189">
        <v>2130</v>
      </c>
      <c r="N88" s="194" t="s">
        <v>1352</v>
      </c>
      <c r="O88" s="191">
        <v>0.5</v>
      </c>
      <c r="P88" s="191">
        <v>1.5</v>
      </c>
      <c r="Q88" s="191"/>
      <c r="R88" s="191"/>
      <c r="S88" s="191"/>
      <c r="T88" s="191"/>
      <c r="U88" s="191"/>
      <c r="V88" s="191"/>
      <c r="W88" s="191"/>
      <c r="X88" s="191"/>
      <c r="Y88" s="168">
        <f t="shared" si="2"/>
        <v>0.5</v>
      </c>
      <c r="Z88" s="168">
        <f t="shared" si="2"/>
        <v>1.5</v>
      </c>
      <c r="AA88" s="168">
        <f t="shared" si="2"/>
        <v>0</v>
      </c>
      <c r="AB88" s="168">
        <f t="shared" si="2"/>
        <v>0</v>
      </c>
      <c r="AC88" s="191"/>
      <c r="AD88" s="168">
        <f t="shared" si="3"/>
        <v>2</v>
      </c>
      <c r="AE88" s="169" t="s">
        <v>117</v>
      </c>
      <c r="AF88" s="169" t="s">
        <v>117</v>
      </c>
      <c r="AG88" s="169" t="s">
        <v>57</v>
      </c>
      <c r="AH88" s="169" t="s">
        <v>1607</v>
      </c>
      <c r="AI88" s="169" t="s">
        <v>1370</v>
      </c>
      <c r="AJ88" s="179">
        <v>406000</v>
      </c>
      <c r="AK88" s="168" t="s">
        <v>60</v>
      </c>
    </row>
    <row r="89" spans="1:37" x14ac:dyDescent="0.35">
      <c r="A89" s="166">
        <v>77102214</v>
      </c>
      <c r="B89" s="181" t="s">
        <v>49</v>
      </c>
      <c r="C89" s="181" t="s">
        <v>137</v>
      </c>
      <c r="D89" s="182" t="s">
        <v>1554</v>
      </c>
      <c r="E89" s="181" t="s">
        <v>1608</v>
      </c>
      <c r="F89" s="181" t="s">
        <v>1609</v>
      </c>
      <c r="G89" s="166">
        <v>708</v>
      </c>
      <c r="H89" s="742">
        <v>41861</v>
      </c>
      <c r="I89" s="189">
        <v>1530</v>
      </c>
      <c r="J89" s="167">
        <v>100814</v>
      </c>
      <c r="K89" s="167">
        <v>1540</v>
      </c>
      <c r="L89" s="189">
        <v>100814</v>
      </c>
      <c r="M89" s="189">
        <v>1800</v>
      </c>
      <c r="N89" s="194" t="s">
        <v>1339</v>
      </c>
      <c r="O89" s="191">
        <v>0.5</v>
      </c>
      <c r="P89" s="191"/>
      <c r="Q89" s="191">
        <v>1.5</v>
      </c>
      <c r="R89" s="191"/>
      <c r="S89" s="191"/>
      <c r="T89" s="191"/>
      <c r="U89" s="191"/>
      <c r="V89" s="191"/>
      <c r="W89" s="191"/>
      <c r="X89" s="191"/>
      <c r="Y89" s="168">
        <f t="shared" si="2"/>
        <v>0.5</v>
      </c>
      <c r="Z89" s="168">
        <f t="shared" si="2"/>
        <v>0</v>
      </c>
      <c r="AA89" s="168">
        <f t="shared" si="2"/>
        <v>1.5</v>
      </c>
      <c r="AB89" s="168">
        <f t="shared" si="2"/>
        <v>0</v>
      </c>
      <c r="AC89" s="192"/>
      <c r="AD89" s="168">
        <f t="shared" si="3"/>
        <v>2</v>
      </c>
      <c r="AE89" s="169" t="s">
        <v>66</v>
      </c>
      <c r="AF89" s="169" t="s">
        <v>117</v>
      </c>
      <c r="AG89" s="169" t="s">
        <v>57</v>
      </c>
      <c r="AH89" s="169" t="s">
        <v>1610</v>
      </c>
      <c r="AI89" s="169" t="s">
        <v>73</v>
      </c>
      <c r="AJ89" s="179">
        <v>24360</v>
      </c>
      <c r="AK89" s="168" t="s">
        <v>60</v>
      </c>
    </row>
    <row r="90" spans="1:37" x14ac:dyDescent="0.35">
      <c r="A90" s="166">
        <v>78102414</v>
      </c>
      <c r="B90" s="165" t="s">
        <v>198</v>
      </c>
      <c r="C90" s="181" t="s">
        <v>1356</v>
      </c>
      <c r="D90" s="182" t="s">
        <v>1600</v>
      </c>
      <c r="E90" s="181" t="s">
        <v>1611</v>
      </c>
      <c r="F90" s="181" t="s">
        <v>1612</v>
      </c>
      <c r="G90" s="166">
        <v>656</v>
      </c>
      <c r="H90" s="742">
        <v>41862</v>
      </c>
      <c r="I90" s="189">
        <v>1320</v>
      </c>
      <c r="J90" s="167">
        <v>110814</v>
      </c>
      <c r="K90" s="167">
        <v>1345</v>
      </c>
      <c r="L90" s="189">
        <v>110814</v>
      </c>
      <c r="M90" s="189">
        <v>1530</v>
      </c>
      <c r="N90" s="191" t="s">
        <v>62</v>
      </c>
      <c r="O90" s="191">
        <v>0.5</v>
      </c>
      <c r="P90" s="191"/>
      <c r="Q90" s="191"/>
      <c r="R90" s="191"/>
      <c r="S90" s="191"/>
      <c r="T90" s="191"/>
      <c r="U90" s="191"/>
      <c r="V90" s="191"/>
      <c r="W90" s="191"/>
      <c r="X90" s="191"/>
      <c r="Y90" s="168">
        <f t="shared" si="2"/>
        <v>0.5</v>
      </c>
      <c r="Z90" s="168">
        <f t="shared" si="2"/>
        <v>0</v>
      </c>
      <c r="AA90" s="168">
        <f t="shared" si="2"/>
        <v>0</v>
      </c>
      <c r="AB90" s="168">
        <f t="shared" si="2"/>
        <v>0</v>
      </c>
      <c r="AC90" s="192"/>
      <c r="AD90" s="168">
        <f t="shared" si="3"/>
        <v>0.5</v>
      </c>
      <c r="AE90" s="169" t="s">
        <v>117</v>
      </c>
      <c r="AF90" s="169" t="s">
        <v>117</v>
      </c>
      <c r="AG90" s="169" t="s">
        <v>72</v>
      </c>
      <c r="AH90" s="169" t="s">
        <v>1521</v>
      </c>
      <c r="AI90" s="169" t="s">
        <v>65</v>
      </c>
      <c r="AJ90" s="179">
        <v>50000</v>
      </c>
      <c r="AK90" s="168" t="s">
        <v>60</v>
      </c>
    </row>
    <row r="91" spans="1:37" x14ac:dyDescent="0.35">
      <c r="A91" s="166">
        <v>79102414</v>
      </c>
      <c r="B91" s="165" t="s">
        <v>198</v>
      </c>
      <c r="C91" s="181" t="s">
        <v>1356</v>
      </c>
      <c r="D91" s="182" t="s">
        <v>1600</v>
      </c>
      <c r="E91" s="181" t="s">
        <v>1613</v>
      </c>
      <c r="F91" s="181" t="s">
        <v>1614</v>
      </c>
      <c r="G91" s="166">
        <v>765</v>
      </c>
      <c r="H91" s="742">
        <v>41862</v>
      </c>
      <c r="I91" s="189">
        <v>1400</v>
      </c>
      <c r="J91" s="167">
        <v>110814</v>
      </c>
      <c r="K91" s="167">
        <v>1430</v>
      </c>
      <c r="L91" s="189">
        <v>110814</v>
      </c>
      <c r="M91" s="189">
        <v>1600</v>
      </c>
      <c r="N91" s="194" t="s">
        <v>1339</v>
      </c>
      <c r="O91" s="191">
        <v>1.5</v>
      </c>
      <c r="P91" s="191"/>
      <c r="Q91" s="191">
        <v>2.5</v>
      </c>
      <c r="R91" s="191"/>
      <c r="S91" s="191"/>
      <c r="T91" s="191"/>
      <c r="U91" s="191"/>
      <c r="V91" s="191"/>
      <c r="W91" s="191"/>
      <c r="X91" s="191"/>
      <c r="Y91" s="168">
        <f t="shared" si="2"/>
        <v>1.5</v>
      </c>
      <c r="Z91" s="168">
        <f t="shared" si="2"/>
        <v>0</v>
      </c>
      <c r="AA91" s="168">
        <f t="shared" si="2"/>
        <v>2.5</v>
      </c>
      <c r="AB91" s="168">
        <f t="shared" si="2"/>
        <v>0</v>
      </c>
      <c r="AC91" s="192"/>
      <c r="AD91" s="168">
        <f t="shared" si="3"/>
        <v>4</v>
      </c>
      <c r="AE91" s="169" t="s">
        <v>117</v>
      </c>
      <c r="AF91" s="169" t="s">
        <v>117</v>
      </c>
      <c r="AG91" s="169" t="s">
        <v>57</v>
      </c>
      <c r="AH91" s="169" t="s">
        <v>1460</v>
      </c>
      <c r="AI91" s="169" t="s">
        <v>1385</v>
      </c>
      <c r="AJ91" s="179">
        <v>175000</v>
      </c>
      <c r="AK91" s="168" t="s">
        <v>60</v>
      </c>
    </row>
    <row r="92" spans="1:37" x14ac:dyDescent="0.35">
      <c r="A92" s="166">
        <v>80104014</v>
      </c>
      <c r="B92" s="181" t="s">
        <v>49</v>
      </c>
      <c r="C92" s="181" t="s">
        <v>1386</v>
      </c>
      <c r="D92" s="182" t="s">
        <v>1554</v>
      </c>
      <c r="E92" s="181" t="s">
        <v>1615</v>
      </c>
      <c r="F92" s="181" t="s">
        <v>1616</v>
      </c>
      <c r="G92" s="166">
        <v>915</v>
      </c>
      <c r="H92" s="742">
        <v>41862</v>
      </c>
      <c r="I92" s="189">
        <v>1330</v>
      </c>
      <c r="J92" s="167">
        <v>110814</v>
      </c>
      <c r="K92" s="167">
        <v>1335</v>
      </c>
      <c r="L92" s="189">
        <v>110814</v>
      </c>
      <c r="M92" s="189">
        <v>1700</v>
      </c>
      <c r="N92" s="194" t="s">
        <v>62</v>
      </c>
      <c r="O92" s="191">
        <v>2</v>
      </c>
      <c r="P92" s="191"/>
      <c r="Q92" s="191"/>
      <c r="R92" s="191"/>
      <c r="S92" s="191"/>
      <c r="T92" s="191"/>
      <c r="U92" s="191"/>
      <c r="V92" s="191"/>
      <c r="W92" s="191"/>
      <c r="X92" s="191"/>
      <c r="Y92" s="168">
        <f t="shared" si="2"/>
        <v>2</v>
      </c>
      <c r="Z92" s="168">
        <f t="shared" si="2"/>
        <v>0</v>
      </c>
      <c r="AA92" s="168">
        <f t="shared" si="2"/>
        <v>0</v>
      </c>
      <c r="AB92" s="168">
        <f t="shared" si="2"/>
        <v>0</v>
      </c>
      <c r="AC92" s="192"/>
      <c r="AD92" s="168">
        <f t="shared" si="3"/>
        <v>2</v>
      </c>
      <c r="AE92" s="169" t="s">
        <v>71</v>
      </c>
      <c r="AF92" s="169" t="s">
        <v>117</v>
      </c>
      <c r="AG92" s="169" t="s">
        <v>57</v>
      </c>
      <c r="AH92" s="169" t="s">
        <v>1617</v>
      </c>
      <c r="AI92" s="169" t="s">
        <v>1385</v>
      </c>
      <c r="AJ92" s="179">
        <v>42200</v>
      </c>
      <c r="AK92" s="168" t="s">
        <v>60</v>
      </c>
    </row>
    <row r="93" spans="1:37" x14ac:dyDescent="0.35">
      <c r="A93" s="166">
        <v>8110314</v>
      </c>
      <c r="B93" s="165" t="s">
        <v>198</v>
      </c>
      <c r="C93" s="181" t="s">
        <v>1523</v>
      </c>
      <c r="D93" s="182" t="s">
        <v>1618</v>
      </c>
      <c r="E93" s="181" t="s">
        <v>1619</v>
      </c>
      <c r="F93" s="181" t="s">
        <v>1620</v>
      </c>
      <c r="G93" s="166">
        <v>550</v>
      </c>
      <c r="H93" s="742">
        <v>41862</v>
      </c>
      <c r="I93" s="189">
        <v>1730</v>
      </c>
      <c r="J93" s="167">
        <v>110814</v>
      </c>
      <c r="K93" s="167">
        <v>1800</v>
      </c>
      <c r="L93" s="189">
        <v>110814</v>
      </c>
      <c r="M93" s="189">
        <v>2130</v>
      </c>
      <c r="N93" s="194" t="s">
        <v>62</v>
      </c>
      <c r="O93" s="191"/>
      <c r="P93" s="191"/>
      <c r="Q93" s="191"/>
      <c r="R93" s="191"/>
      <c r="S93" s="191"/>
      <c r="T93" s="191">
        <v>0.5</v>
      </c>
      <c r="U93" s="191"/>
      <c r="V93" s="191"/>
      <c r="W93" s="191"/>
      <c r="X93" s="191"/>
      <c r="Y93" s="168">
        <f t="shared" si="2"/>
        <v>0.5</v>
      </c>
      <c r="Z93" s="168">
        <f t="shared" si="2"/>
        <v>0</v>
      </c>
      <c r="AA93" s="168">
        <f t="shared" si="2"/>
        <v>0</v>
      </c>
      <c r="AB93" s="168">
        <f t="shared" si="2"/>
        <v>0</v>
      </c>
      <c r="AC93" s="192"/>
      <c r="AD93" s="168">
        <f t="shared" si="3"/>
        <v>0.5</v>
      </c>
      <c r="AE93" s="169" t="s">
        <v>117</v>
      </c>
      <c r="AF93" s="169" t="s">
        <v>117</v>
      </c>
      <c r="AG93" s="169" t="s">
        <v>72</v>
      </c>
      <c r="AH93" s="169" t="s">
        <v>1603</v>
      </c>
      <c r="AI93" s="169" t="s">
        <v>1385</v>
      </c>
      <c r="AJ93" s="179">
        <v>50000</v>
      </c>
      <c r="AK93" s="168" t="s">
        <v>60</v>
      </c>
    </row>
    <row r="94" spans="1:37" x14ac:dyDescent="0.35">
      <c r="A94" s="185">
        <v>82101514</v>
      </c>
      <c r="B94" s="181" t="s">
        <v>1361</v>
      </c>
      <c r="C94" s="181" t="s">
        <v>1361</v>
      </c>
      <c r="D94" s="195" t="s">
        <v>1621</v>
      </c>
      <c r="E94" s="181" t="s">
        <v>1622</v>
      </c>
      <c r="F94" s="181" t="s">
        <v>1623</v>
      </c>
      <c r="G94" s="196">
        <v>998</v>
      </c>
      <c r="H94" s="742">
        <v>41863</v>
      </c>
      <c r="I94" s="189">
        <v>1130</v>
      </c>
      <c r="J94" s="185">
        <v>120814</v>
      </c>
      <c r="K94" s="185">
        <v>1200</v>
      </c>
      <c r="L94" s="189">
        <v>120814</v>
      </c>
      <c r="M94" s="189">
        <v>1830</v>
      </c>
      <c r="N94" s="191" t="s">
        <v>62</v>
      </c>
      <c r="O94" s="191">
        <v>3</v>
      </c>
      <c r="P94" s="191"/>
      <c r="Q94" s="191">
        <v>2</v>
      </c>
      <c r="R94" s="191"/>
      <c r="S94" s="197"/>
      <c r="T94" s="191"/>
      <c r="U94" s="191"/>
      <c r="V94" s="191"/>
      <c r="W94" s="191"/>
      <c r="X94" s="191"/>
      <c r="Y94" s="168">
        <f t="shared" si="2"/>
        <v>3</v>
      </c>
      <c r="Z94" s="168">
        <f t="shared" si="2"/>
        <v>0</v>
      </c>
      <c r="AA94" s="168">
        <f t="shared" si="2"/>
        <v>2</v>
      </c>
      <c r="AB94" s="168">
        <f t="shared" si="2"/>
        <v>0</v>
      </c>
      <c r="AC94" s="192"/>
      <c r="AD94" s="168">
        <f t="shared" si="3"/>
        <v>5</v>
      </c>
      <c r="AE94" s="169" t="s">
        <v>117</v>
      </c>
      <c r="AF94" s="169" t="s">
        <v>117</v>
      </c>
      <c r="AG94" s="169" t="s">
        <v>72</v>
      </c>
      <c r="AH94" s="169" t="s">
        <v>1624</v>
      </c>
      <c r="AI94" s="169" t="s">
        <v>1625</v>
      </c>
      <c r="AJ94" s="179">
        <v>800000</v>
      </c>
      <c r="AK94" s="168" t="s">
        <v>60</v>
      </c>
    </row>
    <row r="95" spans="1:37" x14ac:dyDescent="0.35">
      <c r="A95" s="185">
        <v>83103414</v>
      </c>
      <c r="B95" s="165" t="s">
        <v>198</v>
      </c>
      <c r="C95" s="181" t="s">
        <v>1429</v>
      </c>
      <c r="D95" s="195" t="s">
        <v>1626</v>
      </c>
      <c r="E95" s="181" t="s">
        <v>1627</v>
      </c>
      <c r="F95" s="181" t="s">
        <v>1628</v>
      </c>
      <c r="G95" s="196">
        <v>688</v>
      </c>
      <c r="H95" s="742">
        <v>41863</v>
      </c>
      <c r="I95" s="189">
        <v>1415</v>
      </c>
      <c r="J95" s="185">
        <v>120814</v>
      </c>
      <c r="K95" s="185">
        <v>1450</v>
      </c>
      <c r="L95" s="189">
        <v>120814</v>
      </c>
      <c r="M95" s="189">
        <v>1700</v>
      </c>
      <c r="N95" s="194" t="s">
        <v>62</v>
      </c>
      <c r="O95" s="191"/>
      <c r="P95" s="191"/>
      <c r="Q95" s="191"/>
      <c r="R95" s="191"/>
      <c r="S95" s="197"/>
      <c r="T95" s="191">
        <v>0.03</v>
      </c>
      <c r="U95" s="191"/>
      <c r="V95" s="191"/>
      <c r="W95" s="191"/>
      <c r="X95" s="191"/>
      <c r="Y95" s="168">
        <f t="shared" si="2"/>
        <v>0.03</v>
      </c>
      <c r="Z95" s="168">
        <f t="shared" si="2"/>
        <v>0</v>
      </c>
      <c r="AA95" s="168">
        <f t="shared" si="2"/>
        <v>0</v>
      </c>
      <c r="AB95" s="168">
        <f t="shared" si="2"/>
        <v>0</v>
      </c>
      <c r="AC95" s="192"/>
      <c r="AD95" s="168">
        <f t="shared" si="3"/>
        <v>0.03</v>
      </c>
      <c r="AE95" s="169" t="s">
        <v>117</v>
      </c>
      <c r="AF95" s="169" t="s">
        <v>117</v>
      </c>
      <c r="AG95" s="169" t="s">
        <v>57</v>
      </c>
      <c r="AH95" s="169" t="s">
        <v>1521</v>
      </c>
      <c r="AI95" s="169" t="s">
        <v>1385</v>
      </c>
      <c r="AJ95" s="179">
        <v>3000</v>
      </c>
      <c r="AK95" s="168" t="s">
        <v>60</v>
      </c>
    </row>
    <row r="96" spans="1:37" x14ac:dyDescent="0.35">
      <c r="A96" s="185">
        <v>84101214</v>
      </c>
      <c r="B96" s="181" t="s">
        <v>83</v>
      </c>
      <c r="C96" s="181" t="s">
        <v>83</v>
      </c>
      <c r="D96" s="195" t="s">
        <v>1604</v>
      </c>
      <c r="E96" s="181" t="s">
        <v>1629</v>
      </c>
      <c r="F96" s="181" t="s">
        <v>1630</v>
      </c>
      <c r="G96" s="196">
        <v>726</v>
      </c>
      <c r="H96" s="742">
        <v>41863</v>
      </c>
      <c r="I96" s="189">
        <v>1545</v>
      </c>
      <c r="J96" s="185">
        <v>120814</v>
      </c>
      <c r="K96" s="185">
        <v>1555</v>
      </c>
      <c r="L96" s="189">
        <v>120814</v>
      </c>
      <c r="M96" s="189">
        <v>1915</v>
      </c>
      <c r="N96" s="194" t="s">
        <v>62</v>
      </c>
      <c r="O96" s="191">
        <v>0.02</v>
      </c>
      <c r="P96" s="191"/>
      <c r="Q96" s="191"/>
      <c r="R96" s="191"/>
      <c r="S96" s="197"/>
      <c r="T96" s="191"/>
      <c r="U96" s="191"/>
      <c r="V96" s="191"/>
      <c r="W96" s="191"/>
      <c r="X96" s="191"/>
      <c r="Y96" s="168">
        <f t="shared" si="2"/>
        <v>0.02</v>
      </c>
      <c r="Z96" s="168">
        <f t="shared" si="2"/>
        <v>0</v>
      </c>
      <c r="AA96" s="168">
        <f t="shared" si="2"/>
        <v>0</v>
      </c>
      <c r="AB96" s="168">
        <f t="shared" si="2"/>
        <v>0</v>
      </c>
      <c r="AC96" s="192"/>
      <c r="AD96" s="168">
        <f t="shared" si="3"/>
        <v>0.02</v>
      </c>
      <c r="AE96" s="169" t="s">
        <v>117</v>
      </c>
      <c r="AF96" s="169" t="s">
        <v>117</v>
      </c>
      <c r="AG96" s="169" t="s">
        <v>57</v>
      </c>
      <c r="AH96" s="169" t="s">
        <v>1607</v>
      </c>
      <c r="AI96" s="169" t="s">
        <v>65</v>
      </c>
      <c r="AJ96" s="179">
        <v>2000</v>
      </c>
      <c r="AK96" s="168" t="s">
        <v>60</v>
      </c>
    </row>
    <row r="97" spans="1:37" x14ac:dyDescent="0.35">
      <c r="A97" s="185">
        <v>85103514</v>
      </c>
      <c r="B97" s="181" t="s">
        <v>1391</v>
      </c>
      <c r="C97" s="181" t="s">
        <v>1391</v>
      </c>
      <c r="D97" s="195" t="s">
        <v>1631</v>
      </c>
      <c r="E97" s="181" t="s">
        <v>1632</v>
      </c>
      <c r="F97" s="181" t="s">
        <v>1633</v>
      </c>
      <c r="G97" s="196">
        <v>830</v>
      </c>
      <c r="H97" s="742">
        <v>41863</v>
      </c>
      <c r="I97" s="189">
        <v>1700</v>
      </c>
      <c r="J97" s="185">
        <v>120814</v>
      </c>
      <c r="K97" s="185">
        <v>1730</v>
      </c>
      <c r="L97" s="189">
        <v>120814</v>
      </c>
      <c r="M97" s="189">
        <v>1945</v>
      </c>
      <c r="N97" s="194" t="s">
        <v>1352</v>
      </c>
      <c r="O97" s="191"/>
      <c r="P97" s="191">
        <v>1.5</v>
      </c>
      <c r="Q97" s="191">
        <v>0.5</v>
      </c>
      <c r="R97" s="191"/>
      <c r="S97" s="197"/>
      <c r="T97" s="191"/>
      <c r="U97" s="191"/>
      <c r="V97" s="191"/>
      <c r="W97" s="191"/>
      <c r="X97" s="191"/>
      <c r="Y97" s="168">
        <f t="shared" si="2"/>
        <v>0</v>
      </c>
      <c r="Z97" s="168">
        <f t="shared" si="2"/>
        <v>1.5</v>
      </c>
      <c r="AA97" s="168">
        <f t="shared" si="2"/>
        <v>0.5</v>
      </c>
      <c r="AB97" s="168">
        <f t="shared" si="2"/>
        <v>0</v>
      </c>
      <c r="AC97" s="192"/>
      <c r="AD97" s="168">
        <f t="shared" si="3"/>
        <v>2</v>
      </c>
      <c r="AE97" s="169" t="s">
        <v>117</v>
      </c>
      <c r="AF97" s="169" t="s">
        <v>117</v>
      </c>
      <c r="AG97" s="169" t="s">
        <v>72</v>
      </c>
      <c r="AH97" s="169" t="s">
        <v>1549</v>
      </c>
      <c r="AI97" s="169" t="s">
        <v>1634</v>
      </c>
      <c r="AJ97" s="179">
        <v>340000</v>
      </c>
      <c r="AK97" s="168" t="s">
        <v>60</v>
      </c>
    </row>
    <row r="98" spans="1:37" x14ac:dyDescent="0.35">
      <c r="A98" s="185">
        <v>86102314</v>
      </c>
      <c r="B98" s="165" t="s">
        <v>198</v>
      </c>
      <c r="C98" s="181" t="s">
        <v>199</v>
      </c>
      <c r="D98" s="195" t="s">
        <v>1635</v>
      </c>
      <c r="E98" s="181" t="s">
        <v>1636</v>
      </c>
      <c r="F98" s="181" t="s">
        <v>1637</v>
      </c>
      <c r="G98" s="196">
        <v>677</v>
      </c>
      <c r="H98" s="742">
        <v>41863</v>
      </c>
      <c r="I98" s="189">
        <v>1730</v>
      </c>
      <c r="J98" s="185">
        <v>120814</v>
      </c>
      <c r="K98" s="185">
        <v>1745</v>
      </c>
      <c r="L98" s="189">
        <v>130814</v>
      </c>
      <c r="M98" s="189">
        <v>100</v>
      </c>
      <c r="N98" s="194" t="s">
        <v>165</v>
      </c>
      <c r="O98" s="191">
        <v>3</v>
      </c>
      <c r="P98" s="191"/>
      <c r="Q98" s="191"/>
      <c r="R98" s="191"/>
      <c r="S98" s="197"/>
      <c r="T98" s="191"/>
      <c r="U98" s="191"/>
      <c r="V98" s="191"/>
      <c r="W98" s="191"/>
      <c r="X98" s="191"/>
      <c r="Y98" s="168">
        <f t="shared" si="2"/>
        <v>3</v>
      </c>
      <c r="Z98" s="168">
        <f t="shared" si="2"/>
        <v>0</v>
      </c>
      <c r="AA98" s="168">
        <f t="shared" si="2"/>
        <v>0</v>
      </c>
      <c r="AB98" s="168">
        <f t="shared" si="2"/>
        <v>0</v>
      </c>
      <c r="AC98" s="192"/>
      <c r="AD98" s="168">
        <f t="shared" si="3"/>
        <v>3</v>
      </c>
      <c r="AE98" s="169" t="s">
        <v>117</v>
      </c>
      <c r="AF98" s="169" t="s">
        <v>117</v>
      </c>
      <c r="AG98" s="169" t="s">
        <v>493</v>
      </c>
      <c r="AH98" s="169" t="s">
        <v>1417</v>
      </c>
      <c r="AI98" s="169" t="s">
        <v>1385</v>
      </c>
      <c r="AJ98" s="179">
        <v>300000</v>
      </c>
      <c r="AK98" s="168" t="s">
        <v>60</v>
      </c>
    </row>
    <row r="99" spans="1:37" x14ac:dyDescent="0.35">
      <c r="A99" s="185">
        <v>8710114</v>
      </c>
      <c r="B99" s="181" t="s">
        <v>145</v>
      </c>
      <c r="C99" s="181" t="s">
        <v>145</v>
      </c>
      <c r="D99" s="195" t="s">
        <v>1336</v>
      </c>
      <c r="E99" s="181" t="s">
        <v>1638</v>
      </c>
      <c r="F99" s="181" t="s">
        <v>1639</v>
      </c>
      <c r="G99" s="196">
        <v>560</v>
      </c>
      <c r="H99" s="742">
        <v>41863</v>
      </c>
      <c r="I99" s="189">
        <v>1815</v>
      </c>
      <c r="J99" s="185">
        <v>120814</v>
      </c>
      <c r="K99" s="185">
        <v>1825</v>
      </c>
      <c r="L99" s="189">
        <v>120814</v>
      </c>
      <c r="M99" s="189">
        <v>1915</v>
      </c>
      <c r="N99" s="194" t="s">
        <v>1495</v>
      </c>
      <c r="O99" s="191">
        <v>0.02</v>
      </c>
      <c r="P99" s="191"/>
      <c r="Q99" s="191"/>
      <c r="R99" s="191"/>
      <c r="S99" s="197"/>
      <c r="T99" s="191"/>
      <c r="U99" s="191"/>
      <c r="V99" s="191"/>
      <c r="W99" s="191"/>
      <c r="X99" s="191"/>
      <c r="Y99" s="168">
        <f t="shared" si="2"/>
        <v>0.02</v>
      </c>
      <c r="Z99" s="168">
        <f t="shared" si="2"/>
        <v>0</v>
      </c>
      <c r="AA99" s="168">
        <f t="shared" si="2"/>
        <v>0</v>
      </c>
      <c r="AB99" s="168">
        <f t="shared" si="2"/>
        <v>0</v>
      </c>
      <c r="AC99" s="192"/>
      <c r="AD99" s="168">
        <f t="shared" si="3"/>
        <v>0.02</v>
      </c>
      <c r="AE99" s="169" t="s">
        <v>117</v>
      </c>
      <c r="AF99" s="169" t="s">
        <v>117</v>
      </c>
      <c r="AG99" s="169" t="s">
        <v>57</v>
      </c>
      <c r="AH99" s="169" t="s">
        <v>1640</v>
      </c>
      <c r="AI99" s="169" t="s">
        <v>73</v>
      </c>
      <c r="AJ99" s="179">
        <v>4048</v>
      </c>
      <c r="AK99" s="168" t="s">
        <v>60</v>
      </c>
    </row>
    <row r="100" spans="1:37" x14ac:dyDescent="0.35">
      <c r="A100" s="185">
        <v>88101514</v>
      </c>
      <c r="B100" s="181" t="s">
        <v>1361</v>
      </c>
      <c r="C100" s="181" t="s">
        <v>1361</v>
      </c>
      <c r="D100" s="195" t="s">
        <v>1621</v>
      </c>
      <c r="E100" s="181" t="s">
        <v>1641</v>
      </c>
      <c r="F100" s="181" t="s">
        <v>1642</v>
      </c>
      <c r="G100" s="196">
        <v>907</v>
      </c>
      <c r="H100" s="742">
        <v>41864</v>
      </c>
      <c r="I100" s="189">
        <v>1300</v>
      </c>
      <c r="J100" s="185">
        <v>130814</v>
      </c>
      <c r="K100" s="185">
        <v>1320</v>
      </c>
      <c r="L100" s="189">
        <v>130814</v>
      </c>
      <c r="M100" s="189">
        <v>1900</v>
      </c>
      <c r="N100" s="191" t="s">
        <v>62</v>
      </c>
      <c r="O100" s="191">
        <v>2.5</v>
      </c>
      <c r="P100" s="191"/>
      <c r="Q100" s="191">
        <v>2</v>
      </c>
      <c r="R100" s="191"/>
      <c r="S100" s="197"/>
      <c r="T100" s="191"/>
      <c r="U100" s="191"/>
      <c r="V100" s="191"/>
      <c r="W100" s="191"/>
      <c r="X100" s="191"/>
      <c r="Y100" s="168">
        <f t="shared" si="2"/>
        <v>2.5</v>
      </c>
      <c r="Z100" s="168">
        <f t="shared" si="2"/>
        <v>0</v>
      </c>
      <c r="AA100" s="168">
        <f t="shared" si="2"/>
        <v>2</v>
      </c>
      <c r="AB100" s="168">
        <f t="shared" si="2"/>
        <v>0</v>
      </c>
      <c r="AC100" s="192"/>
      <c r="AD100" s="168">
        <f t="shared" si="3"/>
        <v>4.5</v>
      </c>
      <c r="AE100" s="169" t="s">
        <v>117</v>
      </c>
      <c r="AF100" s="169" t="s">
        <v>117</v>
      </c>
      <c r="AG100" s="169" t="s">
        <v>72</v>
      </c>
      <c r="AH100" s="169" t="s">
        <v>1643</v>
      </c>
      <c r="AI100" s="169" t="s">
        <v>1411</v>
      </c>
      <c r="AJ100" s="179">
        <v>900000</v>
      </c>
      <c r="AK100" s="168" t="s">
        <v>60</v>
      </c>
    </row>
    <row r="101" spans="1:37" x14ac:dyDescent="0.35">
      <c r="A101" s="185">
        <v>89101214</v>
      </c>
      <c r="B101" s="181" t="s">
        <v>83</v>
      </c>
      <c r="C101" s="181" t="s">
        <v>83</v>
      </c>
      <c r="D101" s="195" t="s">
        <v>1604</v>
      </c>
      <c r="E101" s="181" t="s">
        <v>1644</v>
      </c>
      <c r="F101" s="181" t="s">
        <v>1645</v>
      </c>
      <c r="G101" s="196">
        <v>910</v>
      </c>
      <c r="H101" s="742">
        <v>41864</v>
      </c>
      <c r="I101" s="189">
        <v>1330</v>
      </c>
      <c r="J101" s="185">
        <v>130814</v>
      </c>
      <c r="K101" s="185">
        <v>1340</v>
      </c>
      <c r="L101" s="189">
        <v>130814</v>
      </c>
      <c r="M101" s="189">
        <v>1630</v>
      </c>
      <c r="N101" s="194" t="s">
        <v>1352</v>
      </c>
      <c r="O101" s="191"/>
      <c r="P101" s="191">
        <v>1.5</v>
      </c>
      <c r="Q101" s="191">
        <v>0.5</v>
      </c>
      <c r="R101" s="191"/>
      <c r="S101" s="197"/>
      <c r="T101" s="191"/>
      <c r="U101" s="191"/>
      <c r="V101" s="191"/>
      <c r="W101" s="191"/>
      <c r="X101" s="191"/>
      <c r="Y101" s="168">
        <f t="shared" si="2"/>
        <v>0</v>
      </c>
      <c r="Z101" s="168">
        <f t="shared" si="2"/>
        <v>1.5</v>
      </c>
      <c r="AA101" s="168">
        <f t="shared" si="2"/>
        <v>0.5</v>
      </c>
      <c r="AB101" s="168">
        <f t="shared" si="2"/>
        <v>0</v>
      </c>
      <c r="AC101" s="192"/>
      <c r="AD101" s="168">
        <f t="shared" si="3"/>
        <v>2</v>
      </c>
      <c r="AE101" s="169" t="s">
        <v>117</v>
      </c>
      <c r="AF101" s="169" t="s">
        <v>117</v>
      </c>
      <c r="AG101" s="169" t="s">
        <v>57</v>
      </c>
      <c r="AH101" s="169" t="s">
        <v>1646</v>
      </c>
      <c r="AI101" s="169" t="s">
        <v>73</v>
      </c>
      <c r="AJ101" s="179">
        <v>410000</v>
      </c>
      <c r="AK101" s="168" t="s">
        <v>60</v>
      </c>
    </row>
    <row r="102" spans="1:37" x14ac:dyDescent="0.35">
      <c r="A102" s="185">
        <v>90103414</v>
      </c>
      <c r="B102" s="165" t="s">
        <v>198</v>
      </c>
      <c r="C102" s="181" t="s">
        <v>1429</v>
      </c>
      <c r="D102" s="195" t="s">
        <v>1647</v>
      </c>
      <c r="E102" s="181" t="s">
        <v>1493</v>
      </c>
      <c r="F102" s="181" t="s">
        <v>1648</v>
      </c>
      <c r="G102" s="196">
        <v>517</v>
      </c>
      <c r="H102" s="742">
        <v>41864</v>
      </c>
      <c r="I102" s="189">
        <v>1330</v>
      </c>
      <c r="J102" s="185">
        <v>130814</v>
      </c>
      <c r="K102" s="185">
        <v>1400</v>
      </c>
      <c r="L102" s="189">
        <v>130814</v>
      </c>
      <c r="M102" s="189">
        <v>1615</v>
      </c>
      <c r="N102" s="194" t="s">
        <v>62</v>
      </c>
      <c r="O102" s="191"/>
      <c r="P102" s="191"/>
      <c r="Q102" s="191"/>
      <c r="R102" s="191"/>
      <c r="S102" s="197"/>
      <c r="T102" s="191">
        <v>0.5</v>
      </c>
      <c r="U102" s="191"/>
      <c r="V102" s="191"/>
      <c r="W102" s="191"/>
      <c r="X102" s="191"/>
      <c r="Y102" s="168">
        <f t="shared" si="2"/>
        <v>0.5</v>
      </c>
      <c r="Z102" s="168">
        <f t="shared" si="2"/>
        <v>0</v>
      </c>
      <c r="AA102" s="168">
        <f t="shared" si="2"/>
        <v>0</v>
      </c>
      <c r="AB102" s="168">
        <f t="shared" si="2"/>
        <v>0</v>
      </c>
      <c r="AC102" s="192"/>
      <c r="AD102" s="168">
        <f t="shared" si="3"/>
        <v>0.5</v>
      </c>
      <c r="AE102" s="169" t="s">
        <v>117</v>
      </c>
      <c r="AF102" s="169" t="s">
        <v>117</v>
      </c>
      <c r="AG102" s="169" t="s">
        <v>72</v>
      </c>
      <c r="AH102" s="169" t="s">
        <v>1460</v>
      </c>
      <c r="AI102" s="169" t="s">
        <v>65</v>
      </c>
      <c r="AJ102" s="179">
        <v>50000</v>
      </c>
      <c r="AK102" s="168" t="s">
        <v>60</v>
      </c>
    </row>
    <row r="103" spans="1:37" x14ac:dyDescent="0.35">
      <c r="A103" s="185">
        <v>91103414</v>
      </c>
      <c r="B103" s="165" t="s">
        <v>198</v>
      </c>
      <c r="C103" s="181" t="s">
        <v>1429</v>
      </c>
      <c r="D103" s="195" t="s">
        <v>1649</v>
      </c>
      <c r="E103" s="181" t="s">
        <v>1650</v>
      </c>
      <c r="F103" s="181" t="s">
        <v>1651</v>
      </c>
      <c r="G103" s="196">
        <v>480</v>
      </c>
      <c r="H103" s="742">
        <v>41864</v>
      </c>
      <c r="I103" s="189">
        <v>1345</v>
      </c>
      <c r="J103" s="185">
        <v>130814</v>
      </c>
      <c r="K103" s="185">
        <v>1410</v>
      </c>
      <c r="L103" s="189">
        <v>130814</v>
      </c>
      <c r="M103" s="189">
        <v>1830</v>
      </c>
      <c r="N103" s="194" t="s">
        <v>62</v>
      </c>
      <c r="O103" s="191"/>
      <c r="P103" s="191"/>
      <c r="Q103" s="191"/>
      <c r="R103" s="191"/>
      <c r="S103" s="197"/>
      <c r="T103" s="191">
        <v>2</v>
      </c>
      <c r="U103" s="191"/>
      <c r="V103" s="191"/>
      <c r="W103" s="191"/>
      <c r="X103" s="191" t="s">
        <v>1652</v>
      </c>
      <c r="Y103" s="168">
        <f t="shared" si="2"/>
        <v>2</v>
      </c>
      <c r="Z103" s="168">
        <f t="shared" si="2"/>
        <v>0</v>
      </c>
      <c r="AA103" s="168">
        <f t="shared" si="2"/>
        <v>0</v>
      </c>
      <c r="AB103" s="168">
        <f t="shared" si="2"/>
        <v>0</v>
      </c>
      <c r="AC103" s="191" t="s">
        <v>1652</v>
      </c>
      <c r="AD103" s="168">
        <f t="shared" si="3"/>
        <v>2</v>
      </c>
      <c r="AE103" s="169" t="s">
        <v>117</v>
      </c>
      <c r="AF103" s="169" t="s">
        <v>117</v>
      </c>
      <c r="AG103" s="169" t="s">
        <v>72</v>
      </c>
      <c r="AH103" s="169" t="s">
        <v>1417</v>
      </c>
      <c r="AI103" s="169" t="s">
        <v>73</v>
      </c>
      <c r="AJ103" s="179">
        <v>200000</v>
      </c>
      <c r="AK103" s="168" t="s">
        <v>60</v>
      </c>
    </row>
    <row r="104" spans="1:37" x14ac:dyDescent="0.35">
      <c r="A104" s="185">
        <v>92103114</v>
      </c>
      <c r="B104" s="181" t="s">
        <v>68</v>
      </c>
      <c r="C104" s="181" t="s">
        <v>157</v>
      </c>
      <c r="D104" s="195" t="s">
        <v>1653</v>
      </c>
      <c r="E104" s="165" t="s">
        <v>1654</v>
      </c>
      <c r="F104" s="165" t="s">
        <v>1655</v>
      </c>
      <c r="G104" s="166">
        <v>1097</v>
      </c>
      <c r="H104" s="742">
        <v>41864</v>
      </c>
      <c r="I104" s="189">
        <v>1410</v>
      </c>
      <c r="J104" s="185">
        <v>130814</v>
      </c>
      <c r="K104" s="185">
        <v>1415</v>
      </c>
      <c r="L104" s="189">
        <v>130814</v>
      </c>
      <c r="M104" s="189">
        <v>1610</v>
      </c>
      <c r="N104" s="194" t="s">
        <v>1352</v>
      </c>
      <c r="O104" s="191"/>
      <c r="P104" s="191">
        <v>1</v>
      </c>
      <c r="Q104" s="191"/>
      <c r="R104" s="191"/>
      <c r="S104" s="197"/>
      <c r="T104" s="191"/>
      <c r="U104" s="191"/>
      <c r="V104" s="191"/>
      <c r="W104" s="191"/>
      <c r="X104" s="191"/>
      <c r="Y104" s="168">
        <f t="shared" si="2"/>
        <v>0</v>
      </c>
      <c r="Z104" s="168">
        <f t="shared" si="2"/>
        <v>1</v>
      </c>
      <c r="AA104" s="168">
        <f t="shared" si="2"/>
        <v>0</v>
      </c>
      <c r="AB104" s="168">
        <f t="shared" si="2"/>
        <v>0</v>
      </c>
      <c r="AC104" s="192"/>
      <c r="AD104" s="168">
        <f t="shared" si="3"/>
        <v>1</v>
      </c>
      <c r="AE104" s="169" t="s">
        <v>117</v>
      </c>
      <c r="AF104" s="169" t="s">
        <v>117</v>
      </c>
      <c r="AG104" s="169" t="s">
        <v>72</v>
      </c>
      <c r="AH104" s="169" t="s">
        <v>1656</v>
      </c>
      <c r="AI104" s="169" t="s">
        <v>1657</v>
      </c>
      <c r="AJ104" s="179">
        <v>11000</v>
      </c>
      <c r="AK104" s="168" t="s">
        <v>60</v>
      </c>
    </row>
    <row r="105" spans="1:37" x14ac:dyDescent="0.35">
      <c r="A105" s="185">
        <v>93104314</v>
      </c>
      <c r="B105" s="181" t="s">
        <v>78</v>
      </c>
      <c r="C105" s="181" t="s">
        <v>99</v>
      </c>
      <c r="D105" s="195" t="s">
        <v>1658</v>
      </c>
      <c r="E105" s="181" t="s">
        <v>1659</v>
      </c>
      <c r="F105" s="181" t="s">
        <v>1660</v>
      </c>
      <c r="G105" s="196">
        <v>465</v>
      </c>
      <c r="H105" s="742">
        <v>41864</v>
      </c>
      <c r="I105" s="189">
        <v>1708</v>
      </c>
      <c r="J105" s="185">
        <v>130814</v>
      </c>
      <c r="K105" s="185">
        <v>1715</v>
      </c>
      <c r="L105" s="189">
        <v>130814</v>
      </c>
      <c r="M105" s="189">
        <v>1920</v>
      </c>
      <c r="N105" s="194" t="s">
        <v>62</v>
      </c>
      <c r="O105" s="191">
        <v>0.75</v>
      </c>
      <c r="P105" s="191"/>
      <c r="Q105" s="191">
        <v>0.25</v>
      </c>
      <c r="R105" s="191"/>
      <c r="S105" s="197"/>
      <c r="T105" s="191"/>
      <c r="U105" s="191"/>
      <c r="V105" s="191"/>
      <c r="W105" s="191"/>
      <c r="X105" s="191"/>
      <c r="Y105" s="168">
        <f t="shared" si="2"/>
        <v>0.75</v>
      </c>
      <c r="Z105" s="168">
        <f t="shared" si="2"/>
        <v>0</v>
      </c>
      <c r="AA105" s="168">
        <f t="shared" si="2"/>
        <v>0.25</v>
      </c>
      <c r="AB105" s="168">
        <f t="shared" si="2"/>
        <v>0</v>
      </c>
      <c r="AC105" s="192"/>
      <c r="AD105" s="168">
        <f t="shared" si="3"/>
        <v>1</v>
      </c>
      <c r="AE105" s="169" t="s">
        <v>71</v>
      </c>
      <c r="AF105" s="169" t="s">
        <v>117</v>
      </c>
      <c r="AG105" s="169" t="s">
        <v>493</v>
      </c>
      <c r="AH105" s="169" t="s">
        <v>1661</v>
      </c>
      <c r="AI105" s="169" t="s">
        <v>65</v>
      </c>
      <c r="AJ105" s="179">
        <v>14500</v>
      </c>
      <c r="AK105" s="168" t="s">
        <v>60</v>
      </c>
    </row>
    <row r="106" spans="1:37" x14ac:dyDescent="0.35">
      <c r="A106" s="198">
        <v>94101214</v>
      </c>
      <c r="B106" s="182" t="s">
        <v>83</v>
      </c>
      <c r="C106" s="182" t="s">
        <v>83</v>
      </c>
      <c r="D106" s="195" t="s">
        <v>1604</v>
      </c>
      <c r="E106" s="181" t="s">
        <v>1662</v>
      </c>
      <c r="F106" s="181" t="s">
        <v>1663</v>
      </c>
      <c r="G106" s="196">
        <v>1153</v>
      </c>
      <c r="H106" s="742">
        <v>41865</v>
      </c>
      <c r="I106" s="199">
        <v>1320</v>
      </c>
      <c r="J106" s="185">
        <v>140814</v>
      </c>
      <c r="K106" s="185">
        <v>1330</v>
      </c>
      <c r="L106" s="199">
        <v>140814</v>
      </c>
      <c r="M106" s="199">
        <v>1700</v>
      </c>
      <c r="N106" s="200" t="s">
        <v>1352</v>
      </c>
      <c r="O106" s="200"/>
      <c r="P106" s="200">
        <v>1</v>
      </c>
      <c r="Q106" s="200"/>
      <c r="R106" s="200"/>
      <c r="S106" s="201"/>
      <c r="T106" s="200"/>
      <c r="U106" s="200"/>
      <c r="V106" s="202"/>
      <c r="W106" s="200"/>
      <c r="X106" s="194"/>
      <c r="Y106" s="168">
        <f t="shared" si="2"/>
        <v>0</v>
      </c>
      <c r="Z106" s="168">
        <f t="shared" si="2"/>
        <v>1</v>
      </c>
      <c r="AA106" s="168">
        <f t="shared" si="2"/>
        <v>0</v>
      </c>
      <c r="AB106" s="168">
        <f t="shared" si="2"/>
        <v>0</v>
      </c>
      <c r="AC106" s="192"/>
      <c r="AD106" s="168">
        <f t="shared" si="3"/>
        <v>1</v>
      </c>
      <c r="AE106" s="169" t="s">
        <v>117</v>
      </c>
      <c r="AF106" s="169" t="s">
        <v>117</v>
      </c>
      <c r="AG106" s="169" t="s">
        <v>57</v>
      </c>
      <c r="AH106" s="169" t="s">
        <v>1664</v>
      </c>
      <c r="AI106" s="169" t="s">
        <v>128</v>
      </c>
      <c r="AJ106" s="179">
        <v>210000</v>
      </c>
      <c r="AK106" s="168" t="s">
        <v>60</v>
      </c>
    </row>
    <row r="107" spans="1:37" x14ac:dyDescent="0.35">
      <c r="A107" s="185">
        <v>95102814</v>
      </c>
      <c r="B107" s="188" t="s">
        <v>101</v>
      </c>
      <c r="C107" s="188" t="s">
        <v>1665</v>
      </c>
      <c r="D107" s="195" t="s">
        <v>1666</v>
      </c>
      <c r="E107" s="181" t="s">
        <v>1667</v>
      </c>
      <c r="F107" s="181" t="s">
        <v>1668</v>
      </c>
      <c r="G107" s="196">
        <v>1000</v>
      </c>
      <c r="H107" s="742">
        <v>41865</v>
      </c>
      <c r="I107" s="189">
        <v>1910</v>
      </c>
      <c r="J107" s="189">
        <v>140814</v>
      </c>
      <c r="K107" s="189">
        <v>1930</v>
      </c>
      <c r="L107" s="189">
        <v>140814</v>
      </c>
      <c r="M107" s="189">
        <v>2000</v>
      </c>
      <c r="N107" s="191" t="s">
        <v>62</v>
      </c>
      <c r="O107" s="191">
        <v>0.5</v>
      </c>
      <c r="P107" s="191"/>
      <c r="Q107" s="191"/>
      <c r="R107" s="191"/>
      <c r="S107" s="197"/>
      <c r="T107" s="191"/>
      <c r="U107" s="191"/>
      <c r="V107" s="191"/>
      <c r="W107" s="191"/>
      <c r="X107" s="191"/>
      <c r="Y107" s="168">
        <f t="shared" si="2"/>
        <v>0.5</v>
      </c>
      <c r="Z107" s="168">
        <f t="shared" si="2"/>
        <v>0</v>
      </c>
      <c r="AA107" s="168">
        <f t="shared" si="2"/>
        <v>0</v>
      </c>
      <c r="AB107" s="168">
        <f t="shared" si="2"/>
        <v>0</v>
      </c>
      <c r="AC107" s="192"/>
      <c r="AD107" s="168">
        <f t="shared" si="3"/>
        <v>0.5</v>
      </c>
      <c r="AE107" s="169" t="s">
        <v>117</v>
      </c>
      <c r="AF107" s="169" t="s">
        <v>117</v>
      </c>
      <c r="AG107" s="169" t="s">
        <v>72</v>
      </c>
      <c r="AH107" s="169" t="s">
        <v>1664</v>
      </c>
      <c r="AI107" s="169" t="s">
        <v>1370</v>
      </c>
      <c r="AJ107" s="179">
        <v>30000</v>
      </c>
      <c r="AK107" s="168" t="s">
        <v>60</v>
      </c>
    </row>
    <row r="108" spans="1:37" x14ac:dyDescent="0.35">
      <c r="A108" s="185">
        <v>96103514</v>
      </c>
      <c r="B108" s="188" t="s">
        <v>1391</v>
      </c>
      <c r="C108" s="188" t="s">
        <v>1391</v>
      </c>
      <c r="D108" s="195" t="s">
        <v>1631</v>
      </c>
      <c r="E108" s="181" t="s">
        <v>1669</v>
      </c>
      <c r="F108" s="181" t="s">
        <v>1670</v>
      </c>
      <c r="G108" s="196">
        <v>830</v>
      </c>
      <c r="H108" s="742">
        <v>41865</v>
      </c>
      <c r="I108" s="189">
        <v>2200</v>
      </c>
      <c r="J108" s="185">
        <v>140814</v>
      </c>
      <c r="K108" s="185">
        <v>2030</v>
      </c>
      <c r="L108" s="189">
        <v>150814</v>
      </c>
      <c r="M108" s="189">
        <v>1100</v>
      </c>
      <c r="N108" s="194" t="s">
        <v>62</v>
      </c>
      <c r="O108" s="191">
        <v>1</v>
      </c>
      <c r="P108" s="191">
        <v>1</v>
      </c>
      <c r="Q108" s="191"/>
      <c r="R108" s="191"/>
      <c r="S108" s="197"/>
      <c r="T108" s="191"/>
      <c r="U108" s="191"/>
      <c r="V108" s="191"/>
      <c r="W108" s="191"/>
      <c r="X108" s="191"/>
      <c r="Y108" s="168">
        <f t="shared" si="2"/>
        <v>1</v>
      </c>
      <c r="Z108" s="168">
        <f t="shared" si="2"/>
        <v>1</v>
      </c>
      <c r="AA108" s="168">
        <f t="shared" si="2"/>
        <v>0</v>
      </c>
      <c r="AB108" s="168">
        <f t="shared" si="2"/>
        <v>0</v>
      </c>
      <c r="AC108" s="192"/>
      <c r="AD108" s="168">
        <f t="shared" si="3"/>
        <v>2</v>
      </c>
      <c r="AE108" s="169" t="s">
        <v>117</v>
      </c>
      <c r="AF108" s="169" t="s">
        <v>117</v>
      </c>
      <c r="AG108" s="169" t="s">
        <v>72</v>
      </c>
      <c r="AH108" s="169" t="s">
        <v>1549</v>
      </c>
      <c r="AI108" s="169" t="s">
        <v>1671</v>
      </c>
      <c r="AJ108" s="179">
        <v>200000</v>
      </c>
      <c r="AK108" s="168" t="s">
        <v>60</v>
      </c>
    </row>
    <row r="109" spans="1:37" x14ac:dyDescent="0.35">
      <c r="A109" s="185">
        <v>97101214</v>
      </c>
      <c r="B109" s="188" t="s">
        <v>83</v>
      </c>
      <c r="C109" s="188" t="s">
        <v>83</v>
      </c>
      <c r="D109" s="195" t="s">
        <v>1604</v>
      </c>
      <c r="E109" s="181" t="s">
        <v>1672</v>
      </c>
      <c r="F109" s="181" t="s">
        <v>1673</v>
      </c>
      <c r="G109" s="196">
        <v>1194</v>
      </c>
      <c r="H109" s="742">
        <v>41866</v>
      </c>
      <c r="I109" s="189">
        <v>1415</v>
      </c>
      <c r="J109" s="185">
        <v>150814</v>
      </c>
      <c r="K109" s="185">
        <v>1425</v>
      </c>
      <c r="L109" s="189">
        <v>150814</v>
      </c>
      <c r="M109" s="189">
        <v>1930</v>
      </c>
      <c r="N109" s="194" t="s">
        <v>1352</v>
      </c>
      <c r="O109" s="191"/>
      <c r="P109" s="191">
        <v>1</v>
      </c>
      <c r="Q109" s="191"/>
      <c r="R109" s="191"/>
      <c r="S109" s="197"/>
      <c r="T109" s="191"/>
      <c r="U109" s="191"/>
      <c r="V109" s="191"/>
      <c r="W109" s="191"/>
      <c r="X109" s="191"/>
      <c r="Y109" s="168">
        <f t="shared" si="2"/>
        <v>0</v>
      </c>
      <c r="Z109" s="168">
        <f t="shared" si="2"/>
        <v>1</v>
      </c>
      <c r="AA109" s="168">
        <f t="shared" si="2"/>
        <v>0</v>
      </c>
      <c r="AB109" s="168">
        <f t="shared" si="2"/>
        <v>0</v>
      </c>
      <c r="AC109" s="192"/>
      <c r="AD109" s="168">
        <f t="shared" si="3"/>
        <v>1</v>
      </c>
      <c r="AE109" s="169" t="s">
        <v>117</v>
      </c>
      <c r="AF109" s="169" t="s">
        <v>117</v>
      </c>
      <c r="AG109" s="169" t="s">
        <v>57</v>
      </c>
      <c r="AH109" s="169" t="s">
        <v>1664</v>
      </c>
      <c r="AI109" s="169" t="s">
        <v>73</v>
      </c>
      <c r="AJ109" s="179">
        <v>210000</v>
      </c>
      <c r="AK109" s="168" t="s">
        <v>60</v>
      </c>
    </row>
    <row r="110" spans="1:37" x14ac:dyDescent="0.35">
      <c r="A110" s="185">
        <v>98101214</v>
      </c>
      <c r="B110" s="188" t="s">
        <v>83</v>
      </c>
      <c r="C110" s="188" t="s">
        <v>83</v>
      </c>
      <c r="D110" s="195" t="s">
        <v>1336</v>
      </c>
      <c r="E110" s="181" t="s">
        <v>1674</v>
      </c>
      <c r="F110" s="181" t="s">
        <v>1675</v>
      </c>
      <c r="G110" s="196">
        <v>600</v>
      </c>
      <c r="H110" s="742">
        <v>41866</v>
      </c>
      <c r="I110" s="189">
        <v>1605</v>
      </c>
      <c r="J110" s="185">
        <v>150814</v>
      </c>
      <c r="K110" s="185">
        <v>1620</v>
      </c>
      <c r="L110" s="189">
        <v>150814</v>
      </c>
      <c r="M110" s="189">
        <v>1930</v>
      </c>
      <c r="N110" s="194" t="s">
        <v>62</v>
      </c>
      <c r="O110" s="191">
        <v>3</v>
      </c>
      <c r="P110" s="191"/>
      <c r="Q110" s="191"/>
      <c r="R110" s="191"/>
      <c r="S110" s="197"/>
      <c r="T110" s="191"/>
      <c r="U110" s="191"/>
      <c r="V110" s="191"/>
      <c r="W110" s="191"/>
      <c r="X110" s="191"/>
      <c r="Y110" s="168">
        <f t="shared" si="2"/>
        <v>3</v>
      </c>
      <c r="Z110" s="168">
        <f t="shared" si="2"/>
        <v>0</v>
      </c>
      <c r="AA110" s="168">
        <f t="shared" si="2"/>
        <v>0</v>
      </c>
      <c r="AB110" s="168">
        <f t="shared" si="2"/>
        <v>0</v>
      </c>
      <c r="AC110" s="192"/>
      <c r="AD110" s="168">
        <f t="shared" si="3"/>
        <v>3</v>
      </c>
      <c r="AE110" s="169" t="s">
        <v>117</v>
      </c>
      <c r="AF110" s="169" t="s">
        <v>117</v>
      </c>
      <c r="AG110" s="169" t="s">
        <v>57</v>
      </c>
      <c r="AH110" s="169" t="s">
        <v>1664</v>
      </c>
      <c r="AI110" s="169" t="s">
        <v>73</v>
      </c>
      <c r="AJ110" s="179">
        <v>1440000</v>
      </c>
      <c r="AK110" s="168" t="s">
        <v>60</v>
      </c>
    </row>
    <row r="111" spans="1:37" x14ac:dyDescent="0.35">
      <c r="A111" s="185">
        <v>99101214</v>
      </c>
      <c r="B111" s="188" t="s">
        <v>83</v>
      </c>
      <c r="C111" s="188" t="s">
        <v>83</v>
      </c>
      <c r="D111" s="195" t="s">
        <v>1604</v>
      </c>
      <c r="E111" s="181" t="s">
        <v>1676</v>
      </c>
      <c r="F111" s="181" t="s">
        <v>1677</v>
      </c>
      <c r="G111" s="196">
        <v>786</v>
      </c>
      <c r="H111" s="742">
        <v>41867</v>
      </c>
      <c r="I111" s="189">
        <v>1515</v>
      </c>
      <c r="J111" s="185">
        <v>160814</v>
      </c>
      <c r="K111" s="185">
        <v>1525</v>
      </c>
      <c r="L111" s="189">
        <v>160814</v>
      </c>
      <c r="M111" s="189">
        <v>1800</v>
      </c>
      <c r="N111" s="194" t="s">
        <v>1352</v>
      </c>
      <c r="O111" s="191"/>
      <c r="P111" s="191">
        <v>0.5</v>
      </c>
      <c r="Q111" s="191"/>
      <c r="R111" s="191"/>
      <c r="S111" s="197"/>
      <c r="T111" s="191"/>
      <c r="U111" s="191"/>
      <c r="V111" s="191"/>
      <c r="W111" s="191"/>
      <c r="X111" s="191"/>
      <c r="Y111" s="168">
        <f t="shared" si="2"/>
        <v>0</v>
      </c>
      <c r="Z111" s="168">
        <f t="shared" si="2"/>
        <v>0.5</v>
      </c>
      <c r="AA111" s="168">
        <f t="shared" si="2"/>
        <v>0</v>
      </c>
      <c r="AB111" s="168">
        <f t="shared" si="2"/>
        <v>0</v>
      </c>
      <c r="AC111" s="192"/>
      <c r="AD111" s="168">
        <f t="shared" si="3"/>
        <v>0.5</v>
      </c>
      <c r="AE111" s="169" t="s">
        <v>117</v>
      </c>
      <c r="AF111" s="169" t="s">
        <v>117</v>
      </c>
      <c r="AG111" s="169" t="s">
        <v>57</v>
      </c>
      <c r="AH111" s="169" t="s">
        <v>1664</v>
      </c>
      <c r="AI111" s="169" t="s">
        <v>73</v>
      </c>
      <c r="AJ111" s="179">
        <v>101200</v>
      </c>
      <c r="AK111" s="168" t="s">
        <v>60</v>
      </c>
    </row>
    <row r="112" spans="1:37" x14ac:dyDescent="0.35">
      <c r="A112" s="203">
        <v>100103014</v>
      </c>
      <c r="B112" s="204" t="s">
        <v>78</v>
      </c>
      <c r="C112" s="204" t="s">
        <v>107</v>
      </c>
      <c r="D112" s="205" t="s">
        <v>1678</v>
      </c>
      <c r="E112" s="181" t="s">
        <v>1679</v>
      </c>
      <c r="F112" s="181" t="s">
        <v>1680</v>
      </c>
      <c r="G112" s="196">
        <v>933</v>
      </c>
      <c r="H112" s="742">
        <v>41867</v>
      </c>
      <c r="I112" s="189">
        <v>1540</v>
      </c>
      <c r="J112" s="167">
        <v>160814</v>
      </c>
      <c r="K112" s="167">
        <v>1550</v>
      </c>
      <c r="L112" s="189">
        <v>160814</v>
      </c>
      <c r="M112" s="189">
        <v>1940</v>
      </c>
      <c r="N112" s="194" t="s">
        <v>1352</v>
      </c>
      <c r="O112" s="191"/>
      <c r="P112" s="191">
        <v>1.5</v>
      </c>
      <c r="Q112" s="191"/>
      <c r="R112" s="191"/>
      <c r="S112" s="197"/>
      <c r="T112" s="191"/>
      <c r="U112" s="191">
        <v>1.5</v>
      </c>
      <c r="V112" s="191"/>
      <c r="W112" s="191"/>
      <c r="X112" s="191"/>
      <c r="Y112" s="168">
        <f t="shared" si="2"/>
        <v>0</v>
      </c>
      <c r="Z112" s="168">
        <f t="shared" si="2"/>
        <v>3</v>
      </c>
      <c r="AA112" s="168">
        <f t="shared" si="2"/>
        <v>0</v>
      </c>
      <c r="AB112" s="168">
        <f t="shared" si="2"/>
        <v>0</v>
      </c>
      <c r="AC112" s="192"/>
      <c r="AD112" s="168">
        <f t="shared" si="3"/>
        <v>3</v>
      </c>
      <c r="AE112" s="169" t="s">
        <v>71</v>
      </c>
      <c r="AF112" s="169" t="s">
        <v>117</v>
      </c>
      <c r="AG112" s="169" t="s">
        <v>57</v>
      </c>
      <c r="AH112" s="169" t="s">
        <v>1681</v>
      </c>
      <c r="AI112" s="169" t="s">
        <v>1682</v>
      </c>
      <c r="AJ112" s="179">
        <v>9720</v>
      </c>
      <c r="AK112" s="168" t="s">
        <v>60</v>
      </c>
    </row>
    <row r="113" spans="1:37" x14ac:dyDescent="0.35">
      <c r="A113" s="198">
        <v>101103114</v>
      </c>
      <c r="B113" s="182" t="s">
        <v>68</v>
      </c>
      <c r="C113" s="182" t="s">
        <v>157</v>
      </c>
      <c r="D113" s="195" t="s">
        <v>1683</v>
      </c>
      <c r="E113" s="181" t="s">
        <v>1684</v>
      </c>
      <c r="F113" s="181" t="s">
        <v>1685</v>
      </c>
      <c r="G113" s="196">
        <v>1090</v>
      </c>
      <c r="H113" s="748">
        <v>41868</v>
      </c>
      <c r="I113" s="199">
        <v>1320</v>
      </c>
      <c r="J113" s="167">
        <v>170814</v>
      </c>
      <c r="K113" s="167">
        <v>1325</v>
      </c>
      <c r="L113" s="199">
        <v>170814</v>
      </c>
      <c r="M113" s="199">
        <v>1450</v>
      </c>
      <c r="N113" s="200" t="s">
        <v>1352</v>
      </c>
      <c r="O113" s="200"/>
      <c r="P113" s="200">
        <v>0.02</v>
      </c>
      <c r="Q113" s="200"/>
      <c r="R113" s="200"/>
      <c r="S113" s="201"/>
      <c r="T113" s="200"/>
      <c r="U113" s="200"/>
      <c r="V113" s="202"/>
      <c r="W113" s="200"/>
      <c r="X113" s="194"/>
      <c r="Y113" s="168">
        <f t="shared" si="2"/>
        <v>0</v>
      </c>
      <c r="Z113" s="168">
        <f t="shared" si="2"/>
        <v>0.02</v>
      </c>
      <c r="AA113" s="168">
        <f t="shared" si="2"/>
        <v>0</v>
      </c>
      <c r="AB113" s="168">
        <f t="shared" si="2"/>
        <v>0</v>
      </c>
      <c r="AC113" s="192"/>
      <c r="AD113" s="168">
        <f t="shared" si="3"/>
        <v>0.02</v>
      </c>
      <c r="AE113" s="169" t="s">
        <v>117</v>
      </c>
      <c r="AF113" s="169" t="s">
        <v>117</v>
      </c>
      <c r="AG113" s="169" t="s">
        <v>57</v>
      </c>
      <c r="AH113" s="169" t="s">
        <v>1686</v>
      </c>
      <c r="AI113" s="169" t="s">
        <v>73</v>
      </c>
      <c r="AJ113" s="179">
        <v>1250</v>
      </c>
      <c r="AK113" s="168" t="s">
        <v>60</v>
      </c>
    </row>
    <row r="114" spans="1:37" x14ac:dyDescent="0.35">
      <c r="A114" s="185">
        <v>102102714</v>
      </c>
      <c r="B114" s="181" t="s">
        <v>78</v>
      </c>
      <c r="C114" s="181" t="s">
        <v>79</v>
      </c>
      <c r="D114" s="195" t="s">
        <v>1687</v>
      </c>
      <c r="E114" s="181" t="s">
        <v>1688</v>
      </c>
      <c r="F114" s="181" t="s">
        <v>1689</v>
      </c>
      <c r="G114" s="196">
        <v>965</v>
      </c>
      <c r="H114" s="742">
        <v>41869</v>
      </c>
      <c r="I114" s="189">
        <v>1030</v>
      </c>
      <c r="J114" s="167">
        <v>180814</v>
      </c>
      <c r="K114" s="167">
        <v>1040</v>
      </c>
      <c r="L114" s="189">
        <v>180814</v>
      </c>
      <c r="M114" s="189">
        <v>1830</v>
      </c>
      <c r="N114" s="194" t="s">
        <v>1352</v>
      </c>
      <c r="O114" s="191"/>
      <c r="P114" s="191">
        <v>5</v>
      </c>
      <c r="Q114" s="191"/>
      <c r="R114" s="191"/>
      <c r="S114" s="197"/>
      <c r="T114" s="191"/>
      <c r="U114" s="191"/>
      <c r="V114" s="191"/>
      <c r="W114" s="191"/>
      <c r="X114" s="191"/>
      <c r="Y114" s="168">
        <f t="shared" si="2"/>
        <v>0</v>
      </c>
      <c r="Z114" s="168">
        <f t="shared" si="2"/>
        <v>5</v>
      </c>
      <c r="AA114" s="168">
        <f t="shared" si="2"/>
        <v>0</v>
      </c>
      <c r="AB114" s="168">
        <f t="shared" si="2"/>
        <v>0</v>
      </c>
      <c r="AC114" s="192"/>
      <c r="AD114" s="168">
        <f t="shared" si="3"/>
        <v>5</v>
      </c>
      <c r="AE114" s="169" t="s">
        <v>66</v>
      </c>
      <c r="AF114" s="169" t="s">
        <v>117</v>
      </c>
      <c r="AG114" s="169" t="s">
        <v>493</v>
      </c>
      <c r="AH114" s="169" t="s">
        <v>1690</v>
      </c>
      <c r="AI114" s="169" t="s">
        <v>1682</v>
      </c>
      <c r="AJ114" s="179">
        <v>16900</v>
      </c>
      <c r="AK114" s="168" t="s">
        <v>60</v>
      </c>
    </row>
    <row r="115" spans="1:37" x14ac:dyDescent="0.35">
      <c r="A115" s="185">
        <v>103101414</v>
      </c>
      <c r="B115" s="165" t="s">
        <v>198</v>
      </c>
      <c r="C115" s="181" t="s">
        <v>1691</v>
      </c>
      <c r="D115" s="195" t="s">
        <v>1692</v>
      </c>
      <c r="E115" s="181" t="s">
        <v>1693</v>
      </c>
      <c r="F115" s="181" t="s">
        <v>1694</v>
      </c>
      <c r="G115" s="196">
        <v>384</v>
      </c>
      <c r="H115" s="742">
        <v>41869</v>
      </c>
      <c r="I115" s="189">
        <v>1530</v>
      </c>
      <c r="J115" s="167">
        <v>180814</v>
      </c>
      <c r="K115" s="167">
        <v>1550</v>
      </c>
      <c r="L115" s="189">
        <v>180814</v>
      </c>
      <c r="M115" s="189">
        <v>2140</v>
      </c>
      <c r="N115" s="194" t="s">
        <v>62</v>
      </c>
      <c r="O115" s="191"/>
      <c r="P115" s="191"/>
      <c r="Q115" s="191"/>
      <c r="R115" s="191"/>
      <c r="S115" s="197"/>
      <c r="T115" s="191">
        <v>1</v>
      </c>
      <c r="U115" s="191"/>
      <c r="V115" s="191"/>
      <c r="W115" s="191"/>
      <c r="X115" s="191" t="s">
        <v>1592</v>
      </c>
      <c r="Y115" s="168">
        <f t="shared" si="2"/>
        <v>1</v>
      </c>
      <c r="Z115" s="168">
        <f t="shared" si="2"/>
        <v>0</v>
      </c>
      <c r="AA115" s="168">
        <f t="shared" si="2"/>
        <v>0</v>
      </c>
      <c r="AB115" s="168">
        <f t="shared" si="2"/>
        <v>0</v>
      </c>
      <c r="AC115" s="191" t="s">
        <v>1592</v>
      </c>
      <c r="AD115" s="168">
        <f t="shared" si="3"/>
        <v>1</v>
      </c>
      <c r="AE115" s="169" t="s">
        <v>117</v>
      </c>
      <c r="AF115" s="169" t="s">
        <v>117</v>
      </c>
      <c r="AG115" s="169" t="s">
        <v>57</v>
      </c>
      <c r="AH115" s="169" t="s">
        <v>1417</v>
      </c>
      <c r="AI115" s="169" t="s">
        <v>1385</v>
      </c>
      <c r="AJ115" s="179">
        <v>100000</v>
      </c>
      <c r="AK115" s="168" t="s">
        <v>60</v>
      </c>
    </row>
    <row r="116" spans="1:37" x14ac:dyDescent="0.35">
      <c r="A116" s="185">
        <v>104103114</v>
      </c>
      <c r="B116" s="181" t="s">
        <v>68</v>
      </c>
      <c r="C116" s="181" t="s">
        <v>157</v>
      </c>
      <c r="D116" s="195" t="s">
        <v>1695</v>
      </c>
      <c r="E116" s="181" t="s">
        <v>1696</v>
      </c>
      <c r="F116" s="181" t="s">
        <v>1697</v>
      </c>
      <c r="G116" s="196">
        <v>1150</v>
      </c>
      <c r="H116" s="742">
        <v>41869</v>
      </c>
      <c r="I116" s="189">
        <v>1600</v>
      </c>
      <c r="J116" s="167">
        <v>180814</v>
      </c>
      <c r="K116" s="167">
        <v>1610</v>
      </c>
      <c r="L116" s="189">
        <v>180814</v>
      </c>
      <c r="M116" s="189">
        <v>1810</v>
      </c>
      <c r="N116" s="194" t="s">
        <v>1352</v>
      </c>
      <c r="O116" s="191"/>
      <c r="P116" s="191"/>
      <c r="Q116" s="191"/>
      <c r="R116" s="191"/>
      <c r="S116" s="197"/>
      <c r="T116" s="191"/>
      <c r="U116" s="191">
        <v>0.5</v>
      </c>
      <c r="V116" s="191"/>
      <c r="W116" s="191"/>
      <c r="X116" s="191"/>
      <c r="Y116" s="168">
        <f t="shared" si="2"/>
        <v>0</v>
      </c>
      <c r="Z116" s="168">
        <f t="shared" si="2"/>
        <v>0.5</v>
      </c>
      <c r="AA116" s="168">
        <f t="shared" si="2"/>
        <v>0</v>
      </c>
      <c r="AB116" s="168">
        <f t="shared" si="2"/>
        <v>0</v>
      </c>
      <c r="AC116" s="192"/>
      <c r="AD116" s="168">
        <f t="shared" si="3"/>
        <v>0.5</v>
      </c>
      <c r="AE116" s="169" t="s">
        <v>117</v>
      </c>
      <c r="AF116" s="169" t="s">
        <v>117</v>
      </c>
      <c r="AG116" s="169" t="s">
        <v>72</v>
      </c>
      <c r="AH116" s="169" t="s">
        <v>1698</v>
      </c>
      <c r="AI116" s="169" t="s">
        <v>73</v>
      </c>
      <c r="AJ116" s="179">
        <v>12500</v>
      </c>
      <c r="AK116" s="168" t="s">
        <v>60</v>
      </c>
    </row>
    <row r="117" spans="1:37" x14ac:dyDescent="0.35">
      <c r="A117" s="185">
        <v>105102814</v>
      </c>
      <c r="B117" s="188" t="s">
        <v>101</v>
      </c>
      <c r="C117" s="188" t="s">
        <v>1665</v>
      </c>
      <c r="D117" s="195" t="s">
        <v>1666</v>
      </c>
      <c r="E117" s="181" t="s">
        <v>1699</v>
      </c>
      <c r="F117" s="181" t="s">
        <v>1700</v>
      </c>
      <c r="G117" s="196">
        <v>970</v>
      </c>
      <c r="H117" s="742">
        <v>41871</v>
      </c>
      <c r="I117" s="189">
        <v>1230</v>
      </c>
      <c r="J117" s="189">
        <v>200814</v>
      </c>
      <c r="K117" s="189">
        <v>1245</v>
      </c>
      <c r="L117" s="189">
        <v>200814</v>
      </c>
      <c r="M117" s="189">
        <v>1550</v>
      </c>
      <c r="N117" s="194" t="s">
        <v>62</v>
      </c>
      <c r="O117" s="191">
        <v>0.5</v>
      </c>
      <c r="P117" s="191"/>
      <c r="Q117" s="191"/>
      <c r="R117" s="191"/>
      <c r="S117" s="197"/>
      <c r="T117" s="191"/>
      <c r="U117" s="191"/>
      <c r="V117" s="191"/>
      <c r="W117" s="191"/>
      <c r="X117" s="191"/>
      <c r="Y117" s="168">
        <f t="shared" si="2"/>
        <v>0.5</v>
      </c>
      <c r="Z117" s="168">
        <f t="shared" si="2"/>
        <v>0</v>
      </c>
      <c r="AA117" s="168">
        <f t="shared" si="2"/>
        <v>0</v>
      </c>
      <c r="AB117" s="168">
        <f t="shared" si="2"/>
        <v>0</v>
      </c>
      <c r="AC117" s="192"/>
      <c r="AD117" s="168">
        <f t="shared" si="3"/>
        <v>0.5</v>
      </c>
      <c r="AE117" s="169" t="s">
        <v>117</v>
      </c>
      <c r="AF117" s="169" t="s">
        <v>117</v>
      </c>
      <c r="AG117" s="169" t="s">
        <v>72</v>
      </c>
      <c r="AH117" s="169"/>
      <c r="AI117" s="169" t="s">
        <v>1701</v>
      </c>
      <c r="AJ117" s="179">
        <v>60000</v>
      </c>
      <c r="AK117" s="168" t="s">
        <v>60</v>
      </c>
    </row>
    <row r="118" spans="1:37" x14ac:dyDescent="0.35">
      <c r="A118" s="185">
        <v>106103114</v>
      </c>
      <c r="B118" s="182" t="s">
        <v>68</v>
      </c>
      <c r="C118" s="182" t="s">
        <v>157</v>
      </c>
      <c r="D118" s="206" t="s">
        <v>1702</v>
      </c>
      <c r="E118" s="181" t="s">
        <v>1703</v>
      </c>
      <c r="F118" s="181" t="s">
        <v>1704</v>
      </c>
      <c r="G118" s="196">
        <v>1030</v>
      </c>
      <c r="H118" s="742">
        <v>41872</v>
      </c>
      <c r="I118" s="189">
        <v>1600</v>
      </c>
      <c r="J118" s="167">
        <v>210814</v>
      </c>
      <c r="K118" s="167">
        <v>1615</v>
      </c>
      <c r="L118" s="189">
        <v>210814</v>
      </c>
      <c r="M118" s="189">
        <v>1900</v>
      </c>
      <c r="N118" s="194" t="s">
        <v>1352</v>
      </c>
      <c r="O118" s="191"/>
      <c r="P118" s="191"/>
      <c r="Q118" s="191"/>
      <c r="R118" s="191"/>
      <c r="S118" s="197"/>
      <c r="T118" s="191"/>
      <c r="U118" s="191">
        <v>2</v>
      </c>
      <c r="V118" s="191"/>
      <c r="W118" s="191"/>
      <c r="X118" s="191"/>
      <c r="Y118" s="168">
        <f t="shared" si="2"/>
        <v>0</v>
      </c>
      <c r="Z118" s="168">
        <f t="shared" si="2"/>
        <v>2</v>
      </c>
      <c r="AA118" s="168">
        <f t="shared" si="2"/>
        <v>0</v>
      </c>
      <c r="AB118" s="168">
        <f t="shared" si="2"/>
        <v>0</v>
      </c>
      <c r="AC118" s="192"/>
      <c r="AD118" s="168">
        <f t="shared" si="3"/>
        <v>2</v>
      </c>
      <c r="AE118" s="169" t="s">
        <v>117</v>
      </c>
      <c r="AF118" s="169" t="s">
        <v>117</v>
      </c>
      <c r="AG118" s="169" t="s">
        <v>628</v>
      </c>
      <c r="AH118" s="169" t="s">
        <v>1705</v>
      </c>
      <c r="AI118" s="169" t="s">
        <v>73</v>
      </c>
      <c r="AJ118" s="179">
        <v>37500</v>
      </c>
      <c r="AK118" s="168" t="s">
        <v>60</v>
      </c>
    </row>
    <row r="119" spans="1:37" x14ac:dyDescent="0.35">
      <c r="A119" s="185">
        <v>10710914</v>
      </c>
      <c r="B119" s="182" t="s">
        <v>83</v>
      </c>
      <c r="C119" s="188" t="s">
        <v>95</v>
      </c>
      <c r="D119" s="206" t="s">
        <v>1376</v>
      </c>
      <c r="E119" s="181" t="s">
        <v>1706</v>
      </c>
      <c r="F119" s="181" t="s">
        <v>1707</v>
      </c>
      <c r="G119" s="196">
        <v>625</v>
      </c>
      <c r="H119" s="742">
        <v>41873</v>
      </c>
      <c r="I119" s="189">
        <v>1130</v>
      </c>
      <c r="J119" s="167">
        <v>220814</v>
      </c>
      <c r="K119" s="167">
        <v>1140</v>
      </c>
      <c r="L119" s="189">
        <v>220814</v>
      </c>
      <c r="M119" s="189">
        <v>1210</v>
      </c>
      <c r="N119" s="194" t="s">
        <v>1339</v>
      </c>
      <c r="O119" s="191"/>
      <c r="P119" s="191"/>
      <c r="Q119" s="191">
        <v>1</v>
      </c>
      <c r="R119" s="191"/>
      <c r="S119" s="197"/>
      <c r="T119" s="191"/>
      <c r="U119" s="191"/>
      <c r="V119" s="191"/>
      <c r="W119" s="191"/>
      <c r="X119" s="191" t="s">
        <v>1708</v>
      </c>
      <c r="Y119" s="168">
        <f t="shared" si="2"/>
        <v>0</v>
      </c>
      <c r="Z119" s="168">
        <f t="shared" si="2"/>
        <v>0</v>
      </c>
      <c r="AA119" s="168">
        <f t="shared" si="2"/>
        <v>1</v>
      </c>
      <c r="AB119" s="168">
        <f t="shared" si="2"/>
        <v>0</v>
      </c>
      <c r="AC119" s="191" t="s">
        <v>1708</v>
      </c>
      <c r="AD119" s="168">
        <f t="shared" si="3"/>
        <v>1</v>
      </c>
      <c r="AE119" s="169" t="s">
        <v>117</v>
      </c>
      <c r="AF119" s="169" t="s">
        <v>117</v>
      </c>
      <c r="AG119" s="169" t="s">
        <v>57</v>
      </c>
      <c r="AH119" s="169" t="s">
        <v>1664</v>
      </c>
      <c r="AI119" s="169" t="s">
        <v>1709</v>
      </c>
      <c r="AJ119" s="179">
        <v>201500</v>
      </c>
      <c r="AK119" s="168" t="s">
        <v>60</v>
      </c>
    </row>
    <row r="120" spans="1:37" x14ac:dyDescent="0.35">
      <c r="A120" s="185">
        <v>10810314</v>
      </c>
      <c r="B120" s="165" t="s">
        <v>198</v>
      </c>
      <c r="C120" s="181" t="s">
        <v>1523</v>
      </c>
      <c r="D120" s="207" t="s">
        <v>1710</v>
      </c>
      <c r="E120" s="181" t="s">
        <v>1711</v>
      </c>
      <c r="F120" s="181" t="s">
        <v>1712</v>
      </c>
      <c r="G120" s="196">
        <v>570</v>
      </c>
      <c r="H120" s="742">
        <v>41873</v>
      </c>
      <c r="I120" s="189">
        <v>1145</v>
      </c>
      <c r="J120" s="167">
        <v>220814</v>
      </c>
      <c r="K120" s="167">
        <v>1230</v>
      </c>
      <c r="L120" s="189">
        <v>220814</v>
      </c>
      <c r="M120" s="189">
        <v>1600</v>
      </c>
      <c r="N120" s="194" t="s">
        <v>1713</v>
      </c>
      <c r="O120" s="191"/>
      <c r="P120" s="191"/>
      <c r="Q120" s="191"/>
      <c r="R120" s="191"/>
      <c r="S120" s="197"/>
      <c r="T120" s="191">
        <v>1.5</v>
      </c>
      <c r="U120" s="191"/>
      <c r="V120" s="191"/>
      <c r="W120" s="191"/>
      <c r="X120" s="191"/>
      <c r="Y120" s="168">
        <f t="shared" si="2"/>
        <v>1.5</v>
      </c>
      <c r="Z120" s="168">
        <f t="shared" si="2"/>
        <v>0</v>
      </c>
      <c r="AA120" s="168">
        <f t="shared" si="2"/>
        <v>0</v>
      </c>
      <c r="AB120" s="168">
        <f t="shared" si="2"/>
        <v>0</v>
      </c>
      <c r="AC120" s="192"/>
      <c r="AD120" s="168">
        <f t="shared" si="3"/>
        <v>1.5</v>
      </c>
      <c r="AE120" s="169" t="s">
        <v>117</v>
      </c>
      <c r="AF120" s="169" t="s">
        <v>117</v>
      </c>
      <c r="AG120" s="169" t="s">
        <v>72</v>
      </c>
      <c r="AH120" s="169" t="s">
        <v>1521</v>
      </c>
      <c r="AI120" s="169" t="s">
        <v>1385</v>
      </c>
      <c r="AJ120" s="179">
        <v>150000</v>
      </c>
      <c r="AK120" s="168" t="s">
        <v>60</v>
      </c>
    </row>
    <row r="121" spans="1:37" x14ac:dyDescent="0.35">
      <c r="A121" s="185">
        <v>10910514</v>
      </c>
      <c r="B121" s="188" t="s">
        <v>208</v>
      </c>
      <c r="C121" s="188" t="s">
        <v>208</v>
      </c>
      <c r="D121" s="206" t="s">
        <v>1323</v>
      </c>
      <c r="E121" s="181" t="s">
        <v>1714</v>
      </c>
      <c r="F121" s="181" t="s">
        <v>1715</v>
      </c>
      <c r="G121" s="196">
        <v>670</v>
      </c>
      <c r="H121" s="742">
        <v>41873</v>
      </c>
      <c r="I121" s="189">
        <v>1210</v>
      </c>
      <c r="J121" s="167"/>
      <c r="K121" s="167"/>
      <c r="L121" s="189">
        <v>230814</v>
      </c>
      <c r="M121" s="189">
        <v>200</v>
      </c>
      <c r="N121" s="194" t="s">
        <v>1517</v>
      </c>
      <c r="O121" s="191"/>
      <c r="P121" s="191">
        <v>8</v>
      </c>
      <c r="Q121" s="191"/>
      <c r="R121" s="191"/>
      <c r="S121" s="197"/>
      <c r="T121" s="191"/>
      <c r="U121" s="191"/>
      <c r="V121" s="191"/>
      <c r="W121" s="191"/>
      <c r="X121" s="191"/>
      <c r="Y121" s="168">
        <f t="shared" si="2"/>
        <v>0</v>
      </c>
      <c r="Z121" s="168">
        <f t="shared" si="2"/>
        <v>8</v>
      </c>
      <c r="AA121" s="168">
        <f t="shared" si="2"/>
        <v>0</v>
      </c>
      <c r="AB121" s="168">
        <f t="shared" si="2"/>
        <v>0</v>
      </c>
      <c r="AC121" s="192"/>
      <c r="AD121" s="168">
        <f t="shared" si="3"/>
        <v>8</v>
      </c>
      <c r="AE121" s="169" t="s">
        <v>117</v>
      </c>
      <c r="AF121" s="169" t="s">
        <v>117</v>
      </c>
      <c r="AG121" s="169" t="s">
        <v>72</v>
      </c>
      <c r="AH121" s="169" t="s">
        <v>1716</v>
      </c>
      <c r="AI121" s="169" t="s">
        <v>175</v>
      </c>
      <c r="AJ121" s="179">
        <v>600000</v>
      </c>
      <c r="AK121" s="168" t="s">
        <v>60</v>
      </c>
    </row>
    <row r="122" spans="1:37" x14ac:dyDescent="0.35">
      <c r="A122" s="185">
        <v>110101214</v>
      </c>
      <c r="B122" s="182" t="s">
        <v>83</v>
      </c>
      <c r="C122" s="182" t="s">
        <v>83</v>
      </c>
      <c r="D122" s="206" t="s">
        <v>1604</v>
      </c>
      <c r="E122" s="181" t="s">
        <v>1717</v>
      </c>
      <c r="F122" s="181" t="s">
        <v>1718</v>
      </c>
      <c r="G122" s="196">
        <v>890</v>
      </c>
      <c r="H122" s="742">
        <v>41873</v>
      </c>
      <c r="I122" s="189">
        <v>1315</v>
      </c>
      <c r="J122" s="167">
        <v>220814</v>
      </c>
      <c r="K122" s="167">
        <v>1325</v>
      </c>
      <c r="L122" s="189">
        <v>220814</v>
      </c>
      <c r="M122" s="189">
        <v>1615</v>
      </c>
      <c r="N122" s="194" t="s">
        <v>62</v>
      </c>
      <c r="O122" s="191">
        <v>1.5</v>
      </c>
      <c r="P122" s="191"/>
      <c r="Q122" s="191">
        <v>0.5</v>
      </c>
      <c r="R122" s="191"/>
      <c r="S122" s="197"/>
      <c r="T122" s="191"/>
      <c r="U122" s="191"/>
      <c r="V122" s="191"/>
      <c r="W122" s="191"/>
      <c r="X122" s="191"/>
      <c r="Y122" s="168">
        <f t="shared" si="2"/>
        <v>1.5</v>
      </c>
      <c r="Z122" s="168">
        <f t="shared" si="2"/>
        <v>0</v>
      </c>
      <c r="AA122" s="168">
        <f t="shared" si="2"/>
        <v>0.5</v>
      </c>
      <c r="AB122" s="168">
        <f t="shared" si="2"/>
        <v>0</v>
      </c>
      <c r="AC122" s="192"/>
      <c r="AD122" s="168">
        <f t="shared" si="3"/>
        <v>2</v>
      </c>
      <c r="AE122" s="169" t="s">
        <v>117</v>
      </c>
      <c r="AF122" s="169" t="s">
        <v>117</v>
      </c>
      <c r="AG122" s="169" t="s">
        <v>57</v>
      </c>
      <c r="AH122" s="169" t="s">
        <v>1664</v>
      </c>
      <c r="AI122" s="169" t="s">
        <v>73</v>
      </c>
      <c r="AJ122" s="179">
        <v>406000</v>
      </c>
      <c r="AK122" s="168" t="s">
        <v>60</v>
      </c>
    </row>
    <row r="123" spans="1:37" x14ac:dyDescent="0.35">
      <c r="A123" s="185">
        <v>11110914</v>
      </c>
      <c r="B123" s="188" t="s">
        <v>83</v>
      </c>
      <c r="C123" s="188" t="s">
        <v>95</v>
      </c>
      <c r="D123" s="206" t="s">
        <v>1376</v>
      </c>
      <c r="E123" s="181" t="s">
        <v>1719</v>
      </c>
      <c r="F123" s="181" t="s">
        <v>1720</v>
      </c>
      <c r="G123" s="196">
        <v>890</v>
      </c>
      <c r="H123" s="742">
        <v>41873</v>
      </c>
      <c r="I123" s="189">
        <v>1530</v>
      </c>
      <c r="J123" s="167">
        <v>220814</v>
      </c>
      <c r="K123" s="167">
        <v>1540</v>
      </c>
      <c r="L123" s="189">
        <v>220814</v>
      </c>
      <c r="M123" s="189">
        <v>2030</v>
      </c>
      <c r="N123" s="194" t="s">
        <v>1339</v>
      </c>
      <c r="O123" s="191"/>
      <c r="P123" s="191">
        <v>1</v>
      </c>
      <c r="Q123" s="191">
        <v>3</v>
      </c>
      <c r="R123" s="191"/>
      <c r="S123" s="197"/>
      <c r="T123" s="191"/>
      <c r="U123" s="191"/>
      <c r="V123" s="191"/>
      <c r="W123" s="191"/>
      <c r="X123" s="191"/>
      <c r="Y123" s="168">
        <f t="shared" si="2"/>
        <v>0</v>
      </c>
      <c r="Z123" s="168">
        <f t="shared" si="2"/>
        <v>1</v>
      </c>
      <c r="AA123" s="168">
        <f t="shared" si="2"/>
        <v>3</v>
      </c>
      <c r="AB123" s="168">
        <f t="shared" si="2"/>
        <v>0</v>
      </c>
      <c r="AC123" s="192"/>
      <c r="AD123" s="168">
        <f t="shared" si="3"/>
        <v>4</v>
      </c>
      <c r="AE123" s="169" t="s">
        <v>117</v>
      </c>
      <c r="AF123" s="169" t="s">
        <v>117</v>
      </c>
      <c r="AG123" s="169" t="s">
        <v>57</v>
      </c>
      <c r="AH123" s="169" t="s">
        <v>1664</v>
      </c>
      <c r="AI123" s="169" t="s">
        <v>73</v>
      </c>
      <c r="AJ123" s="179">
        <v>810750</v>
      </c>
      <c r="AK123" s="168" t="s">
        <v>60</v>
      </c>
    </row>
    <row r="124" spans="1:37" x14ac:dyDescent="0.35">
      <c r="A124" s="185">
        <v>112102714</v>
      </c>
      <c r="B124" s="208" t="s">
        <v>78</v>
      </c>
      <c r="C124" s="181" t="s">
        <v>79</v>
      </c>
      <c r="D124" s="206" t="s">
        <v>1687</v>
      </c>
      <c r="E124" s="181" t="s">
        <v>1721</v>
      </c>
      <c r="F124" s="181" t="s">
        <v>1722</v>
      </c>
      <c r="G124" s="196">
        <v>1188</v>
      </c>
      <c r="H124" s="742">
        <v>41873</v>
      </c>
      <c r="I124" s="189">
        <v>1650</v>
      </c>
      <c r="J124" s="167">
        <v>220814</v>
      </c>
      <c r="K124" s="167">
        <v>1700</v>
      </c>
      <c r="L124" s="189">
        <v>220814</v>
      </c>
      <c r="M124" s="189">
        <v>1950</v>
      </c>
      <c r="N124" s="194" t="s">
        <v>1352</v>
      </c>
      <c r="O124" s="191"/>
      <c r="P124" s="191">
        <v>2</v>
      </c>
      <c r="Q124" s="191"/>
      <c r="R124" s="191"/>
      <c r="S124" s="197"/>
      <c r="T124" s="191"/>
      <c r="U124" s="191"/>
      <c r="V124" s="191"/>
      <c r="W124" s="191"/>
      <c r="X124" s="191"/>
      <c r="Y124" s="168">
        <f t="shared" si="2"/>
        <v>0</v>
      </c>
      <c r="Z124" s="168">
        <f t="shared" si="2"/>
        <v>2</v>
      </c>
      <c r="AA124" s="168">
        <f t="shared" si="2"/>
        <v>0</v>
      </c>
      <c r="AB124" s="168">
        <f t="shared" si="2"/>
        <v>0</v>
      </c>
      <c r="AC124" s="192"/>
      <c r="AD124" s="168">
        <f t="shared" si="3"/>
        <v>2</v>
      </c>
      <c r="AE124" s="169" t="s">
        <v>66</v>
      </c>
      <c r="AF124" s="169" t="s">
        <v>117</v>
      </c>
      <c r="AG124" s="169" t="s">
        <v>493</v>
      </c>
      <c r="AH124" s="169" t="s">
        <v>1723</v>
      </c>
      <c r="AI124" s="169" t="s">
        <v>65</v>
      </c>
      <c r="AJ124" s="179">
        <v>22000</v>
      </c>
      <c r="AK124" s="168" t="s">
        <v>60</v>
      </c>
    </row>
    <row r="125" spans="1:37" x14ac:dyDescent="0.35">
      <c r="A125" s="185">
        <v>113104514</v>
      </c>
      <c r="B125" s="181" t="s">
        <v>1361</v>
      </c>
      <c r="C125" s="181" t="s">
        <v>1724</v>
      </c>
      <c r="D125" s="206" t="s">
        <v>1621</v>
      </c>
      <c r="E125" s="181" t="s">
        <v>1725</v>
      </c>
      <c r="F125" s="181" t="s">
        <v>1726</v>
      </c>
      <c r="G125" s="196">
        <v>650</v>
      </c>
      <c r="H125" s="742">
        <v>41874</v>
      </c>
      <c r="I125" s="189">
        <v>1800</v>
      </c>
      <c r="J125" s="167">
        <v>230814</v>
      </c>
      <c r="K125" s="167">
        <v>1820</v>
      </c>
      <c r="L125" s="189">
        <v>230814</v>
      </c>
      <c r="M125" s="189">
        <v>1945</v>
      </c>
      <c r="N125" s="194" t="s">
        <v>62</v>
      </c>
      <c r="O125" s="191">
        <v>1</v>
      </c>
      <c r="P125" s="191"/>
      <c r="Q125" s="191">
        <v>1</v>
      </c>
      <c r="R125" s="191"/>
      <c r="S125" s="197"/>
      <c r="T125" s="191"/>
      <c r="U125" s="191"/>
      <c r="V125" s="191"/>
      <c r="W125" s="191"/>
      <c r="X125" s="191"/>
      <c r="Y125" s="168">
        <f t="shared" si="2"/>
        <v>1</v>
      </c>
      <c r="Z125" s="168">
        <f t="shared" si="2"/>
        <v>0</v>
      </c>
      <c r="AA125" s="168">
        <f t="shared" si="2"/>
        <v>1</v>
      </c>
      <c r="AB125" s="168">
        <f t="shared" si="2"/>
        <v>0</v>
      </c>
      <c r="AC125" s="192"/>
      <c r="AD125" s="168">
        <f t="shared" si="3"/>
        <v>2</v>
      </c>
      <c r="AE125" s="169" t="s">
        <v>66</v>
      </c>
      <c r="AF125" s="169" t="s">
        <v>117</v>
      </c>
      <c r="AG125" s="169" t="s">
        <v>72</v>
      </c>
      <c r="AH125" s="169" t="s">
        <v>1727</v>
      </c>
      <c r="AI125" s="169" t="s">
        <v>1728</v>
      </c>
      <c r="AJ125" s="179">
        <v>300000</v>
      </c>
      <c r="AK125" s="168" t="s">
        <v>60</v>
      </c>
    </row>
    <row r="126" spans="1:37" x14ac:dyDescent="0.35">
      <c r="A126" s="185">
        <v>114103814</v>
      </c>
      <c r="B126" s="204" t="s">
        <v>68</v>
      </c>
      <c r="C126" s="204" t="s">
        <v>68</v>
      </c>
      <c r="D126" s="209" t="s">
        <v>1436</v>
      </c>
      <c r="E126" s="181" t="s">
        <v>1729</v>
      </c>
      <c r="F126" s="181" t="s">
        <v>1730</v>
      </c>
      <c r="G126" s="196">
        <v>930</v>
      </c>
      <c r="H126" s="742">
        <v>41874</v>
      </c>
      <c r="I126" s="189">
        <v>605</v>
      </c>
      <c r="J126" s="167">
        <v>240814</v>
      </c>
      <c r="K126" s="167">
        <v>615</v>
      </c>
      <c r="L126" s="189">
        <v>240814</v>
      </c>
      <c r="M126" s="210">
        <v>820</v>
      </c>
      <c r="N126" s="194" t="s">
        <v>1352</v>
      </c>
      <c r="O126" s="191"/>
      <c r="P126" s="191">
        <v>0.5</v>
      </c>
      <c r="Q126" s="191"/>
      <c r="R126" s="191"/>
      <c r="S126" s="197"/>
      <c r="T126" s="191"/>
      <c r="U126" s="191"/>
      <c r="V126" s="191"/>
      <c r="W126" s="191"/>
      <c r="X126" s="191"/>
      <c r="Y126" s="168">
        <f t="shared" si="2"/>
        <v>0</v>
      </c>
      <c r="Z126" s="168">
        <f t="shared" si="2"/>
        <v>0.5</v>
      </c>
      <c r="AA126" s="168">
        <f t="shared" si="2"/>
        <v>0</v>
      </c>
      <c r="AB126" s="168">
        <f>W126+R126</f>
        <v>0</v>
      </c>
      <c r="AC126" s="192"/>
      <c r="AD126" s="168">
        <f t="shared" si="3"/>
        <v>0.5</v>
      </c>
      <c r="AE126" s="169" t="s">
        <v>117</v>
      </c>
      <c r="AF126" s="169" t="s">
        <v>117</v>
      </c>
      <c r="AG126" s="169" t="s">
        <v>493</v>
      </c>
      <c r="AH126" s="169" t="s">
        <v>1731</v>
      </c>
      <c r="AI126" s="169" t="s">
        <v>73</v>
      </c>
      <c r="AJ126" s="179">
        <v>25000</v>
      </c>
      <c r="AK126" s="168" t="s">
        <v>60</v>
      </c>
    </row>
    <row r="127" spans="1:37" x14ac:dyDescent="0.35">
      <c r="A127" s="185">
        <v>115103814</v>
      </c>
      <c r="B127" s="204" t="s">
        <v>68</v>
      </c>
      <c r="C127" s="204" t="s">
        <v>68</v>
      </c>
      <c r="D127" s="209" t="s">
        <v>1436</v>
      </c>
      <c r="E127" s="181" t="s">
        <v>1732</v>
      </c>
      <c r="F127" s="181" t="s">
        <v>1733</v>
      </c>
      <c r="G127" s="196">
        <v>950</v>
      </c>
      <c r="H127" s="742">
        <v>41875</v>
      </c>
      <c r="I127" s="189">
        <v>1335</v>
      </c>
      <c r="J127" s="167">
        <v>240814</v>
      </c>
      <c r="K127" s="167">
        <v>1340</v>
      </c>
      <c r="L127" s="189">
        <v>240814</v>
      </c>
      <c r="M127" s="189">
        <v>1900</v>
      </c>
      <c r="N127" s="194" t="s">
        <v>1352</v>
      </c>
      <c r="O127" s="191"/>
      <c r="P127" s="191">
        <v>0.5</v>
      </c>
      <c r="Q127" s="191"/>
      <c r="R127" s="191"/>
      <c r="S127" s="197"/>
      <c r="T127" s="191"/>
      <c r="U127" s="191"/>
      <c r="V127" s="191"/>
      <c r="W127" s="191"/>
      <c r="X127" s="191"/>
      <c r="Y127" s="168">
        <f t="shared" ref="Y127:AB160" si="4">T127+O127</f>
        <v>0</v>
      </c>
      <c r="Z127" s="168">
        <f t="shared" si="4"/>
        <v>0.5</v>
      </c>
      <c r="AA127" s="168">
        <f t="shared" si="4"/>
        <v>0</v>
      </c>
      <c r="AB127" s="168">
        <f t="shared" si="4"/>
        <v>0</v>
      </c>
      <c r="AC127" s="192"/>
      <c r="AD127" s="168">
        <f t="shared" si="3"/>
        <v>0.5</v>
      </c>
      <c r="AE127" s="169" t="s">
        <v>117</v>
      </c>
      <c r="AF127" s="169" t="s">
        <v>117</v>
      </c>
      <c r="AG127" s="169" t="s">
        <v>57</v>
      </c>
      <c r="AH127" s="169" t="s">
        <v>1734</v>
      </c>
      <c r="AI127" s="169" t="s">
        <v>73</v>
      </c>
      <c r="AJ127" s="179">
        <v>12500</v>
      </c>
      <c r="AK127" s="168" t="s">
        <v>60</v>
      </c>
    </row>
    <row r="128" spans="1:37" x14ac:dyDescent="0.35">
      <c r="A128" s="185">
        <v>11610114</v>
      </c>
      <c r="B128" s="181" t="s">
        <v>145</v>
      </c>
      <c r="C128" s="181" t="s">
        <v>145</v>
      </c>
      <c r="D128" s="195" t="s">
        <v>1336</v>
      </c>
      <c r="E128" s="181" t="s">
        <v>1735</v>
      </c>
      <c r="F128" s="181" t="s">
        <v>1736</v>
      </c>
      <c r="G128" s="196">
        <v>570</v>
      </c>
      <c r="H128" s="742">
        <v>41875</v>
      </c>
      <c r="I128" s="189">
        <v>1740</v>
      </c>
      <c r="J128" s="167">
        <v>240814</v>
      </c>
      <c r="K128" s="167">
        <v>1750</v>
      </c>
      <c r="L128" s="189">
        <v>240814</v>
      </c>
      <c r="M128" s="189">
        <v>1900</v>
      </c>
      <c r="N128" s="194" t="s">
        <v>277</v>
      </c>
      <c r="O128" s="191">
        <v>0.5</v>
      </c>
      <c r="P128" s="191"/>
      <c r="Q128" s="191"/>
      <c r="R128" s="191"/>
      <c r="S128" s="197"/>
      <c r="T128" s="191"/>
      <c r="U128" s="191"/>
      <c r="V128" s="191"/>
      <c r="W128" s="191"/>
      <c r="X128" s="191"/>
      <c r="Y128" s="168">
        <f t="shared" si="4"/>
        <v>0.5</v>
      </c>
      <c r="Z128" s="168">
        <f t="shared" si="4"/>
        <v>0</v>
      </c>
      <c r="AA128" s="168">
        <f t="shared" si="4"/>
        <v>0</v>
      </c>
      <c r="AB128" s="168">
        <f t="shared" si="4"/>
        <v>0</v>
      </c>
      <c r="AC128" s="192"/>
      <c r="AD128" s="168">
        <f t="shared" si="3"/>
        <v>0.5</v>
      </c>
      <c r="AE128" s="169" t="s">
        <v>117</v>
      </c>
      <c r="AF128" s="169" t="s">
        <v>117</v>
      </c>
      <c r="AG128" s="169" t="s">
        <v>57</v>
      </c>
      <c r="AH128" s="169" t="s">
        <v>1664</v>
      </c>
      <c r="AI128" s="169" t="s">
        <v>73</v>
      </c>
      <c r="AJ128" s="179">
        <v>101200</v>
      </c>
      <c r="AK128" s="168" t="s">
        <v>60</v>
      </c>
    </row>
    <row r="129" spans="1:37" x14ac:dyDescent="0.35">
      <c r="A129" s="185">
        <v>117103814</v>
      </c>
      <c r="B129" s="204" t="s">
        <v>68</v>
      </c>
      <c r="C129" s="204" t="s">
        <v>68</v>
      </c>
      <c r="D129" s="209" t="s">
        <v>1436</v>
      </c>
      <c r="E129" s="181" t="s">
        <v>1737</v>
      </c>
      <c r="F129" s="181" t="s">
        <v>1738</v>
      </c>
      <c r="G129" s="196">
        <v>950</v>
      </c>
      <c r="H129" s="742">
        <v>41876</v>
      </c>
      <c r="I129" s="189">
        <v>1200</v>
      </c>
      <c r="J129" s="167">
        <v>250814</v>
      </c>
      <c r="K129" s="167">
        <v>1205</v>
      </c>
      <c r="L129" s="189">
        <v>250814</v>
      </c>
      <c r="M129" s="189">
        <v>1300</v>
      </c>
      <c r="N129" s="194" t="s">
        <v>1352</v>
      </c>
      <c r="O129" s="191"/>
      <c r="P129" s="191">
        <v>0.04</v>
      </c>
      <c r="Q129" s="191"/>
      <c r="R129" s="191"/>
      <c r="S129" s="197"/>
      <c r="T129" s="191"/>
      <c r="U129" s="191"/>
      <c r="V129" s="191"/>
      <c r="W129" s="191"/>
      <c r="X129" s="191"/>
      <c r="Y129" s="168">
        <f t="shared" si="4"/>
        <v>0</v>
      </c>
      <c r="Z129" s="168">
        <f t="shared" si="4"/>
        <v>0.04</v>
      </c>
      <c r="AA129" s="168">
        <f t="shared" si="4"/>
        <v>0</v>
      </c>
      <c r="AB129" s="168">
        <f t="shared" si="4"/>
        <v>0</v>
      </c>
      <c r="AC129" s="192"/>
      <c r="AD129" s="168">
        <f t="shared" si="3"/>
        <v>0.04</v>
      </c>
      <c r="AE129" s="169" t="s">
        <v>117</v>
      </c>
      <c r="AF129" s="169" t="s">
        <v>117</v>
      </c>
      <c r="AG129" s="169" t="s">
        <v>72</v>
      </c>
      <c r="AH129" s="169" t="s">
        <v>1739</v>
      </c>
      <c r="AI129" s="169" t="s">
        <v>1657</v>
      </c>
      <c r="AJ129" s="179">
        <v>1250</v>
      </c>
      <c r="AK129" s="168" t="s">
        <v>60</v>
      </c>
    </row>
    <row r="130" spans="1:37" x14ac:dyDescent="0.35">
      <c r="A130" s="185">
        <v>118103114</v>
      </c>
      <c r="B130" s="181" t="s">
        <v>68</v>
      </c>
      <c r="C130" s="181" t="s">
        <v>157</v>
      </c>
      <c r="D130" s="182" t="s">
        <v>1653</v>
      </c>
      <c r="E130" s="181" t="s">
        <v>1740</v>
      </c>
      <c r="F130" s="181" t="s">
        <v>1741</v>
      </c>
      <c r="G130" s="196">
        <v>1120</v>
      </c>
      <c r="H130" s="742">
        <v>41876</v>
      </c>
      <c r="I130" s="189">
        <v>1340</v>
      </c>
      <c r="J130" s="167">
        <v>250814</v>
      </c>
      <c r="K130" s="167">
        <v>1350</v>
      </c>
      <c r="L130" s="189">
        <v>250814</v>
      </c>
      <c r="M130" s="189">
        <v>1745</v>
      </c>
      <c r="N130" s="194" t="s">
        <v>1352</v>
      </c>
      <c r="O130" s="191"/>
      <c r="P130" s="191">
        <v>0.5</v>
      </c>
      <c r="Q130" s="191"/>
      <c r="R130" s="191"/>
      <c r="S130" s="197"/>
      <c r="T130" s="191"/>
      <c r="U130" s="191"/>
      <c r="V130" s="191"/>
      <c r="W130" s="191"/>
      <c r="X130" s="191"/>
      <c r="Y130" s="168">
        <f t="shared" si="4"/>
        <v>0</v>
      </c>
      <c r="Z130" s="168">
        <f t="shared" si="4"/>
        <v>0.5</v>
      </c>
      <c r="AA130" s="168">
        <f t="shared" si="4"/>
        <v>0</v>
      </c>
      <c r="AB130" s="168">
        <f t="shared" si="4"/>
        <v>0</v>
      </c>
      <c r="AC130" s="192"/>
      <c r="AD130" s="168">
        <f t="shared" si="3"/>
        <v>0.5</v>
      </c>
      <c r="AE130" s="169" t="s">
        <v>117</v>
      </c>
      <c r="AF130" s="169" t="s">
        <v>117</v>
      </c>
      <c r="AG130" s="169" t="s">
        <v>493</v>
      </c>
      <c r="AH130" s="169" t="s">
        <v>1742</v>
      </c>
      <c r="AI130" s="169" t="s">
        <v>73</v>
      </c>
      <c r="AJ130" s="179">
        <v>12500</v>
      </c>
      <c r="AK130" s="168" t="s">
        <v>60</v>
      </c>
    </row>
    <row r="131" spans="1:37" x14ac:dyDescent="0.35">
      <c r="A131" s="185">
        <v>119101314</v>
      </c>
      <c r="B131" s="187" t="s">
        <v>198</v>
      </c>
      <c r="C131" s="187" t="s">
        <v>198</v>
      </c>
      <c r="D131" s="209" t="s">
        <v>1323</v>
      </c>
      <c r="E131" s="181" t="s">
        <v>1743</v>
      </c>
      <c r="F131" s="181" t="s">
        <v>1744</v>
      </c>
      <c r="G131" s="196">
        <v>534</v>
      </c>
      <c r="H131" s="742">
        <v>41877</v>
      </c>
      <c r="I131" s="189">
        <v>1215</v>
      </c>
      <c r="J131" s="167">
        <v>260814</v>
      </c>
      <c r="K131" s="167">
        <v>1225</v>
      </c>
      <c r="L131" s="189">
        <v>260814</v>
      </c>
      <c r="M131" s="189">
        <v>1820</v>
      </c>
      <c r="N131" s="194" t="s">
        <v>1352</v>
      </c>
      <c r="O131" s="191"/>
      <c r="P131" s="191">
        <v>2</v>
      </c>
      <c r="Q131" s="191"/>
      <c r="R131" s="191"/>
      <c r="S131" s="197"/>
      <c r="T131" s="191"/>
      <c r="U131" s="191"/>
      <c r="V131" s="191"/>
      <c r="W131" s="191"/>
      <c r="X131" s="191"/>
      <c r="Y131" s="168">
        <f t="shared" si="4"/>
        <v>0</v>
      </c>
      <c r="Z131" s="168">
        <f t="shared" si="4"/>
        <v>2</v>
      </c>
      <c r="AA131" s="168">
        <f t="shared" si="4"/>
        <v>0</v>
      </c>
      <c r="AB131" s="168">
        <f t="shared" si="4"/>
        <v>0</v>
      </c>
      <c r="AC131" s="192"/>
      <c r="AD131" s="168">
        <f t="shared" si="3"/>
        <v>2</v>
      </c>
      <c r="AE131" s="169" t="s">
        <v>117</v>
      </c>
      <c r="AF131" s="169" t="s">
        <v>117</v>
      </c>
      <c r="AG131" s="169" t="s">
        <v>57</v>
      </c>
      <c r="AH131" s="169" t="s">
        <v>1521</v>
      </c>
      <c r="AI131" s="169" t="s">
        <v>73</v>
      </c>
      <c r="AJ131" s="179">
        <v>100000</v>
      </c>
      <c r="AK131" s="168" t="s">
        <v>60</v>
      </c>
    </row>
    <row r="132" spans="1:37" x14ac:dyDescent="0.35">
      <c r="A132" s="211">
        <v>12010114</v>
      </c>
      <c r="B132" s="212" t="s">
        <v>145</v>
      </c>
      <c r="C132" s="213" t="s">
        <v>145</v>
      </c>
      <c r="D132" s="181" t="s">
        <v>1336</v>
      </c>
      <c r="E132" s="181" t="s">
        <v>1745</v>
      </c>
      <c r="F132" s="214" t="s">
        <v>1746</v>
      </c>
      <c r="G132" s="196">
        <v>680</v>
      </c>
      <c r="H132" s="742">
        <v>41877</v>
      </c>
      <c r="I132" s="189">
        <v>1430</v>
      </c>
      <c r="J132" s="167">
        <v>260814</v>
      </c>
      <c r="K132" s="167">
        <v>1440</v>
      </c>
      <c r="L132" s="189">
        <v>260814</v>
      </c>
      <c r="M132" s="189">
        <v>1620</v>
      </c>
      <c r="N132" s="194" t="s">
        <v>277</v>
      </c>
      <c r="O132" s="191">
        <v>1</v>
      </c>
      <c r="P132" s="191"/>
      <c r="Q132" s="191">
        <v>0.5</v>
      </c>
      <c r="R132" s="191"/>
      <c r="S132" s="197"/>
      <c r="T132" s="191"/>
      <c r="U132" s="191"/>
      <c r="V132" s="191"/>
      <c r="W132" s="191"/>
      <c r="X132" s="191"/>
      <c r="Y132" s="168">
        <f t="shared" si="4"/>
        <v>1</v>
      </c>
      <c r="Z132" s="168">
        <f t="shared" si="4"/>
        <v>0</v>
      </c>
      <c r="AA132" s="168">
        <f t="shared" si="4"/>
        <v>0.5</v>
      </c>
      <c r="AB132" s="168">
        <f t="shared" si="4"/>
        <v>0</v>
      </c>
      <c r="AC132" s="192"/>
      <c r="AD132" s="168">
        <f t="shared" si="3"/>
        <v>1.5</v>
      </c>
      <c r="AE132" s="169" t="s">
        <v>117</v>
      </c>
      <c r="AF132" s="169" t="s">
        <v>117</v>
      </c>
      <c r="AG132" s="169" t="s">
        <v>103</v>
      </c>
      <c r="AH132" s="169" t="s">
        <v>1747</v>
      </c>
      <c r="AI132" s="169" t="s">
        <v>1748</v>
      </c>
      <c r="AJ132" s="179">
        <v>326400</v>
      </c>
      <c r="AK132" s="168" t="s">
        <v>60</v>
      </c>
    </row>
    <row r="133" spans="1:37" x14ac:dyDescent="0.35">
      <c r="A133" s="185">
        <v>121103514</v>
      </c>
      <c r="B133" s="215" t="s">
        <v>1391</v>
      </c>
      <c r="C133" s="215" t="s">
        <v>1391</v>
      </c>
      <c r="D133" s="216" t="s">
        <v>1631</v>
      </c>
      <c r="E133" s="181" t="s">
        <v>1749</v>
      </c>
      <c r="F133" s="181" t="s">
        <v>1750</v>
      </c>
      <c r="G133" s="196">
        <v>840</v>
      </c>
      <c r="H133" s="742">
        <v>41877</v>
      </c>
      <c r="I133" s="189">
        <v>1430</v>
      </c>
      <c r="J133" s="167">
        <v>260814</v>
      </c>
      <c r="K133" s="167">
        <v>1450</v>
      </c>
      <c r="L133" s="189">
        <v>260814</v>
      </c>
      <c r="M133" s="189">
        <v>1530</v>
      </c>
      <c r="N133" s="194" t="s">
        <v>62</v>
      </c>
      <c r="O133" s="191">
        <v>0.5</v>
      </c>
      <c r="P133" s="191"/>
      <c r="Q133" s="191"/>
      <c r="R133" s="191"/>
      <c r="S133" s="197"/>
      <c r="T133" s="191"/>
      <c r="U133" s="191"/>
      <c r="V133" s="191"/>
      <c r="W133" s="191"/>
      <c r="X133" s="191"/>
      <c r="Y133" s="168">
        <f t="shared" si="4"/>
        <v>0.5</v>
      </c>
      <c r="Z133" s="168">
        <f t="shared" si="4"/>
        <v>0</v>
      </c>
      <c r="AA133" s="168">
        <f t="shared" si="4"/>
        <v>0</v>
      </c>
      <c r="AB133" s="168">
        <f t="shared" si="4"/>
        <v>0</v>
      </c>
      <c r="AC133" s="192"/>
      <c r="AD133" s="168">
        <f t="shared" si="3"/>
        <v>0.5</v>
      </c>
      <c r="AE133" s="169" t="s">
        <v>117</v>
      </c>
      <c r="AF133" s="169" t="s">
        <v>117</v>
      </c>
      <c r="AG133" s="169" t="s">
        <v>72</v>
      </c>
      <c r="AH133" s="169" t="s">
        <v>1549</v>
      </c>
      <c r="AI133" s="169" t="s">
        <v>1503</v>
      </c>
      <c r="AJ133" s="179">
        <v>170000</v>
      </c>
      <c r="AK133" s="168" t="s">
        <v>60</v>
      </c>
    </row>
    <row r="134" spans="1:37" x14ac:dyDescent="0.35">
      <c r="A134" s="185">
        <v>122103114</v>
      </c>
      <c r="B134" s="182" t="s">
        <v>68</v>
      </c>
      <c r="C134" s="182" t="s">
        <v>157</v>
      </c>
      <c r="D134" s="209" t="s">
        <v>1436</v>
      </c>
      <c r="E134" s="181" t="s">
        <v>1751</v>
      </c>
      <c r="F134" s="181" t="s">
        <v>1752</v>
      </c>
      <c r="G134" s="196">
        <v>1130</v>
      </c>
      <c r="H134" s="742">
        <v>41877</v>
      </c>
      <c r="I134" s="189">
        <v>1515</v>
      </c>
      <c r="J134" s="167">
        <v>260814</v>
      </c>
      <c r="K134" s="167">
        <v>1525</v>
      </c>
      <c r="L134" s="189">
        <v>260814</v>
      </c>
      <c r="M134" s="189">
        <v>1640</v>
      </c>
      <c r="N134" s="194" t="s">
        <v>1352</v>
      </c>
      <c r="O134" s="191"/>
      <c r="P134" s="191">
        <v>0.3</v>
      </c>
      <c r="Q134" s="191"/>
      <c r="R134" s="191"/>
      <c r="S134" s="197"/>
      <c r="T134" s="191"/>
      <c r="U134" s="191"/>
      <c r="V134" s="191"/>
      <c r="W134" s="191"/>
      <c r="X134" s="191"/>
      <c r="Y134" s="168">
        <f t="shared" si="4"/>
        <v>0</v>
      </c>
      <c r="Z134" s="168">
        <f t="shared" si="4"/>
        <v>0.3</v>
      </c>
      <c r="AA134" s="168">
        <f t="shared" si="4"/>
        <v>0</v>
      </c>
      <c r="AB134" s="168">
        <f t="shared" si="4"/>
        <v>0</v>
      </c>
      <c r="AC134" s="192"/>
      <c r="AD134" s="168">
        <f t="shared" si="3"/>
        <v>0.3</v>
      </c>
      <c r="AE134" s="169" t="s">
        <v>117</v>
      </c>
      <c r="AF134" s="169" t="s">
        <v>117</v>
      </c>
      <c r="AG134" s="169" t="s">
        <v>72</v>
      </c>
      <c r="AH134" s="169" t="s">
        <v>1753</v>
      </c>
      <c r="AI134" s="169" t="s">
        <v>1550</v>
      </c>
      <c r="AJ134" s="179">
        <v>5000</v>
      </c>
      <c r="AK134" s="168" t="s">
        <v>60</v>
      </c>
    </row>
    <row r="135" spans="1:37" x14ac:dyDescent="0.35">
      <c r="A135" s="166">
        <v>123101214</v>
      </c>
      <c r="B135" s="182" t="s">
        <v>83</v>
      </c>
      <c r="C135" s="182" t="s">
        <v>83</v>
      </c>
      <c r="D135" s="206" t="s">
        <v>1604</v>
      </c>
      <c r="E135" s="165" t="s">
        <v>1754</v>
      </c>
      <c r="F135" s="165" t="s">
        <v>1755</v>
      </c>
      <c r="G135" s="196">
        <v>1450</v>
      </c>
      <c r="H135" s="740">
        <v>41877</v>
      </c>
      <c r="I135" s="167">
        <v>2000</v>
      </c>
      <c r="J135" s="167">
        <v>260814</v>
      </c>
      <c r="K135" s="167">
        <v>2010</v>
      </c>
      <c r="L135" s="167">
        <v>270814</v>
      </c>
      <c r="M135" s="167">
        <v>600</v>
      </c>
      <c r="N135" s="194" t="s">
        <v>1352</v>
      </c>
      <c r="O135" s="192"/>
      <c r="P135" s="192">
        <v>2</v>
      </c>
      <c r="Q135" s="192"/>
      <c r="R135" s="192"/>
      <c r="S135" s="217"/>
      <c r="T135" s="192"/>
      <c r="U135" s="192"/>
      <c r="V135" s="192"/>
      <c r="W135" s="192"/>
      <c r="X135" s="192"/>
      <c r="Y135" s="168">
        <f t="shared" si="4"/>
        <v>0</v>
      </c>
      <c r="Z135" s="168">
        <f t="shared" si="4"/>
        <v>2</v>
      </c>
      <c r="AA135" s="168">
        <f t="shared" si="4"/>
        <v>0</v>
      </c>
      <c r="AB135" s="168">
        <f t="shared" si="4"/>
        <v>0</v>
      </c>
      <c r="AC135" s="192"/>
      <c r="AD135" s="168">
        <f t="shared" si="3"/>
        <v>2</v>
      </c>
      <c r="AE135" s="169" t="s">
        <v>117</v>
      </c>
      <c r="AF135" s="169" t="s">
        <v>117</v>
      </c>
      <c r="AG135" s="169" t="s">
        <v>57</v>
      </c>
      <c r="AH135" s="169" t="s">
        <v>1756</v>
      </c>
      <c r="AI135" s="169" t="s">
        <v>1757</v>
      </c>
      <c r="AJ135" s="179">
        <v>406000</v>
      </c>
      <c r="AK135" s="168" t="s">
        <v>60</v>
      </c>
    </row>
    <row r="136" spans="1:37" x14ac:dyDescent="0.35">
      <c r="A136" s="166">
        <v>124101214</v>
      </c>
      <c r="B136" s="182" t="s">
        <v>83</v>
      </c>
      <c r="C136" s="182" t="s">
        <v>83</v>
      </c>
      <c r="D136" s="218" t="s">
        <v>1604</v>
      </c>
      <c r="E136" s="165" t="s">
        <v>1758</v>
      </c>
      <c r="F136" s="165" t="s">
        <v>1759</v>
      </c>
      <c r="G136" s="196">
        <v>1200</v>
      </c>
      <c r="H136" s="740">
        <v>41878</v>
      </c>
      <c r="I136" s="167">
        <v>1125</v>
      </c>
      <c r="J136" s="167">
        <v>270814</v>
      </c>
      <c r="K136" s="167">
        <v>1135</v>
      </c>
      <c r="L136" s="167">
        <v>270814</v>
      </c>
      <c r="M136" s="167">
        <v>1345</v>
      </c>
      <c r="N136" s="194" t="s">
        <v>1352</v>
      </c>
      <c r="O136" s="192"/>
      <c r="P136" s="192">
        <v>1</v>
      </c>
      <c r="Q136" s="192"/>
      <c r="R136" s="192"/>
      <c r="S136" s="217"/>
      <c r="T136" s="192"/>
      <c r="U136" s="192"/>
      <c r="V136" s="192"/>
      <c r="W136" s="192"/>
      <c r="X136" s="192"/>
      <c r="Y136" s="168">
        <f t="shared" si="4"/>
        <v>0</v>
      </c>
      <c r="Z136" s="168">
        <f t="shared" si="4"/>
        <v>1</v>
      </c>
      <c r="AA136" s="168">
        <f t="shared" si="4"/>
        <v>0</v>
      </c>
      <c r="AB136" s="168">
        <f t="shared" si="4"/>
        <v>0</v>
      </c>
      <c r="AC136" s="192"/>
      <c r="AD136" s="168">
        <f t="shared" si="3"/>
        <v>1</v>
      </c>
      <c r="AE136" s="169" t="s">
        <v>117</v>
      </c>
      <c r="AF136" s="169" t="s">
        <v>117</v>
      </c>
      <c r="AG136" s="169" t="s">
        <v>57</v>
      </c>
      <c r="AH136" s="169" t="s">
        <v>1747</v>
      </c>
      <c r="AI136" s="169" t="s">
        <v>73</v>
      </c>
      <c r="AJ136" s="179">
        <v>404000</v>
      </c>
      <c r="AK136" s="168" t="s">
        <v>60</v>
      </c>
    </row>
    <row r="137" spans="1:37" x14ac:dyDescent="0.35">
      <c r="A137" s="185">
        <v>125103814</v>
      </c>
      <c r="B137" s="188" t="s">
        <v>68</v>
      </c>
      <c r="C137" s="188" t="s">
        <v>68</v>
      </c>
      <c r="D137" s="218" t="s">
        <v>1760</v>
      </c>
      <c r="E137" s="181" t="s">
        <v>1761</v>
      </c>
      <c r="F137" s="181" t="s">
        <v>1762</v>
      </c>
      <c r="G137" s="196">
        <v>920</v>
      </c>
      <c r="H137" s="742">
        <v>41878</v>
      </c>
      <c r="I137" s="189">
        <v>1150</v>
      </c>
      <c r="J137" s="167">
        <v>270814</v>
      </c>
      <c r="K137" s="167">
        <v>1155</v>
      </c>
      <c r="L137" s="189">
        <v>270814</v>
      </c>
      <c r="M137" s="189">
        <v>1420</v>
      </c>
      <c r="N137" s="194" t="s">
        <v>1352</v>
      </c>
      <c r="O137" s="191"/>
      <c r="P137" s="191">
        <v>0.2</v>
      </c>
      <c r="Q137" s="191"/>
      <c r="R137" s="191"/>
      <c r="S137" s="197"/>
      <c r="T137" s="191"/>
      <c r="U137" s="191"/>
      <c r="V137" s="191"/>
      <c r="W137" s="191"/>
      <c r="X137" s="191"/>
      <c r="Y137" s="168">
        <f t="shared" si="4"/>
        <v>0</v>
      </c>
      <c r="Z137" s="168">
        <f t="shared" si="4"/>
        <v>0.2</v>
      </c>
      <c r="AA137" s="168">
        <f t="shared" si="4"/>
        <v>0</v>
      </c>
      <c r="AB137" s="168">
        <f t="shared" si="4"/>
        <v>0</v>
      </c>
      <c r="AC137" s="192"/>
      <c r="AD137" s="168">
        <f t="shared" si="3"/>
        <v>0.2</v>
      </c>
      <c r="AE137" s="169" t="s">
        <v>117</v>
      </c>
      <c r="AF137" s="169" t="s">
        <v>117</v>
      </c>
      <c r="AG137" s="169" t="s">
        <v>57</v>
      </c>
      <c r="AH137" s="169" t="s">
        <v>1763</v>
      </c>
      <c r="AI137" s="169" t="s">
        <v>1764</v>
      </c>
      <c r="AJ137" s="179">
        <v>2500</v>
      </c>
      <c r="AK137" s="168" t="s">
        <v>60</v>
      </c>
    </row>
    <row r="138" spans="1:37" x14ac:dyDescent="0.35">
      <c r="A138" s="185">
        <v>126103114</v>
      </c>
      <c r="B138" s="182" t="s">
        <v>68</v>
      </c>
      <c r="C138" s="182" t="s">
        <v>157</v>
      </c>
      <c r="D138" s="218" t="s">
        <v>1436</v>
      </c>
      <c r="E138" s="181" t="s">
        <v>1765</v>
      </c>
      <c r="F138" s="181" t="s">
        <v>1766</v>
      </c>
      <c r="G138" s="196">
        <v>1150</v>
      </c>
      <c r="H138" s="742">
        <v>41878</v>
      </c>
      <c r="I138" s="189">
        <v>1400</v>
      </c>
      <c r="J138" s="167">
        <v>270814</v>
      </c>
      <c r="K138" s="167">
        <v>1150</v>
      </c>
      <c r="L138" s="189">
        <v>270814</v>
      </c>
      <c r="M138" s="189">
        <v>1630</v>
      </c>
      <c r="N138" s="194" t="s">
        <v>1352</v>
      </c>
      <c r="O138" s="191"/>
      <c r="P138" s="191">
        <v>0.5</v>
      </c>
      <c r="Q138" s="191"/>
      <c r="R138" s="191"/>
      <c r="S138" s="197"/>
      <c r="T138" s="191"/>
      <c r="U138" s="191"/>
      <c r="V138" s="191"/>
      <c r="W138" s="191"/>
      <c r="X138" s="191"/>
      <c r="Y138" s="168">
        <f t="shared" si="4"/>
        <v>0</v>
      </c>
      <c r="Z138" s="168">
        <f t="shared" si="4"/>
        <v>0.5</v>
      </c>
      <c r="AA138" s="168">
        <f t="shared" si="4"/>
        <v>0</v>
      </c>
      <c r="AB138" s="168">
        <f t="shared" si="4"/>
        <v>0</v>
      </c>
      <c r="AC138" s="192"/>
      <c r="AD138" s="168">
        <f t="shared" si="3"/>
        <v>0.5</v>
      </c>
      <c r="AE138" s="169" t="s">
        <v>117</v>
      </c>
      <c r="AF138" s="169" t="s">
        <v>117</v>
      </c>
      <c r="AG138" s="169" t="s">
        <v>72</v>
      </c>
      <c r="AH138" s="169" t="s">
        <v>1742</v>
      </c>
      <c r="AI138" s="169" t="s">
        <v>1764</v>
      </c>
      <c r="AJ138" s="179">
        <v>5000</v>
      </c>
      <c r="AK138" s="168" t="s">
        <v>60</v>
      </c>
    </row>
    <row r="139" spans="1:37" x14ac:dyDescent="0.35">
      <c r="A139" s="185">
        <v>127</v>
      </c>
      <c r="B139" s="181" t="s">
        <v>198</v>
      </c>
      <c r="C139" s="182" t="s">
        <v>1767</v>
      </c>
      <c r="D139" s="218" t="s">
        <v>1768</v>
      </c>
      <c r="E139" s="181" t="s">
        <v>1769</v>
      </c>
      <c r="F139" s="181" t="s">
        <v>1770</v>
      </c>
      <c r="G139" s="196">
        <v>660</v>
      </c>
      <c r="H139" s="742">
        <v>41878</v>
      </c>
      <c r="I139" s="189">
        <v>1430</v>
      </c>
      <c r="J139" s="167">
        <v>270814</v>
      </c>
      <c r="K139" s="167">
        <v>1450</v>
      </c>
      <c r="L139" s="189">
        <v>270814</v>
      </c>
      <c r="M139" s="189">
        <v>2000</v>
      </c>
      <c r="N139" s="194" t="s">
        <v>62</v>
      </c>
      <c r="O139" s="191">
        <v>2</v>
      </c>
      <c r="P139" s="191"/>
      <c r="Q139" s="191"/>
      <c r="R139" s="191"/>
      <c r="S139" s="197"/>
      <c r="T139" s="191">
        <v>4</v>
      </c>
      <c r="U139" s="191"/>
      <c r="V139" s="191"/>
      <c r="W139" s="191"/>
      <c r="X139" s="191" t="s">
        <v>1771</v>
      </c>
      <c r="Y139" s="168">
        <f t="shared" si="4"/>
        <v>6</v>
      </c>
      <c r="Z139" s="168">
        <f t="shared" si="4"/>
        <v>0</v>
      </c>
      <c r="AA139" s="168">
        <f t="shared" si="4"/>
        <v>0</v>
      </c>
      <c r="AB139" s="168">
        <f t="shared" si="4"/>
        <v>0</v>
      </c>
      <c r="AC139" s="191" t="s">
        <v>1771</v>
      </c>
      <c r="AD139" s="168">
        <f t="shared" si="3"/>
        <v>6</v>
      </c>
      <c r="AE139" s="169" t="s">
        <v>117</v>
      </c>
      <c r="AF139" s="169" t="s">
        <v>117</v>
      </c>
      <c r="AG139" s="169" t="s">
        <v>57</v>
      </c>
      <c r="AH139" s="169" t="s">
        <v>1460</v>
      </c>
      <c r="AI139" s="169" t="s">
        <v>73</v>
      </c>
      <c r="AJ139" s="179">
        <v>1500000</v>
      </c>
      <c r="AK139" s="168" t="s">
        <v>60</v>
      </c>
    </row>
    <row r="140" spans="1:37" x14ac:dyDescent="0.35">
      <c r="A140" s="185">
        <v>12810514</v>
      </c>
      <c r="B140" s="188" t="s">
        <v>208</v>
      </c>
      <c r="C140" s="188" t="s">
        <v>208</v>
      </c>
      <c r="D140" s="218" t="s">
        <v>1772</v>
      </c>
      <c r="E140" s="181" t="s">
        <v>1773</v>
      </c>
      <c r="F140" s="181" t="s">
        <v>1774</v>
      </c>
      <c r="G140" s="196">
        <v>390</v>
      </c>
      <c r="H140" s="742">
        <v>41878</v>
      </c>
      <c r="I140" s="189">
        <v>1445</v>
      </c>
      <c r="J140" s="167">
        <v>270814</v>
      </c>
      <c r="K140" s="167">
        <v>1515</v>
      </c>
      <c r="L140" s="189">
        <v>270814</v>
      </c>
      <c r="M140" s="189">
        <v>1940</v>
      </c>
      <c r="N140" s="194" t="s">
        <v>1339</v>
      </c>
      <c r="O140" s="191"/>
      <c r="P140" s="191"/>
      <c r="Q140" s="191"/>
      <c r="R140" s="191"/>
      <c r="S140" s="197"/>
      <c r="T140" s="191">
        <v>1</v>
      </c>
      <c r="U140" s="191"/>
      <c r="V140" s="191">
        <v>3</v>
      </c>
      <c r="W140" s="191"/>
      <c r="X140" s="191"/>
      <c r="Y140" s="168">
        <f t="shared" si="4"/>
        <v>1</v>
      </c>
      <c r="Z140" s="168">
        <f t="shared" si="4"/>
        <v>0</v>
      </c>
      <c r="AA140" s="168">
        <f t="shared" si="4"/>
        <v>3</v>
      </c>
      <c r="AB140" s="168">
        <f t="shared" si="4"/>
        <v>0</v>
      </c>
      <c r="AC140" s="192"/>
      <c r="AD140" s="168">
        <f t="shared" si="3"/>
        <v>4</v>
      </c>
      <c r="AE140" s="169" t="s">
        <v>117</v>
      </c>
      <c r="AF140" s="169" t="s">
        <v>117</v>
      </c>
      <c r="AG140" s="169" t="s">
        <v>57</v>
      </c>
      <c r="AH140" s="169" t="s">
        <v>1460</v>
      </c>
      <c r="AI140" s="169" t="s">
        <v>73</v>
      </c>
      <c r="AJ140" s="179">
        <v>130000</v>
      </c>
      <c r="AK140" s="168" t="s">
        <v>60</v>
      </c>
    </row>
    <row r="141" spans="1:37" x14ac:dyDescent="0.35">
      <c r="A141" s="185">
        <v>12910314</v>
      </c>
      <c r="B141" s="165" t="s">
        <v>198</v>
      </c>
      <c r="C141" s="181" t="s">
        <v>1523</v>
      </c>
      <c r="D141" s="219" t="s">
        <v>1775</v>
      </c>
      <c r="E141" s="181" t="s">
        <v>1776</v>
      </c>
      <c r="F141" s="181" t="s">
        <v>1777</v>
      </c>
      <c r="G141" s="196">
        <v>938</v>
      </c>
      <c r="H141" s="742">
        <v>41879</v>
      </c>
      <c r="I141" s="189">
        <v>930</v>
      </c>
      <c r="J141" s="167">
        <v>280814</v>
      </c>
      <c r="K141" s="167">
        <v>955</v>
      </c>
      <c r="L141" s="189">
        <v>280814</v>
      </c>
      <c r="M141" s="189">
        <v>1715</v>
      </c>
      <c r="N141" s="194" t="s">
        <v>62</v>
      </c>
      <c r="O141" s="191"/>
      <c r="P141" s="191"/>
      <c r="Q141" s="191"/>
      <c r="R141" s="191"/>
      <c r="S141" s="197"/>
      <c r="T141" s="191">
        <v>2.5</v>
      </c>
      <c r="U141" s="191"/>
      <c r="V141" s="191"/>
      <c r="W141" s="191"/>
      <c r="X141" s="191"/>
      <c r="Y141" s="168">
        <f t="shared" si="4"/>
        <v>2.5</v>
      </c>
      <c r="Z141" s="168">
        <f t="shared" si="4"/>
        <v>0</v>
      </c>
      <c r="AA141" s="168">
        <f t="shared" si="4"/>
        <v>0</v>
      </c>
      <c r="AB141" s="168">
        <f t="shared" si="4"/>
        <v>0</v>
      </c>
      <c r="AC141" s="192"/>
      <c r="AD141" s="168">
        <f t="shared" si="3"/>
        <v>2.5</v>
      </c>
      <c r="AE141" s="169" t="s">
        <v>117</v>
      </c>
      <c r="AF141" s="169" t="s">
        <v>117</v>
      </c>
      <c r="AG141" s="169" t="s">
        <v>72</v>
      </c>
      <c r="AH141" s="169" t="s">
        <v>1521</v>
      </c>
      <c r="AI141" s="169" t="s">
        <v>73</v>
      </c>
      <c r="AJ141" s="179">
        <v>250000</v>
      </c>
      <c r="AK141" s="168" t="s">
        <v>60</v>
      </c>
    </row>
    <row r="142" spans="1:37" x14ac:dyDescent="0.35">
      <c r="A142" s="185">
        <v>130101214</v>
      </c>
      <c r="B142" s="182" t="s">
        <v>83</v>
      </c>
      <c r="C142" s="182" t="s">
        <v>83</v>
      </c>
      <c r="D142" s="218" t="s">
        <v>1604</v>
      </c>
      <c r="E142" s="181" t="s">
        <v>1778</v>
      </c>
      <c r="F142" s="181" t="s">
        <v>1779</v>
      </c>
      <c r="G142" s="196">
        <v>1530</v>
      </c>
      <c r="H142" s="742">
        <v>41879</v>
      </c>
      <c r="I142" s="189">
        <v>1320</v>
      </c>
      <c r="J142" s="167">
        <v>280814</v>
      </c>
      <c r="K142" s="167">
        <v>1330</v>
      </c>
      <c r="L142" s="189">
        <v>280814</v>
      </c>
      <c r="M142" s="189">
        <v>2000</v>
      </c>
      <c r="N142" s="194" t="s">
        <v>1352</v>
      </c>
      <c r="O142" s="191"/>
      <c r="P142" s="191">
        <v>0.5</v>
      </c>
      <c r="Q142" s="191"/>
      <c r="R142" s="191"/>
      <c r="S142" s="197"/>
      <c r="T142" s="191"/>
      <c r="U142" s="191"/>
      <c r="V142" s="191"/>
      <c r="W142" s="191"/>
      <c r="X142" s="191"/>
      <c r="Y142" s="168">
        <f t="shared" si="4"/>
        <v>0</v>
      </c>
      <c r="Z142" s="168">
        <f t="shared" si="4"/>
        <v>0.5</v>
      </c>
      <c r="AA142" s="168">
        <f t="shared" si="4"/>
        <v>0</v>
      </c>
      <c r="AB142" s="168">
        <f t="shared" si="4"/>
        <v>0</v>
      </c>
      <c r="AC142" s="192"/>
      <c r="AD142" s="168">
        <f t="shared" ref="AD142:AD205" si="5">Y142+Z142+AA142+AB142</f>
        <v>0.5</v>
      </c>
      <c r="AE142" s="169" t="s">
        <v>117</v>
      </c>
      <c r="AF142" s="169" t="s">
        <v>117</v>
      </c>
      <c r="AG142" s="169" t="s">
        <v>57</v>
      </c>
      <c r="AH142" s="169" t="s">
        <v>1747</v>
      </c>
      <c r="AI142" s="169" t="s">
        <v>73</v>
      </c>
      <c r="AJ142" s="179">
        <v>502000</v>
      </c>
      <c r="AK142" s="168" t="s">
        <v>60</v>
      </c>
    </row>
    <row r="143" spans="1:37" x14ac:dyDescent="0.35">
      <c r="A143" s="185">
        <v>13110514</v>
      </c>
      <c r="B143" s="188" t="s">
        <v>208</v>
      </c>
      <c r="C143" s="188" t="s">
        <v>208</v>
      </c>
      <c r="D143" s="206" t="s">
        <v>1780</v>
      </c>
      <c r="E143" s="181" t="s">
        <v>1781</v>
      </c>
      <c r="F143" s="181" t="s">
        <v>1782</v>
      </c>
      <c r="G143" s="196">
        <v>390</v>
      </c>
      <c r="H143" s="742">
        <v>41879</v>
      </c>
      <c r="I143" s="189">
        <v>1345</v>
      </c>
      <c r="J143" s="167">
        <v>280814</v>
      </c>
      <c r="K143" s="167">
        <v>1400</v>
      </c>
      <c r="L143" s="189">
        <v>280814</v>
      </c>
      <c r="M143" s="189">
        <v>1610</v>
      </c>
      <c r="N143" s="194" t="s">
        <v>62</v>
      </c>
      <c r="O143" s="191"/>
      <c r="P143" s="191"/>
      <c r="Q143" s="191"/>
      <c r="R143" s="191"/>
      <c r="S143" s="197"/>
      <c r="T143" s="191">
        <v>0.5</v>
      </c>
      <c r="U143" s="191"/>
      <c r="V143" s="191"/>
      <c r="W143" s="191"/>
      <c r="X143" s="191"/>
      <c r="Y143" s="168">
        <f t="shared" si="4"/>
        <v>0.5</v>
      </c>
      <c r="Z143" s="168">
        <f t="shared" si="4"/>
        <v>0</v>
      </c>
      <c r="AA143" s="168">
        <f t="shared" si="4"/>
        <v>0</v>
      </c>
      <c r="AB143" s="168">
        <f t="shared" si="4"/>
        <v>0</v>
      </c>
      <c r="AC143" s="192"/>
      <c r="AD143" s="168">
        <f t="shared" si="5"/>
        <v>0.5</v>
      </c>
      <c r="AE143" s="169" t="s">
        <v>117</v>
      </c>
      <c r="AF143" s="169" t="s">
        <v>117</v>
      </c>
      <c r="AG143" s="169" t="s">
        <v>72</v>
      </c>
      <c r="AH143" s="169" t="s">
        <v>1460</v>
      </c>
      <c r="AI143" s="169" t="s">
        <v>73</v>
      </c>
      <c r="AJ143" s="179">
        <v>50000</v>
      </c>
      <c r="AK143" s="168" t="s">
        <v>60</v>
      </c>
    </row>
    <row r="144" spans="1:37" x14ac:dyDescent="0.35">
      <c r="A144" s="185">
        <v>13210214</v>
      </c>
      <c r="B144" s="220" t="s">
        <v>49</v>
      </c>
      <c r="C144" s="221" t="s">
        <v>1783</v>
      </c>
      <c r="D144" s="222" t="s">
        <v>1604</v>
      </c>
      <c r="E144" s="181" t="s">
        <v>1784</v>
      </c>
      <c r="F144" s="181" t="s">
        <v>1785</v>
      </c>
      <c r="G144" s="196">
        <v>905</v>
      </c>
      <c r="H144" s="742">
        <v>41879</v>
      </c>
      <c r="I144" s="189">
        <v>1430</v>
      </c>
      <c r="J144" s="167">
        <v>280814</v>
      </c>
      <c r="K144" s="167">
        <v>1440</v>
      </c>
      <c r="L144" s="189">
        <v>280814</v>
      </c>
      <c r="M144" s="189">
        <v>1830</v>
      </c>
      <c r="N144" s="194" t="s">
        <v>62</v>
      </c>
      <c r="O144" s="191">
        <v>1</v>
      </c>
      <c r="P144" s="191"/>
      <c r="Q144" s="191">
        <v>1</v>
      </c>
      <c r="R144" s="191"/>
      <c r="S144" s="197"/>
      <c r="T144" s="191"/>
      <c r="U144" s="191"/>
      <c r="V144" s="191"/>
      <c r="W144" s="191"/>
      <c r="X144" s="191"/>
      <c r="Y144" s="168">
        <f t="shared" si="4"/>
        <v>1</v>
      </c>
      <c r="Z144" s="168">
        <f t="shared" si="4"/>
        <v>0</v>
      </c>
      <c r="AA144" s="168">
        <f t="shared" si="4"/>
        <v>1</v>
      </c>
      <c r="AB144" s="168">
        <f t="shared" si="4"/>
        <v>0</v>
      </c>
      <c r="AC144" s="192"/>
      <c r="AD144" s="168">
        <f t="shared" si="5"/>
        <v>2</v>
      </c>
      <c r="AE144" s="169" t="s">
        <v>117</v>
      </c>
      <c r="AF144" s="169" t="s">
        <v>117</v>
      </c>
      <c r="AG144" s="169" t="s">
        <v>57</v>
      </c>
      <c r="AH144" s="169" t="s">
        <v>1747</v>
      </c>
      <c r="AI144" s="169" t="s">
        <v>73</v>
      </c>
      <c r="AJ144" s="179">
        <v>403900</v>
      </c>
      <c r="AK144" s="168" t="s">
        <v>60</v>
      </c>
    </row>
    <row r="145" spans="1:37" x14ac:dyDescent="0.35">
      <c r="A145" s="211">
        <v>13310114</v>
      </c>
      <c r="B145" s="223" t="s">
        <v>145</v>
      </c>
      <c r="C145" s="224" t="s">
        <v>145</v>
      </c>
      <c r="D145" s="225" t="s">
        <v>1336</v>
      </c>
      <c r="E145" s="181" t="s">
        <v>1786</v>
      </c>
      <c r="F145" s="214" t="s">
        <v>1787</v>
      </c>
      <c r="G145" s="196">
        <v>680</v>
      </c>
      <c r="H145" s="742">
        <v>41879</v>
      </c>
      <c r="I145" s="189">
        <v>1550</v>
      </c>
      <c r="J145" s="167">
        <v>280814</v>
      </c>
      <c r="K145" s="167">
        <v>1600</v>
      </c>
      <c r="L145" s="189">
        <v>280814</v>
      </c>
      <c r="M145" s="189">
        <v>1940</v>
      </c>
      <c r="N145" s="194" t="s">
        <v>1517</v>
      </c>
      <c r="O145" s="191">
        <v>2</v>
      </c>
      <c r="P145" s="191">
        <v>3</v>
      </c>
      <c r="Q145" s="191">
        <v>3</v>
      </c>
      <c r="R145" s="191"/>
      <c r="S145" s="197"/>
      <c r="T145" s="191"/>
      <c r="U145" s="191"/>
      <c r="V145" s="191"/>
      <c r="W145" s="191"/>
      <c r="X145" s="191"/>
      <c r="Y145" s="168">
        <f t="shared" si="4"/>
        <v>2</v>
      </c>
      <c r="Z145" s="168">
        <f t="shared" si="4"/>
        <v>3</v>
      </c>
      <c r="AA145" s="168">
        <f t="shared" si="4"/>
        <v>3</v>
      </c>
      <c r="AB145" s="168">
        <f t="shared" si="4"/>
        <v>0</v>
      </c>
      <c r="AC145" s="192"/>
      <c r="AD145" s="168">
        <f t="shared" si="5"/>
        <v>8</v>
      </c>
      <c r="AE145" s="169" t="s">
        <v>117</v>
      </c>
      <c r="AF145" s="169" t="s">
        <v>117</v>
      </c>
      <c r="AG145" s="169" t="s">
        <v>57</v>
      </c>
      <c r="AH145" s="169" t="s">
        <v>1788</v>
      </c>
      <c r="AI145" s="169" t="s">
        <v>1789</v>
      </c>
      <c r="AJ145" s="179">
        <v>1628700</v>
      </c>
      <c r="AK145" s="168" t="s">
        <v>60</v>
      </c>
    </row>
    <row r="146" spans="1:37" x14ac:dyDescent="0.35">
      <c r="A146" s="185">
        <v>134103514</v>
      </c>
      <c r="B146" s="215" t="s">
        <v>1391</v>
      </c>
      <c r="C146" s="215" t="s">
        <v>1391</v>
      </c>
      <c r="D146" s="226" t="s">
        <v>1631</v>
      </c>
      <c r="E146" s="181" t="s">
        <v>1790</v>
      </c>
      <c r="F146" s="181" t="s">
        <v>1791</v>
      </c>
      <c r="G146" s="196">
        <v>915</v>
      </c>
      <c r="H146" s="742">
        <v>41879</v>
      </c>
      <c r="I146" s="189">
        <v>1630</v>
      </c>
      <c r="J146" s="167">
        <v>280814</v>
      </c>
      <c r="K146" s="167">
        <v>1650</v>
      </c>
      <c r="L146" s="189">
        <v>280814</v>
      </c>
      <c r="M146" s="189">
        <v>1750</v>
      </c>
      <c r="N146" s="194" t="s">
        <v>1352</v>
      </c>
      <c r="O146" s="191"/>
      <c r="P146" s="191">
        <v>1</v>
      </c>
      <c r="Q146" s="191"/>
      <c r="R146" s="191"/>
      <c r="S146" s="197"/>
      <c r="T146" s="191"/>
      <c r="U146" s="191"/>
      <c r="V146" s="191"/>
      <c r="W146" s="191"/>
      <c r="X146" s="191"/>
      <c r="Y146" s="168">
        <f t="shared" si="4"/>
        <v>0</v>
      </c>
      <c r="Z146" s="168">
        <f t="shared" si="4"/>
        <v>1</v>
      </c>
      <c r="AA146" s="168">
        <f t="shared" si="4"/>
        <v>0</v>
      </c>
      <c r="AB146" s="168">
        <f t="shared" si="4"/>
        <v>0</v>
      </c>
      <c r="AC146" s="192"/>
      <c r="AD146" s="168">
        <f t="shared" si="5"/>
        <v>1</v>
      </c>
      <c r="AE146" s="169" t="s">
        <v>117</v>
      </c>
      <c r="AF146" s="169" t="s">
        <v>117</v>
      </c>
      <c r="AG146" s="169" t="s">
        <v>72</v>
      </c>
      <c r="AH146" s="169" t="s">
        <v>1549</v>
      </c>
      <c r="AI146" s="169" t="s">
        <v>1671</v>
      </c>
      <c r="AJ146" s="179">
        <v>200000</v>
      </c>
      <c r="AK146" s="168" t="s">
        <v>60</v>
      </c>
    </row>
    <row r="147" spans="1:37" x14ac:dyDescent="0.35">
      <c r="A147" s="185">
        <v>135101614</v>
      </c>
      <c r="B147" s="188" t="s">
        <v>208</v>
      </c>
      <c r="C147" s="188" t="s">
        <v>1513</v>
      </c>
      <c r="D147" s="206" t="s">
        <v>1792</v>
      </c>
      <c r="E147" s="181" t="s">
        <v>1793</v>
      </c>
      <c r="F147" s="181" t="s">
        <v>1794</v>
      </c>
      <c r="G147" s="196">
        <v>440</v>
      </c>
      <c r="H147" s="742">
        <v>41879</v>
      </c>
      <c r="I147" s="189">
        <v>1645</v>
      </c>
      <c r="J147" s="167">
        <v>280814</v>
      </c>
      <c r="K147" s="167">
        <v>1655</v>
      </c>
      <c r="L147" s="189">
        <v>280814</v>
      </c>
      <c r="M147" s="189">
        <v>1935</v>
      </c>
      <c r="N147" s="194" t="s">
        <v>1352</v>
      </c>
      <c r="O147" s="191"/>
      <c r="P147" s="191">
        <v>2</v>
      </c>
      <c r="Q147" s="191"/>
      <c r="R147" s="191"/>
      <c r="S147" s="197"/>
      <c r="T147" s="191"/>
      <c r="U147" s="191"/>
      <c r="V147" s="191"/>
      <c r="W147" s="191"/>
      <c r="X147" s="191"/>
      <c r="Y147" s="168">
        <f t="shared" si="4"/>
        <v>0</v>
      </c>
      <c r="Z147" s="168">
        <f t="shared" si="4"/>
        <v>2</v>
      </c>
      <c r="AA147" s="168">
        <f t="shared" si="4"/>
        <v>0</v>
      </c>
      <c r="AB147" s="168">
        <f t="shared" si="4"/>
        <v>0</v>
      </c>
      <c r="AC147" s="192"/>
      <c r="AD147" s="168">
        <f t="shared" si="5"/>
        <v>2</v>
      </c>
      <c r="AE147" s="169" t="s">
        <v>117</v>
      </c>
      <c r="AF147" s="169" t="s">
        <v>117</v>
      </c>
      <c r="AG147" s="169" t="s">
        <v>72</v>
      </c>
      <c r="AH147" s="169" t="s">
        <v>1417</v>
      </c>
      <c r="AI147" s="169" t="s">
        <v>73</v>
      </c>
      <c r="AJ147" s="179">
        <v>100000</v>
      </c>
      <c r="AK147" s="168" t="s">
        <v>60</v>
      </c>
    </row>
    <row r="148" spans="1:37" x14ac:dyDescent="0.35">
      <c r="A148" s="185">
        <v>136103014</v>
      </c>
      <c r="B148" s="188" t="s">
        <v>78</v>
      </c>
      <c r="C148" s="188" t="s">
        <v>107</v>
      </c>
      <c r="D148" s="182" t="s">
        <v>1795</v>
      </c>
      <c r="E148" s="181" t="s">
        <v>1796</v>
      </c>
      <c r="F148" s="165" t="s">
        <v>1797</v>
      </c>
      <c r="G148" s="196">
        <v>946</v>
      </c>
      <c r="H148" s="742">
        <v>41879</v>
      </c>
      <c r="I148" s="189">
        <v>1630</v>
      </c>
      <c r="J148" s="167">
        <v>280814</v>
      </c>
      <c r="K148" s="167">
        <v>1640</v>
      </c>
      <c r="L148" s="189">
        <v>280814</v>
      </c>
      <c r="M148" s="189">
        <v>2100</v>
      </c>
      <c r="N148" s="194" t="s">
        <v>1352</v>
      </c>
      <c r="O148" s="191"/>
      <c r="P148" s="191"/>
      <c r="Q148" s="191"/>
      <c r="R148" s="191"/>
      <c r="S148" s="197"/>
      <c r="T148" s="191"/>
      <c r="U148" s="191">
        <v>2</v>
      </c>
      <c r="V148" s="191"/>
      <c r="W148" s="191"/>
      <c r="X148" s="191" t="s">
        <v>1798</v>
      </c>
      <c r="Y148" s="168">
        <f t="shared" si="4"/>
        <v>0</v>
      </c>
      <c r="Z148" s="168">
        <f t="shared" si="4"/>
        <v>2</v>
      </c>
      <c r="AA148" s="168">
        <f t="shared" si="4"/>
        <v>0</v>
      </c>
      <c r="AB148" s="168">
        <f t="shared" si="4"/>
        <v>0</v>
      </c>
      <c r="AC148" s="191" t="s">
        <v>1798</v>
      </c>
      <c r="AD148" s="168">
        <f t="shared" si="5"/>
        <v>2</v>
      </c>
      <c r="AE148" s="169" t="s">
        <v>66</v>
      </c>
      <c r="AF148" s="169" t="s">
        <v>117</v>
      </c>
      <c r="AG148" s="169" t="s">
        <v>493</v>
      </c>
      <c r="AH148" s="169" t="s">
        <v>1799</v>
      </c>
      <c r="AI148" s="169" t="s">
        <v>1800</v>
      </c>
      <c r="AJ148" s="179">
        <v>23400</v>
      </c>
      <c r="AK148" s="168" t="s">
        <v>60</v>
      </c>
    </row>
    <row r="149" spans="1:37" x14ac:dyDescent="0.35">
      <c r="A149" s="185">
        <v>137103514</v>
      </c>
      <c r="B149" s="188" t="s">
        <v>1391</v>
      </c>
      <c r="C149" s="188" t="s">
        <v>1391</v>
      </c>
      <c r="D149" s="182" t="s">
        <v>1631</v>
      </c>
      <c r="E149" s="181" t="s">
        <v>1801</v>
      </c>
      <c r="F149" s="181" t="s">
        <v>1802</v>
      </c>
      <c r="G149" s="196">
        <v>915</v>
      </c>
      <c r="H149" s="742">
        <v>41879</v>
      </c>
      <c r="I149" s="189">
        <v>1830</v>
      </c>
      <c r="J149" s="167">
        <v>280814</v>
      </c>
      <c r="K149" s="167">
        <v>1850</v>
      </c>
      <c r="L149" s="189">
        <v>280814</v>
      </c>
      <c r="M149" s="189">
        <v>1945</v>
      </c>
      <c r="N149" s="194" t="s">
        <v>62</v>
      </c>
      <c r="O149" s="191">
        <v>0.5</v>
      </c>
      <c r="P149" s="191"/>
      <c r="Q149" s="191"/>
      <c r="R149" s="191"/>
      <c r="S149" s="197"/>
      <c r="T149" s="191"/>
      <c r="U149" s="191"/>
      <c r="V149" s="191"/>
      <c r="W149" s="191"/>
      <c r="X149" s="191"/>
      <c r="Y149" s="168">
        <f t="shared" si="4"/>
        <v>0.5</v>
      </c>
      <c r="Z149" s="168">
        <f t="shared" si="4"/>
        <v>0</v>
      </c>
      <c r="AA149" s="168">
        <f t="shared" si="4"/>
        <v>0</v>
      </c>
      <c r="AB149" s="168">
        <f t="shared" si="4"/>
        <v>0</v>
      </c>
      <c r="AC149" s="192"/>
      <c r="AD149" s="168">
        <f t="shared" si="5"/>
        <v>0.5</v>
      </c>
      <c r="AE149" s="169" t="s">
        <v>117</v>
      </c>
      <c r="AF149" s="169" t="s">
        <v>117</v>
      </c>
      <c r="AG149" s="169" t="s">
        <v>72</v>
      </c>
      <c r="AH149" s="169" t="s">
        <v>1803</v>
      </c>
      <c r="AI149" s="169" t="s">
        <v>1804</v>
      </c>
      <c r="AJ149" s="179">
        <v>160000</v>
      </c>
      <c r="AK149" s="168" t="s">
        <v>60</v>
      </c>
    </row>
    <row r="150" spans="1:37" x14ac:dyDescent="0.35">
      <c r="A150" s="185">
        <v>138101614</v>
      </c>
      <c r="B150" s="188" t="s">
        <v>208</v>
      </c>
      <c r="C150" s="188" t="s">
        <v>1513</v>
      </c>
      <c r="D150" s="182" t="s">
        <v>1542</v>
      </c>
      <c r="E150" s="181" t="s">
        <v>1805</v>
      </c>
      <c r="F150" s="181" t="s">
        <v>1806</v>
      </c>
      <c r="G150" s="196">
        <v>590</v>
      </c>
      <c r="H150" s="742">
        <v>41880</v>
      </c>
      <c r="I150" s="189">
        <v>1345</v>
      </c>
      <c r="J150" s="167">
        <v>290814</v>
      </c>
      <c r="K150" s="167">
        <v>1400</v>
      </c>
      <c r="L150" s="189">
        <v>290814</v>
      </c>
      <c r="M150" s="189">
        <v>1440</v>
      </c>
      <c r="N150" s="194" t="s">
        <v>526</v>
      </c>
      <c r="O150" s="191">
        <v>0.5</v>
      </c>
      <c r="P150" s="191"/>
      <c r="Q150" s="191"/>
      <c r="R150" s="191"/>
      <c r="S150" s="197"/>
      <c r="T150" s="191"/>
      <c r="U150" s="191"/>
      <c r="V150" s="191"/>
      <c r="W150" s="191"/>
      <c r="X150" s="191"/>
      <c r="Y150" s="168">
        <f t="shared" si="4"/>
        <v>0.5</v>
      </c>
      <c r="Z150" s="168">
        <f t="shared" si="4"/>
        <v>0</v>
      </c>
      <c r="AA150" s="168">
        <f t="shared" si="4"/>
        <v>0</v>
      </c>
      <c r="AB150" s="168">
        <f t="shared" si="4"/>
        <v>0</v>
      </c>
      <c r="AC150" s="192"/>
      <c r="AD150" s="168">
        <f t="shared" si="5"/>
        <v>0.5</v>
      </c>
      <c r="AE150" s="169" t="s">
        <v>117</v>
      </c>
      <c r="AF150" s="169" t="s">
        <v>117</v>
      </c>
      <c r="AG150" s="169" t="s">
        <v>57</v>
      </c>
      <c r="AH150" s="169" t="s">
        <v>1603</v>
      </c>
      <c r="AI150" s="169" t="s">
        <v>73</v>
      </c>
      <c r="AJ150" s="179">
        <v>50000</v>
      </c>
      <c r="AK150" s="168" t="s">
        <v>60</v>
      </c>
    </row>
    <row r="151" spans="1:37" x14ac:dyDescent="0.35">
      <c r="A151" s="185">
        <v>139101214</v>
      </c>
      <c r="B151" s="182" t="s">
        <v>83</v>
      </c>
      <c r="C151" s="182" t="s">
        <v>83</v>
      </c>
      <c r="D151" s="218" t="s">
        <v>1604</v>
      </c>
      <c r="E151" s="181" t="s">
        <v>1807</v>
      </c>
      <c r="F151" s="181" t="s">
        <v>1808</v>
      </c>
      <c r="G151" s="196">
        <v>700</v>
      </c>
      <c r="H151" s="742">
        <v>41880</v>
      </c>
      <c r="I151" s="189">
        <v>1350</v>
      </c>
      <c r="J151" s="167">
        <v>290814</v>
      </c>
      <c r="K151" s="167">
        <v>1355</v>
      </c>
      <c r="L151" s="189">
        <v>290814</v>
      </c>
      <c r="M151" s="189">
        <v>1430</v>
      </c>
      <c r="N151" s="194" t="s">
        <v>1352</v>
      </c>
      <c r="O151" s="191"/>
      <c r="P151" s="191">
        <v>0.04</v>
      </c>
      <c r="Q151" s="191"/>
      <c r="R151" s="191"/>
      <c r="S151" s="197"/>
      <c r="T151" s="191"/>
      <c r="U151" s="191"/>
      <c r="V151" s="191"/>
      <c r="W151" s="191"/>
      <c r="X151" s="191"/>
      <c r="Y151" s="168">
        <f t="shared" si="4"/>
        <v>0</v>
      </c>
      <c r="Z151" s="168">
        <f t="shared" si="4"/>
        <v>0.04</v>
      </c>
      <c r="AA151" s="168">
        <f t="shared" si="4"/>
        <v>0</v>
      </c>
      <c r="AB151" s="168">
        <f t="shared" si="4"/>
        <v>0</v>
      </c>
      <c r="AC151" s="192"/>
      <c r="AD151" s="168">
        <f t="shared" si="5"/>
        <v>0.04</v>
      </c>
      <c r="AE151" s="169" t="s">
        <v>117</v>
      </c>
      <c r="AF151" s="169" t="s">
        <v>117</v>
      </c>
      <c r="AG151" s="169" t="s">
        <v>57</v>
      </c>
      <c r="AH151" s="169" t="s">
        <v>1756</v>
      </c>
      <c r="AI151" s="169" t="s">
        <v>1503</v>
      </c>
      <c r="AJ151" s="179">
        <v>4000</v>
      </c>
      <c r="AK151" s="168" t="s">
        <v>60</v>
      </c>
    </row>
    <row r="152" spans="1:37" x14ac:dyDescent="0.35">
      <c r="A152" s="185">
        <v>140101214</v>
      </c>
      <c r="B152" s="221" t="s">
        <v>83</v>
      </c>
      <c r="C152" s="182" t="s">
        <v>83</v>
      </c>
      <c r="D152" s="218" t="s">
        <v>1604</v>
      </c>
      <c r="E152" s="181" t="s">
        <v>1809</v>
      </c>
      <c r="F152" s="181" t="s">
        <v>1810</v>
      </c>
      <c r="G152" s="196">
        <v>890</v>
      </c>
      <c r="H152" s="742">
        <v>41880</v>
      </c>
      <c r="I152" s="189">
        <v>1445</v>
      </c>
      <c r="J152" s="167">
        <v>290814</v>
      </c>
      <c r="K152" s="167">
        <v>1450</v>
      </c>
      <c r="L152" s="189">
        <v>290814</v>
      </c>
      <c r="M152" s="189">
        <v>1800</v>
      </c>
      <c r="N152" s="194" t="s">
        <v>1352</v>
      </c>
      <c r="O152" s="191"/>
      <c r="P152" s="191">
        <v>3</v>
      </c>
      <c r="Q152" s="191"/>
      <c r="R152" s="191"/>
      <c r="S152" s="197"/>
      <c r="T152" s="191"/>
      <c r="U152" s="191"/>
      <c r="V152" s="191"/>
      <c r="W152" s="191"/>
      <c r="X152" s="191"/>
      <c r="Y152" s="168">
        <f t="shared" si="4"/>
        <v>0</v>
      </c>
      <c r="Z152" s="168">
        <f t="shared" si="4"/>
        <v>3</v>
      </c>
      <c r="AA152" s="168">
        <f t="shared" si="4"/>
        <v>0</v>
      </c>
      <c r="AB152" s="168">
        <f t="shared" si="4"/>
        <v>0</v>
      </c>
      <c r="AC152" s="192"/>
      <c r="AD152" s="168">
        <f t="shared" si="5"/>
        <v>3</v>
      </c>
      <c r="AE152" s="169" t="s">
        <v>117</v>
      </c>
      <c r="AF152" s="169" t="s">
        <v>117</v>
      </c>
      <c r="AG152" s="169" t="s">
        <v>57</v>
      </c>
      <c r="AH152" s="169" t="s">
        <v>1747</v>
      </c>
      <c r="AI152" s="169" t="s">
        <v>1503</v>
      </c>
      <c r="AJ152" s="179">
        <v>612000</v>
      </c>
      <c r="AK152" s="168" t="s">
        <v>60</v>
      </c>
    </row>
    <row r="153" spans="1:37" x14ac:dyDescent="0.35">
      <c r="A153" s="211">
        <v>141101414</v>
      </c>
      <c r="B153" s="165" t="s">
        <v>198</v>
      </c>
      <c r="C153" s="227" t="s">
        <v>1691</v>
      </c>
      <c r="D153" s="218" t="s">
        <v>1811</v>
      </c>
      <c r="E153" s="181" t="s">
        <v>1812</v>
      </c>
      <c r="F153" s="181" t="s">
        <v>1813</v>
      </c>
      <c r="G153" s="196">
        <v>264</v>
      </c>
      <c r="H153" s="742">
        <v>41880</v>
      </c>
      <c r="I153" s="189">
        <v>1545</v>
      </c>
      <c r="J153" s="167">
        <v>290814</v>
      </c>
      <c r="K153" s="167">
        <v>1545</v>
      </c>
      <c r="L153" s="189">
        <v>290814</v>
      </c>
      <c r="M153" s="189">
        <v>1900</v>
      </c>
      <c r="N153" s="194" t="s">
        <v>62</v>
      </c>
      <c r="O153" s="191"/>
      <c r="P153" s="191"/>
      <c r="Q153" s="191"/>
      <c r="R153" s="191"/>
      <c r="S153" s="197"/>
      <c r="T153" s="191">
        <v>3</v>
      </c>
      <c r="U153" s="191"/>
      <c r="V153" s="191"/>
      <c r="W153" s="191"/>
      <c r="X153" s="191" t="s">
        <v>1814</v>
      </c>
      <c r="Y153" s="168">
        <f t="shared" si="4"/>
        <v>3</v>
      </c>
      <c r="Z153" s="168">
        <f t="shared" si="4"/>
        <v>0</v>
      </c>
      <c r="AA153" s="168">
        <f t="shared" si="4"/>
        <v>0</v>
      </c>
      <c r="AB153" s="168">
        <f t="shared" si="4"/>
        <v>0</v>
      </c>
      <c r="AC153" s="191" t="s">
        <v>1814</v>
      </c>
      <c r="AD153" s="168">
        <f t="shared" si="5"/>
        <v>3</v>
      </c>
      <c r="AE153" s="169" t="s">
        <v>117</v>
      </c>
      <c r="AF153" s="169" t="s">
        <v>117</v>
      </c>
      <c r="AG153" s="169" t="s">
        <v>493</v>
      </c>
      <c r="AH153" s="169" t="s">
        <v>1521</v>
      </c>
      <c r="AI153" s="169" t="s">
        <v>73</v>
      </c>
      <c r="AJ153" s="179">
        <v>300000</v>
      </c>
      <c r="AK153" s="168" t="s">
        <v>60</v>
      </c>
    </row>
    <row r="154" spans="1:37" x14ac:dyDescent="0.35">
      <c r="A154" s="185">
        <v>142103514</v>
      </c>
      <c r="B154" s="228" t="s">
        <v>1391</v>
      </c>
      <c r="C154" s="204" t="s">
        <v>1391</v>
      </c>
      <c r="D154" s="221" t="s">
        <v>1631</v>
      </c>
      <c r="E154" s="181" t="s">
        <v>1790</v>
      </c>
      <c r="F154" s="181" t="s">
        <v>1791</v>
      </c>
      <c r="G154" s="196">
        <v>915</v>
      </c>
      <c r="H154" s="742">
        <v>41880</v>
      </c>
      <c r="I154" s="189">
        <v>1545</v>
      </c>
      <c r="J154" s="167"/>
      <c r="K154" s="167"/>
      <c r="L154" s="189">
        <v>290814</v>
      </c>
      <c r="M154" s="189">
        <v>1820</v>
      </c>
      <c r="N154" s="194" t="s">
        <v>1339</v>
      </c>
      <c r="O154" s="191"/>
      <c r="P154" s="191"/>
      <c r="Q154" s="191">
        <v>1.5</v>
      </c>
      <c r="R154" s="191"/>
      <c r="S154" s="197"/>
      <c r="T154" s="191"/>
      <c r="U154" s="191"/>
      <c r="V154" s="191"/>
      <c r="W154" s="191"/>
      <c r="X154" s="191"/>
      <c r="Y154" s="168">
        <f t="shared" si="4"/>
        <v>0</v>
      </c>
      <c r="Z154" s="168">
        <f t="shared" si="4"/>
        <v>0</v>
      </c>
      <c r="AA154" s="168">
        <f t="shared" si="4"/>
        <v>1.5</v>
      </c>
      <c r="AB154" s="168">
        <f t="shared" si="4"/>
        <v>0</v>
      </c>
      <c r="AC154" s="192"/>
      <c r="AD154" s="168">
        <f t="shared" si="5"/>
        <v>1.5</v>
      </c>
      <c r="AE154" s="169" t="s">
        <v>117</v>
      </c>
      <c r="AF154" s="169" t="s">
        <v>117</v>
      </c>
      <c r="AG154" s="169" t="s">
        <v>72</v>
      </c>
      <c r="AH154" s="169" t="s">
        <v>1803</v>
      </c>
      <c r="AI154" s="169" t="s">
        <v>175</v>
      </c>
      <c r="AJ154" s="179">
        <v>200000</v>
      </c>
      <c r="AK154" s="168" t="s">
        <v>60</v>
      </c>
    </row>
    <row r="155" spans="1:37" x14ac:dyDescent="0.35">
      <c r="A155" s="185">
        <v>14310514</v>
      </c>
      <c r="B155" s="188" t="s">
        <v>208</v>
      </c>
      <c r="C155" s="188" t="s">
        <v>208</v>
      </c>
      <c r="D155" s="218" t="s">
        <v>1815</v>
      </c>
      <c r="E155" s="181" t="s">
        <v>1816</v>
      </c>
      <c r="F155" s="181" t="s">
        <v>1817</v>
      </c>
      <c r="G155" s="166">
        <v>500</v>
      </c>
      <c r="H155" s="742">
        <v>41880</v>
      </c>
      <c r="I155" s="189">
        <v>1600</v>
      </c>
      <c r="J155" s="167">
        <v>290814</v>
      </c>
      <c r="K155" s="167">
        <v>1620</v>
      </c>
      <c r="L155" s="189">
        <v>290814</v>
      </c>
      <c r="M155" s="189">
        <v>1820</v>
      </c>
      <c r="N155" s="194" t="s">
        <v>62</v>
      </c>
      <c r="O155" s="191"/>
      <c r="P155" s="191"/>
      <c r="Q155" s="191"/>
      <c r="R155" s="191"/>
      <c r="S155" s="197"/>
      <c r="T155" s="191">
        <v>1</v>
      </c>
      <c r="U155" s="191"/>
      <c r="V155" s="191"/>
      <c r="W155" s="191"/>
      <c r="X155" s="191" t="s">
        <v>1818</v>
      </c>
      <c r="Y155" s="168">
        <f t="shared" si="4"/>
        <v>1</v>
      </c>
      <c r="Z155" s="168">
        <f t="shared" si="4"/>
        <v>0</v>
      </c>
      <c r="AA155" s="168">
        <f t="shared" si="4"/>
        <v>0</v>
      </c>
      <c r="AB155" s="168">
        <f t="shared" si="4"/>
        <v>0</v>
      </c>
      <c r="AC155" s="191" t="s">
        <v>1818</v>
      </c>
      <c r="AD155" s="168">
        <f t="shared" si="5"/>
        <v>1</v>
      </c>
      <c r="AE155" s="169" t="s">
        <v>117</v>
      </c>
      <c r="AF155" s="169" t="s">
        <v>117</v>
      </c>
      <c r="AG155" s="169" t="s">
        <v>57</v>
      </c>
      <c r="AH155" s="169" t="s">
        <v>1521</v>
      </c>
      <c r="AI155" s="169" t="s">
        <v>1819</v>
      </c>
      <c r="AJ155" s="179">
        <v>100000</v>
      </c>
      <c r="AK155" s="168" t="s">
        <v>60</v>
      </c>
    </row>
    <row r="156" spans="1:37" x14ac:dyDescent="0.35">
      <c r="A156" s="185">
        <v>14410114</v>
      </c>
      <c r="B156" s="188" t="s">
        <v>145</v>
      </c>
      <c r="C156" s="188" t="s">
        <v>145</v>
      </c>
      <c r="D156" s="188" t="s">
        <v>1336</v>
      </c>
      <c r="E156" s="181" t="s">
        <v>1820</v>
      </c>
      <c r="F156" s="181" t="s">
        <v>1821</v>
      </c>
      <c r="G156" s="166">
        <v>570</v>
      </c>
      <c r="H156" s="742">
        <v>41880</v>
      </c>
      <c r="I156" s="189">
        <v>1655</v>
      </c>
      <c r="J156" s="167">
        <v>290814</v>
      </c>
      <c r="K156" s="167">
        <v>1700</v>
      </c>
      <c r="L156" s="189">
        <v>290814</v>
      </c>
      <c r="M156" s="189">
        <v>1850</v>
      </c>
      <c r="N156" s="194" t="s">
        <v>277</v>
      </c>
      <c r="O156" s="191">
        <v>0.5</v>
      </c>
      <c r="P156" s="191"/>
      <c r="Q156" s="191">
        <v>0.5</v>
      </c>
      <c r="R156" s="191"/>
      <c r="S156" s="197"/>
      <c r="T156" s="191"/>
      <c r="U156" s="191"/>
      <c r="V156" s="191"/>
      <c r="W156" s="191"/>
      <c r="X156" s="191"/>
      <c r="Y156" s="168">
        <f t="shared" si="4"/>
        <v>0.5</v>
      </c>
      <c r="Z156" s="168">
        <f t="shared" si="4"/>
        <v>0</v>
      </c>
      <c r="AA156" s="168">
        <f t="shared" si="4"/>
        <v>0.5</v>
      </c>
      <c r="AB156" s="168">
        <f t="shared" si="4"/>
        <v>0</v>
      </c>
      <c r="AC156" s="192"/>
      <c r="AD156" s="168">
        <f t="shared" si="5"/>
        <v>1</v>
      </c>
      <c r="AE156" s="169" t="s">
        <v>117</v>
      </c>
      <c r="AF156" s="169" t="s">
        <v>117</v>
      </c>
      <c r="AG156" s="169" t="s">
        <v>57</v>
      </c>
      <c r="AH156" s="169" t="s">
        <v>1747</v>
      </c>
      <c r="AI156" s="169" t="s">
        <v>1503</v>
      </c>
      <c r="AJ156" s="179">
        <v>214000</v>
      </c>
      <c r="AK156" s="168" t="s">
        <v>60</v>
      </c>
    </row>
    <row r="157" spans="1:37" x14ac:dyDescent="0.35">
      <c r="A157" s="185">
        <v>145103014</v>
      </c>
      <c r="B157" s="228" t="s">
        <v>78</v>
      </c>
      <c r="C157" s="228" t="s">
        <v>107</v>
      </c>
      <c r="D157" s="229" t="s">
        <v>1678</v>
      </c>
      <c r="E157" s="181" t="s">
        <v>1822</v>
      </c>
      <c r="F157" s="181" t="s">
        <v>1823</v>
      </c>
      <c r="G157" s="166">
        <v>1111</v>
      </c>
      <c r="H157" s="742">
        <v>41880</v>
      </c>
      <c r="I157" s="189">
        <v>1830</v>
      </c>
      <c r="J157" s="167">
        <v>290814</v>
      </c>
      <c r="K157" s="167">
        <v>1840</v>
      </c>
      <c r="L157" s="189">
        <v>290814</v>
      </c>
      <c r="M157" s="189">
        <v>2030</v>
      </c>
      <c r="N157" s="194" t="s">
        <v>1352</v>
      </c>
      <c r="O157" s="191"/>
      <c r="P157" s="191">
        <v>2</v>
      </c>
      <c r="Q157" s="191"/>
      <c r="R157" s="191"/>
      <c r="S157" s="197"/>
      <c r="T157" s="191"/>
      <c r="U157" s="191"/>
      <c r="V157" s="191"/>
      <c r="W157" s="191"/>
      <c r="X157" s="191"/>
      <c r="Y157" s="168">
        <f t="shared" si="4"/>
        <v>0</v>
      </c>
      <c r="Z157" s="168">
        <f t="shared" si="4"/>
        <v>2</v>
      </c>
      <c r="AA157" s="168">
        <f t="shared" si="4"/>
        <v>0</v>
      </c>
      <c r="AB157" s="168">
        <f t="shared" si="4"/>
        <v>0</v>
      </c>
      <c r="AC157" s="192"/>
      <c r="AD157" s="168">
        <f t="shared" si="5"/>
        <v>2</v>
      </c>
      <c r="AE157" s="169" t="s">
        <v>188</v>
      </c>
      <c r="AF157" s="169" t="s">
        <v>117</v>
      </c>
      <c r="AG157" s="169" t="s">
        <v>72</v>
      </c>
      <c r="AH157" s="169" t="s">
        <v>1824</v>
      </c>
      <c r="AI157" s="169" t="s">
        <v>1800</v>
      </c>
      <c r="AJ157" s="179">
        <v>8320</v>
      </c>
      <c r="AK157" s="168" t="s">
        <v>60</v>
      </c>
    </row>
    <row r="158" spans="1:37" x14ac:dyDescent="0.35">
      <c r="A158" s="185">
        <v>146103014</v>
      </c>
      <c r="B158" s="188" t="s">
        <v>78</v>
      </c>
      <c r="C158" s="188" t="s">
        <v>107</v>
      </c>
      <c r="D158" s="182" t="s">
        <v>1678</v>
      </c>
      <c r="E158" s="181" t="s">
        <v>1825</v>
      </c>
      <c r="F158" s="181" t="s">
        <v>1826</v>
      </c>
      <c r="G158" s="166">
        <v>1187</v>
      </c>
      <c r="H158" s="742">
        <v>41881</v>
      </c>
      <c r="I158" s="189">
        <v>1050</v>
      </c>
      <c r="J158" s="167">
        <v>300814</v>
      </c>
      <c r="K158" s="167">
        <v>1055</v>
      </c>
      <c r="L158" s="189">
        <v>300814</v>
      </c>
      <c r="M158" s="189">
        <v>2015</v>
      </c>
      <c r="N158" s="194" t="s">
        <v>1827</v>
      </c>
      <c r="O158" s="191">
        <v>4</v>
      </c>
      <c r="P158" s="191">
        <v>1</v>
      </c>
      <c r="Q158" s="191"/>
      <c r="R158" s="191"/>
      <c r="S158" s="197"/>
      <c r="T158" s="191"/>
      <c r="U158" s="191"/>
      <c r="V158" s="191"/>
      <c r="W158" s="191"/>
      <c r="X158" s="191"/>
      <c r="Y158" s="168">
        <f t="shared" si="4"/>
        <v>4</v>
      </c>
      <c r="Z158" s="168">
        <f t="shared" si="4"/>
        <v>1</v>
      </c>
      <c r="AA158" s="168">
        <f t="shared" si="4"/>
        <v>0</v>
      </c>
      <c r="AB158" s="168">
        <f t="shared" si="4"/>
        <v>0</v>
      </c>
      <c r="AC158" s="192"/>
      <c r="AD158" s="168">
        <f t="shared" si="5"/>
        <v>5</v>
      </c>
      <c r="AE158" s="169" t="s">
        <v>188</v>
      </c>
      <c r="AF158" s="169" t="s">
        <v>117</v>
      </c>
      <c r="AG158" s="169" t="s">
        <v>628</v>
      </c>
      <c r="AH158" s="169" t="s">
        <v>1828</v>
      </c>
      <c r="AI158" s="169" t="s">
        <v>128</v>
      </c>
      <c r="AJ158" s="179">
        <v>35100</v>
      </c>
      <c r="AK158" s="168" t="s">
        <v>60</v>
      </c>
    </row>
    <row r="159" spans="1:37" x14ac:dyDescent="0.35">
      <c r="A159" s="185">
        <v>147101214</v>
      </c>
      <c r="B159" s="182" t="s">
        <v>83</v>
      </c>
      <c r="C159" s="182" t="s">
        <v>83</v>
      </c>
      <c r="D159" s="206" t="s">
        <v>1604</v>
      </c>
      <c r="E159" s="181" t="s">
        <v>1829</v>
      </c>
      <c r="F159" s="181" t="s">
        <v>1830</v>
      </c>
      <c r="G159" s="166">
        <v>1015</v>
      </c>
      <c r="H159" s="742">
        <v>41881</v>
      </c>
      <c r="I159" s="189">
        <v>1345</v>
      </c>
      <c r="J159" s="167">
        <v>300814</v>
      </c>
      <c r="K159" s="167">
        <v>1350</v>
      </c>
      <c r="L159" s="189">
        <v>300814</v>
      </c>
      <c r="M159" s="189">
        <v>1640</v>
      </c>
      <c r="N159" s="194" t="s">
        <v>62</v>
      </c>
      <c r="O159" s="191">
        <v>0.5</v>
      </c>
      <c r="P159" s="191">
        <v>0.5</v>
      </c>
      <c r="Q159" s="191"/>
      <c r="R159" s="191"/>
      <c r="S159" s="197"/>
      <c r="T159" s="191"/>
      <c r="U159" s="191"/>
      <c r="V159" s="191"/>
      <c r="W159" s="191"/>
      <c r="X159" s="191" t="s">
        <v>1481</v>
      </c>
      <c r="Y159" s="168">
        <f t="shared" si="4"/>
        <v>0.5</v>
      </c>
      <c r="Z159" s="168">
        <f t="shared" si="4"/>
        <v>0.5</v>
      </c>
      <c r="AA159" s="168">
        <f t="shared" si="4"/>
        <v>0</v>
      </c>
      <c r="AB159" s="168">
        <f t="shared" si="4"/>
        <v>0</v>
      </c>
      <c r="AC159" s="191" t="s">
        <v>1481</v>
      </c>
      <c r="AD159" s="168">
        <f t="shared" si="5"/>
        <v>1</v>
      </c>
      <c r="AE159" s="169" t="s">
        <v>117</v>
      </c>
      <c r="AF159" s="169" t="s">
        <v>117</v>
      </c>
      <c r="AG159" s="169" t="s">
        <v>57</v>
      </c>
      <c r="AH159" s="169" t="s">
        <v>1756</v>
      </c>
      <c r="AI159" s="169" t="s">
        <v>1503</v>
      </c>
      <c r="AJ159" s="179">
        <v>203000</v>
      </c>
      <c r="AK159" s="168" t="s">
        <v>60</v>
      </c>
    </row>
    <row r="160" spans="1:37" x14ac:dyDescent="0.35">
      <c r="A160" s="166">
        <v>148103114</v>
      </c>
      <c r="B160" s="182" t="s">
        <v>68</v>
      </c>
      <c r="C160" s="182" t="s">
        <v>157</v>
      </c>
      <c r="D160" s="209" t="s">
        <v>1436</v>
      </c>
      <c r="E160" s="181" t="s">
        <v>1831</v>
      </c>
      <c r="F160" s="181" t="s">
        <v>1832</v>
      </c>
      <c r="G160" s="166">
        <v>1160</v>
      </c>
      <c r="H160" s="189" t="s">
        <v>2898</v>
      </c>
      <c r="I160" s="189">
        <v>1650</v>
      </c>
      <c r="J160" s="167">
        <v>310814</v>
      </c>
      <c r="K160" s="167">
        <v>1655</v>
      </c>
      <c r="L160" s="189">
        <v>310814</v>
      </c>
      <c r="M160" s="189">
        <v>1805</v>
      </c>
      <c r="N160" s="194" t="s">
        <v>1352</v>
      </c>
      <c r="O160" s="191"/>
      <c r="P160" s="191">
        <v>0.5</v>
      </c>
      <c r="Q160" s="191"/>
      <c r="R160" s="191"/>
      <c r="S160" s="197"/>
      <c r="T160" s="191"/>
      <c r="U160" s="191"/>
      <c r="V160" s="191"/>
      <c r="W160" s="191"/>
      <c r="X160" s="191"/>
      <c r="Y160" s="168">
        <f t="shared" si="4"/>
        <v>0</v>
      </c>
      <c r="Z160" s="168">
        <f t="shared" si="4"/>
        <v>0.5</v>
      </c>
      <c r="AA160" s="168">
        <f t="shared" si="4"/>
        <v>0</v>
      </c>
      <c r="AB160" s="168">
        <f t="shared" si="4"/>
        <v>0</v>
      </c>
      <c r="AC160" s="192"/>
      <c r="AD160" s="168">
        <f t="shared" si="5"/>
        <v>0.5</v>
      </c>
      <c r="AE160" s="169" t="s">
        <v>117</v>
      </c>
      <c r="AF160" s="169" t="s">
        <v>117</v>
      </c>
      <c r="AG160" s="169" t="s">
        <v>72</v>
      </c>
      <c r="AH160" s="169" t="s">
        <v>1731</v>
      </c>
      <c r="AI160" s="169" t="s">
        <v>73</v>
      </c>
      <c r="AJ160" s="179">
        <v>7500</v>
      </c>
      <c r="AK160" s="168" t="s">
        <v>60</v>
      </c>
    </row>
    <row r="161" spans="1:37" x14ac:dyDescent="0.35">
      <c r="A161" s="182">
        <v>149101214</v>
      </c>
      <c r="B161" s="182" t="s">
        <v>83</v>
      </c>
      <c r="C161" s="182" t="s">
        <v>83</v>
      </c>
      <c r="D161" s="218" t="s">
        <v>1336</v>
      </c>
      <c r="E161" s="181" t="s">
        <v>1833</v>
      </c>
      <c r="F161" s="181" t="s">
        <v>1834</v>
      </c>
      <c r="G161" s="185">
        <v>565</v>
      </c>
      <c r="H161" s="747">
        <v>41883</v>
      </c>
      <c r="I161" s="199">
        <v>1400</v>
      </c>
      <c r="J161" s="185">
        <v>10914</v>
      </c>
      <c r="K161" s="185">
        <v>1400</v>
      </c>
      <c r="L161" s="230">
        <v>10914</v>
      </c>
      <c r="M161" s="231">
        <v>1530</v>
      </c>
      <c r="N161" s="200" t="s">
        <v>62</v>
      </c>
      <c r="O161" s="200">
        <v>0.05</v>
      </c>
      <c r="P161" s="200"/>
      <c r="Q161" s="200"/>
      <c r="R161" s="200"/>
      <c r="S161" s="200"/>
      <c r="T161" s="200"/>
      <c r="U161" s="200"/>
      <c r="V161" s="200"/>
      <c r="W161" s="200"/>
      <c r="X161" s="182"/>
      <c r="Y161" s="181">
        <f>O161+T161</f>
        <v>0.05</v>
      </c>
      <c r="Z161" s="181">
        <f>P161+U161</f>
        <v>0</v>
      </c>
      <c r="AA161" s="181">
        <f>Q161+V161</f>
        <v>0</v>
      </c>
      <c r="AB161" s="181"/>
      <c r="AC161" s="188"/>
      <c r="AD161" s="168">
        <f t="shared" si="5"/>
        <v>0.05</v>
      </c>
      <c r="AE161" s="177" t="s">
        <v>117</v>
      </c>
      <c r="AF161" s="232" t="s">
        <v>117</v>
      </c>
      <c r="AG161" s="232" t="s">
        <v>57</v>
      </c>
      <c r="AH161" s="232" t="s">
        <v>1835</v>
      </c>
      <c r="AI161" s="232" t="s">
        <v>65</v>
      </c>
      <c r="AJ161" s="233">
        <v>10000</v>
      </c>
      <c r="AK161" s="168" t="s">
        <v>60</v>
      </c>
    </row>
    <row r="162" spans="1:37" x14ac:dyDescent="0.35">
      <c r="A162" s="234">
        <v>150101314</v>
      </c>
      <c r="B162" s="188" t="s">
        <v>198</v>
      </c>
      <c r="C162" s="188" t="s">
        <v>198</v>
      </c>
      <c r="D162" s="218" t="s">
        <v>1836</v>
      </c>
      <c r="E162" s="181" t="s">
        <v>1837</v>
      </c>
      <c r="F162" s="181" t="s">
        <v>1838</v>
      </c>
      <c r="G162" s="185">
        <v>547</v>
      </c>
      <c r="H162" s="747">
        <v>41883</v>
      </c>
      <c r="I162" s="199">
        <v>1500</v>
      </c>
      <c r="J162" s="230">
        <v>10914</v>
      </c>
      <c r="K162" s="199">
        <v>1515</v>
      </c>
      <c r="L162" s="230">
        <v>10914</v>
      </c>
      <c r="M162" s="231">
        <v>1540</v>
      </c>
      <c r="N162" s="200" t="s">
        <v>62</v>
      </c>
      <c r="O162" s="200">
        <v>0.03</v>
      </c>
      <c r="P162" s="200"/>
      <c r="Q162" s="200"/>
      <c r="R162" s="200"/>
      <c r="S162" s="200"/>
      <c r="T162" s="200"/>
      <c r="U162" s="200"/>
      <c r="V162" s="200"/>
      <c r="W162" s="200"/>
      <c r="X162" s="235"/>
      <c r="Y162" s="181">
        <f t="shared" ref="Y162:AA201" si="6">O162+T162</f>
        <v>0.03</v>
      </c>
      <c r="Z162" s="181">
        <f t="shared" si="6"/>
        <v>0</v>
      </c>
      <c r="AA162" s="181">
        <f t="shared" si="6"/>
        <v>0</v>
      </c>
      <c r="AB162" s="181"/>
      <c r="AC162" s="188"/>
      <c r="AD162" s="168">
        <f t="shared" si="5"/>
        <v>0.03</v>
      </c>
      <c r="AE162" s="177" t="s">
        <v>117</v>
      </c>
      <c r="AF162" s="177" t="s">
        <v>117</v>
      </c>
      <c r="AG162" s="177" t="s">
        <v>57</v>
      </c>
      <c r="AH162" s="169" t="s">
        <v>1487</v>
      </c>
      <c r="AI162" s="232" t="s">
        <v>65</v>
      </c>
      <c r="AJ162" s="233">
        <v>3000</v>
      </c>
      <c r="AK162" s="168" t="s">
        <v>60</v>
      </c>
    </row>
    <row r="163" spans="1:37" x14ac:dyDescent="0.35">
      <c r="A163" s="234">
        <v>151102614</v>
      </c>
      <c r="B163" s="188" t="s">
        <v>208</v>
      </c>
      <c r="C163" s="188" t="s">
        <v>214</v>
      </c>
      <c r="D163" s="218" t="s">
        <v>1839</v>
      </c>
      <c r="E163" s="181" t="s">
        <v>1840</v>
      </c>
      <c r="F163" s="181" t="s">
        <v>1841</v>
      </c>
      <c r="G163" s="185">
        <v>707</v>
      </c>
      <c r="H163" s="747">
        <v>41883</v>
      </c>
      <c r="I163" s="199">
        <v>1645</v>
      </c>
      <c r="J163" s="230">
        <v>10914</v>
      </c>
      <c r="K163" s="199">
        <v>1705</v>
      </c>
      <c r="L163" s="230">
        <v>10914</v>
      </c>
      <c r="M163" s="231">
        <v>1900</v>
      </c>
      <c r="N163" s="200" t="s">
        <v>1339</v>
      </c>
      <c r="O163" s="200"/>
      <c r="P163" s="200"/>
      <c r="Q163" s="200"/>
      <c r="R163" s="200"/>
      <c r="S163" s="200"/>
      <c r="T163" s="200">
        <v>0.5</v>
      </c>
      <c r="U163" s="200"/>
      <c r="V163" s="200">
        <v>1</v>
      </c>
      <c r="W163" s="200"/>
      <c r="X163" s="182"/>
      <c r="Y163" s="181">
        <f t="shared" si="6"/>
        <v>0.5</v>
      </c>
      <c r="Z163" s="181">
        <f t="shared" si="6"/>
        <v>0</v>
      </c>
      <c r="AA163" s="181">
        <f t="shared" si="6"/>
        <v>1</v>
      </c>
      <c r="AB163" s="181"/>
      <c r="AC163" s="188"/>
      <c r="AD163" s="168">
        <f t="shared" si="5"/>
        <v>1.5</v>
      </c>
      <c r="AE163" s="177" t="s">
        <v>117</v>
      </c>
      <c r="AF163" s="177" t="s">
        <v>117</v>
      </c>
      <c r="AG163" s="177" t="s">
        <v>72</v>
      </c>
      <c r="AH163" s="169" t="s">
        <v>1487</v>
      </c>
      <c r="AI163" s="232" t="s">
        <v>73</v>
      </c>
      <c r="AJ163" s="233">
        <v>62000</v>
      </c>
      <c r="AK163" s="168" t="s">
        <v>60</v>
      </c>
    </row>
    <row r="164" spans="1:37" x14ac:dyDescent="0.35">
      <c r="A164" s="234">
        <v>152102614</v>
      </c>
      <c r="B164" s="188" t="s">
        <v>208</v>
      </c>
      <c r="C164" s="188" t="s">
        <v>214</v>
      </c>
      <c r="D164" s="188" t="s">
        <v>1842</v>
      </c>
      <c r="E164" s="181" t="s">
        <v>1843</v>
      </c>
      <c r="F164" s="181" t="s">
        <v>1844</v>
      </c>
      <c r="G164" s="185">
        <v>685</v>
      </c>
      <c r="H164" s="747">
        <v>41883</v>
      </c>
      <c r="I164" s="199">
        <v>1715</v>
      </c>
      <c r="J164" s="230">
        <v>10914</v>
      </c>
      <c r="K164" s="199">
        <v>1735</v>
      </c>
      <c r="L164" s="230">
        <v>10914</v>
      </c>
      <c r="M164" s="231">
        <v>1750</v>
      </c>
      <c r="N164" s="200" t="s">
        <v>1845</v>
      </c>
      <c r="O164" s="200"/>
      <c r="P164" s="200"/>
      <c r="Q164" s="200"/>
      <c r="R164" s="200"/>
      <c r="S164" s="200"/>
      <c r="T164" s="200"/>
      <c r="U164" s="200">
        <v>0.5</v>
      </c>
      <c r="V164" s="200"/>
      <c r="W164" s="200"/>
      <c r="X164" s="182"/>
      <c r="Y164" s="181">
        <f t="shared" si="6"/>
        <v>0</v>
      </c>
      <c r="Z164" s="181">
        <f t="shared" si="6"/>
        <v>0.5</v>
      </c>
      <c r="AA164" s="181">
        <f t="shared" si="6"/>
        <v>0</v>
      </c>
      <c r="AB164" s="181"/>
      <c r="AC164" s="188"/>
      <c r="AD164" s="168">
        <f t="shared" si="5"/>
        <v>0.5</v>
      </c>
      <c r="AE164" s="177" t="s">
        <v>117</v>
      </c>
      <c r="AF164" s="177" t="s">
        <v>117</v>
      </c>
      <c r="AG164" s="177" t="s">
        <v>72</v>
      </c>
      <c r="AH164" s="169" t="s">
        <v>1487</v>
      </c>
      <c r="AI164" s="232" t="s">
        <v>73</v>
      </c>
      <c r="AJ164" s="233">
        <v>25000</v>
      </c>
      <c r="AK164" s="168" t="s">
        <v>60</v>
      </c>
    </row>
    <row r="165" spans="1:37" x14ac:dyDescent="0.35">
      <c r="A165" s="234">
        <v>153102614</v>
      </c>
      <c r="B165" s="188" t="s">
        <v>208</v>
      </c>
      <c r="C165" s="188" t="s">
        <v>214</v>
      </c>
      <c r="D165" s="182" t="s">
        <v>1846</v>
      </c>
      <c r="E165" s="181" t="s">
        <v>1847</v>
      </c>
      <c r="F165" s="181" t="s">
        <v>1848</v>
      </c>
      <c r="G165" s="185">
        <v>460</v>
      </c>
      <c r="H165" s="747">
        <v>41883</v>
      </c>
      <c r="I165" s="199">
        <v>1720</v>
      </c>
      <c r="J165" s="230">
        <v>10914</v>
      </c>
      <c r="K165" s="199">
        <v>1740</v>
      </c>
      <c r="L165" s="230">
        <v>10914</v>
      </c>
      <c r="M165" s="231">
        <v>2110</v>
      </c>
      <c r="N165" s="200" t="s">
        <v>62</v>
      </c>
      <c r="O165" s="200">
        <v>4</v>
      </c>
      <c r="P165" s="200"/>
      <c r="Q165" s="200"/>
      <c r="R165" s="200"/>
      <c r="S165" s="200"/>
      <c r="T165" s="200"/>
      <c r="U165" s="200"/>
      <c r="V165" s="200"/>
      <c r="W165" s="200"/>
      <c r="X165" s="182"/>
      <c r="Y165" s="181">
        <f t="shared" si="6"/>
        <v>4</v>
      </c>
      <c r="Z165" s="181">
        <f t="shared" si="6"/>
        <v>0</v>
      </c>
      <c r="AA165" s="181">
        <f t="shared" si="6"/>
        <v>0</v>
      </c>
      <c r="AB165" s="181"/>
      <c r="AC165" s="188"/>
      <c r="AD165" s="168">
        <f t="shared" si="5"/>
        <v>4</v>
      </c>
      <c r="AE165" s="177" t="s">
        <v>117</v>
      </c>
      <c r="AF165" s="177" t="s">
        <v>117</v>
      </c>
      <c r="AG165" s="177" t="s">
        <v>72</v>
      </c>
      <c r="AH165" s="169" t="s">
        <v>1487</v>
      </c>
      <c r="AI165" s="232" t="s">
        <v>73</v>
      </c>
      <c r="AJ165" s="233">
        <v>30000</v>
      </c>
      <c r="AK165" s="168" t="s">
        <v>60</v>
      </c>
    </row>
    <row r="166" spans="1:37" x14ac:dyDescent="0.35">
      <c r="A166" s="182">
        <v>154100514</v>
      </c>
      <c r="B166" s="188" t="s">
        <v>208</v>
      </c>
      <c r="C166" s="188" t="s">
        <v>208</v>
      </c>
      <c r="D166" s="218" t="s">
        <v>1849</v>
      </c>
      <c r="E166" s="181" t="s">
        <v>1850</v>
      </c>
      <c r="F166" s="181" t="s">
        <v>1851</v>
      </c>
      <c r="G166" s="185">
        <v>450</v>
      </c>
      <c r="H166" s="746">
        <v>41885</v>
      </c>
      <c r="I166" s="199">
        <v>1330</v>
      </c>
      <c r="J166" s="231">
        <v>30914</v>
      </c>
      <c r="K166" s="199">
        <v>1345</v>
      </c>
      <c r="L166" s="231">
        <v>30914</v>
      </c>
      <c r="M166" s="231">
        <v>1930</v>
      </c>
      <c r="N166" s="200" t="s">
        <v>62</v>
      </c>
      <c r="O166" s="200"/>
      <c r="P166" s="200"/>
      <c r="Q166" s="200"/>
      <c r="R166" s="200"/>
      <c r="S166" s="200"/>
      <c r="T166" s="200">
        <v>2</v>
      </c>
      <c r="U166" s="200"/>
      <c r="V166" s="200"/>
      <c r="W166" s="200"/>
      <c r="X166" s="234" t="s">
        <v>842</v>
      </c>
      <c r="Y166" s="181">
        <f t="shared" si="6"/>
        <v>2</v>
      </c>
      <c r="Z166" s="181">
        <f t="shared" si="6"/>
        <v>0</v>
      </c>
      <c r="AA166" s="181">
        <f t="shared" si="6"/>
        <v>0</v>
      </c>
      <c r="AB166" s="181"/>
      <c r="AC166" s="234" t="s">
        <v>1852</v>
      </c>
      <c r="AD166" s="168">
        <f t="shared" si="5"/>
        <v>2</v>
      </c>
      <c r="AE166" s="177" t="s">
        <v>117</v>
      </c>
      <c r="AF166" s="177" t="s">
        <v>117</v>
      </c>
      <c r="AG166" s="177" t="s">
        <v>72</v>
      </c>
      <c r="AH166" s="169" t="s">
        <v>1603</v>
      </c>
      <c r="AI166" s="232" t="s">
        <v>73</v>
      </c>
      <c r="AJ166" s="233">
        <v>30000</v>
      </c>
      <c r="AK166" s="168" t="s">
        <v>60</v>
      </c>
    </row>
    <row r="167" spans="1:37" x14ac:dyDescent="0.35">
      <c r="A167" s="234">
        <v>155101314</v>
      </c>
      <c r="B167" s="181" t="s">
        <v>198</v>
      </c>
      <c r="C167" s="181" t="s">
        <v>198</v>
      </c>
      <c r="D167" s="218" t="s">
        <v>1853</v>
      </c>
      <c r="E167" s="181" t="s">
        <v>1854</v>
      </c>
      <c r="F167" s="181" t="s">
        <v>1855</v>
      </c>
      <c r="G167" s="185">
        <v>134</v>
      </c>
      <c r="H167" s="746">
        <v>41885</v>
      </c>
      <c r="I167" s="199">
        <v>1345</v>
      </c>
      <c r="J167" s="231">
        <v>30914</v>
      </c>
      <c r="K167" s="199">
        <v>1400</v>
      </c>
      <c r="L167" s="231">
        <v>30914</v>
      </c>
      <c r="M167" s="231">
        <v>1840</v>
      </c>
      <c r="N167" s="200" t="s">
        <v>62</v>
      </c>
      <c r="O167" s="200"/>
      <c r="P167" s="200"/>
      <c r="Q167" s="200"/>
      <c r="R167" s="200"/>
      <c r="S167" s="200"/>
      <c r="T167" s="200">
        <v>0.5</v>
      </c>
      <c r="U167" s="200"/>
      <c r="V167" s="200"/>
      <c r="W167" s="200"/>
      <c r="X167" s="234" t="s">
        <v>1856</v>
      </c>
      <c r="Y167" s="181">
        <f t="shared" si="6"/>
        <v>0.5</v>
      </c>
      <c r="Z167" s="181">
        <f t="shared" si="6"/>
        <v>0</v>
      </c>
      <c r="AA167" s="181">
        <f t="shared" si="6"/>
        <v>0</v>
      </c>
      <c r="AB167" s="181"/>
      <c r="AC167" s="234" t="s">
        <v>1857</v>
      </c>
      <c r="AD167" s="168">
        <f t="shared" si="5"/>
        <v>0.5</v>
      </c>
      <c r="AE167" s="177" t="s">
        <v>117</v>
      </c>
      <c r="AF167" s="177" t="s">
        <v>117</v>
      </c>
      <c r="AG167" s="177" t="s">
        <v>493</v>
      </c>
      <c r="AH167" s="169" t="s">
        <v>1603</v>
      </c>
      <c r="AI167" s="232" t="s">
        <v>73</v>
      </c>
      <c r="AJ167" s="233">
        <v>50000</v>
      </c>
      <c r="AK167" s="168" t="s">
        <v>60</v>
      </c>
    </row>
    <row r="168" spans="1:37" x14ac:dyDescent="0.35">
      <c r="A168" s="234">
        <v>156101914</v>
      </c>
      <c r="B168" s="181" t="s">
        <v>49</v>
      </c>
      <c r="C168" s="181" t="s">
        <v>278</v>
      </c>
      <c r="D168" s="218" t="s">
        <v>1858</v>
      </c>
      <c r="E168" s="181" t="s">
        <v>1859</v>
      </c>
      <c r="F168" s="181" t="s">
        <v>1860</v>
      </c>
      <c r="G168" s="185">
        <v>842</v>
      </c>
      <c r="H168" s="746">
        <v>41886</v>
      </c>
      <c r="I168" s="189">
        <v>1230</v>
      </c>
      <c r="J168" s="185">
        <v>40914</v>
      </c>
      <c r="K168" s="185">
        <v>1237</v>
      </c>
      <c r="L168" s="231">
        <v>40914</v>
      </c>
      <c r="M168" s="189">
        <v>1500</v>
      </c>
      <c r="N168" s="200" t="s">
        <v>62</v>
      </c>
      <c r="O168" s="200">
        <v>1</v>
      </c>
      <c r="P168" s="200"/>
      <c r="Q168" s="200"/>
      <c r="R168" s="200"/>
      <c r="S168" s="200"/>
      <c r="T168" s="200">
        <v>0.5</v>
      </c>
      <c r="U168" s="200"/>
      <c r="V168" s="200"/>
      <c r="W168" s="200"/>
      <c r="X168" s="234"/>
      <c r="Y168" s="181">
        <f t="shared" si="6"/>
        <v>1.5</v>
      </c>
      <c r="Z168" s="181">
        <f t="shared" si="6"/>
        <v>0</v>
      </c>
      <c r="AA168" s="181">
        <f t="shared" si="6"/>
        <v>0</v>
      </c>
      <c r="AB168" s="181"/>
      <c r="AC168" s="188"/>
      <c r="AD168" s="168">
        <f t="shared" si="5"/>
        <v>1.5</v>
      </c>
      <c r="AE168" s="232" t="s">
        <v>66</v>
      </c>
      <c r="AF168" s="232" t="s">
        <v>117</v>
      </c>
      <c r="AG168" s="232" t="s">
        <v>72</v>
      </c>
      <c r="AH168" s="232" t="s">
        <v>1861</v>
      </c>
      <c r="AI168" s="232" t="s">
        <v>73</v>
      </c>
      <c r="AJ168" s="233">
        <v>27700</v>
      </c>
      <c r="AK168" s="168" t="s">
        <v>60</v>
      </c>
    </row>
    <row r="169" spans="1:37" x14ac:dyDescent="0.35">
      <c r="A169" s="234">
        <v>157103114</v>
      </c>
      <c r="B169" s="181" t="s">
        <v>68</v>
      </c>
      <c r="C169" s="181" t="s">
        <v>157</v>
      </c>
      <c r="D169" s="218" t="s">
        <v>1862</v>
      </c>
      <c r="E169" s="165" t="s">
        <v>1863</v>
      </c>
      <c r="F169" s="165" t="s">
        <v>1864</v>
      </c>
      <c r="G169" s="166">
        <v>1100</v>
      </c>
      <c r="H169" s="746">
        <v>41886</v>
      </c>
      <c r="I169" s="189">
        <v>1405</v>
      </c>
      <c r="J169" s="231">
        <v>40914</v>
      </c>
      <c r="K169" s="189">
        <v>1425</v>
      </c>
      <c r="L169" s="231">
        <v>40914</v>
      </c>
      <c r="M169" s="189">
        <v>1805</v>
      </c>
      <c r="N169" s="200" t="s">
        <v>1845</v>
      </c>
      <c r="O169" s="200"/>
      <c r="P169" s="200"/>
      <c r="Q169" s="200"/>
      <c r="R169" s="200"/>
      <c r="S169" s="200"/>
      <c r="T169" s="200"/>
      <c r="U169" s="200">
        <v>1.5</v>
      </c>
      <c r="V169" s="200"/>
      <c r="W169" s="200"/>
      <c r="X169" s="234"/>
      <c r="Y169" s="181">
        <f t="shared" si="6"/>
        <v>0</v>
      </c>
      <c r="Z169" s="181">
        <f t="shared" si="6"/>
        <v>1.5</v>
      </c>
      <c r="AA169" s="181">
        <f t="shared" si="6"/>
        <v>0</v>
      </c>
      <c r="AB169" s="181"/>
      <c r="AC169" s="188"/>
      <c r="AD169" s="168">
        <f t="shared" si="5"/>
        <v>1.5</v>
      </c>
      <c r="AE169" s="169" t="s">
        <v>117</v>
      </c>
      <c r="AF169" s="169" t="s">
        <v>117</v>
      </c>
      <c r="AG169" s="169" t="s">
        <v>72</v>
      </c>
      <c r="AH169" s="169" t="s">
        <v>1865</v>
      </c>
      <c r="AI169" s="169" t="s">
        <v>1375</v>
      </c>
      <c r="AJ169" s="233">
        <v>7020</v>
      </c>
      <c r="AK169" s="168" t="s">
        <v>60</v>
      </c>
    </row>
    <row r="170" spans="1:37" x14ac:dyDescent="0.35">
      <c r="A170" s="234">
        <v>158100314</v>
      </c>
      <c r="B170" s="181" t="s">
        <v>198</v>
      </c>
      <c r="C170" s="181" t="s">
        <v>1523</v>
      </c>
      <c r="D170" s="218" t="s">
        <v>1866</v>
      </c>
      <c r="E170" s="165" t="s">
        <v>1358</v>
      </c>
      <c r="F170" s="165" t="s">
        <v>1359</v>
      </c>
      <c r="G170" s="166">
        <v>560</v>
      </c>
      <c r="H170" s="742">
        <v>41887</v>
      </c>
      <c r="I170" s="189">
        <v>930</v>
      </c>
      <c r="J170" s="189">
        <v>50914</v>
      </c>
      <c r="K170" s="189">
        <v>1000</v>
      </c>
      <c r="L170" s="189">
        <v>50914</v>
      </c>
      <c r="M170" s="189">
        <v>1900</v>
      </c>
      <c r="N170" s="200" t="s">
        <v>62</v>
      </c>
      <c r="O170" s="200"/>
      <c r="P170" s="200"/>
      <c r="Q170" s="200"/>
      <c r="R170" s="200"/>
      <c r="S170" s="200"/>
      <c r="T170" s="200">
        <v>4</v>
      </c>
      <c r="U170" s="200"/>
      <c r="V170" s="200"/>
      <c r="W170" s="200"/>
      <c r="X170" s="234"/>
      <c r="Y170" s="181">
        <f t="shared" si="6"/>
        <v>4</v>
      </c>
      <c r="Z170" s="181">
        <f t="shared" si="6"/>
        <v>0</v>
      </c>
      <c r="AA170" s="181">
        <f t="shared" si="6"/>
        <v>0</v>
      </c>
      <c r="AB170" s="181"/>
      <c r="AC170" s="188"/>
      <c r="AD170" s="168">
        <f t="shared" si="5"/>
        <v>4</v>
      </c>
      <c r="AE170" s="177" t="s">
        <v>117</v>
      </c>
      <c r="AF170" s="177" t="s">
        <v>117</v>
      </c>
      <c r="AG170" s="177" t="s">
        <v>72</v>
      </c>
      <c r="AH170" s="169" t="s">
        <v>1521</v>
      </c>
      <c r="AI170" s="232" t="s">
        <v>73</v>
      </c>
      <c r="AJ170" s="233">
        <v>1000000</v>
      </c>
      <c r="AK170" s="168" t="s">
        <v>60</v>
      </c>
    </row>
    <row r="171" spans="1:37" x14ac:dyDescent="0.35">
      <c r="A171" s="234">
        <v>159100514</v>
      </c>
      <c r="B171" s="181" t="s">
        <v>208</v>
      </c>
      <c r="C171" s="181" t="s">
        <v>208</v>
      </c>
      <c r="D171" s="218" t="s">
        <v>1849</v>
      </c>
      <c r="E171" s="181" t="s">
        <v>1867</v>
      </c>
      <c r="F171" s="181" t="s">
        <v>1868</v>
      </c>
      <c r="G171" s="185">
        <v>506</v>
      </c>
      <c r="H171" s="742">
        <v>41887</v>
      </c>
      <c r="I171" s="189">
        <v>1345</v>
      </c>
      <c r="J171" s="189">
        <v>50914</v>
      </c>
      <c r="K171" s="199">
        <v>1400</v>
      </c>
      <c r="L171" s="189">
        <v>50914</v>
      </c>
      <c r="M171" s="189">
        <v>1605</v>
      </c>
      <c r="N171" s="200" t="s">
        <v>62</v>
      </c>
      <c r="O171" s="200"/>
      <c r="P171" s="200"/>
      <c r="Q171" s="200"/>
      <c r="R171" s="200"/>
      <c r="S171" s="200"/>
      <c r="T171" s="200">
        <v>0.5</v>
      </c>
      <c r="U171" s="200"/>
      <c r="V171" s="200">
        <v>0.5</v>
      </c>
      <c r="W171" s="200"/>
      <c r="X171" s="234"/>
      <c r="Y171" s="181">
        <f t="shared" si="6"/>
        <v>0.5</v>
      </c>
      <c r="Z171" s="181">
        <f t="shared" si="6"/>
        <v>0</v>
      </c>
      <c r="AA171" s="181">
        <f t="shared" si="6"/>
        <v>0.5</v>
      </c>
      <c r="AB171" s="181"/>
      <c r="AC171" s="188"/>
      <c r="AD171" s="168">
        <f t="shared" si="5"/>
        <v>1</v>
      </c>
      <c r="AE171" s="177" t="s">
        <v>117</v>
      </c>
      <c r="AF171" s="177" t="s">
        <v>117</v>
      </c>
      <c r="AG171" s="177" t="s">
        <v>72</v>
      </c>
      <c r="AH171" s="169" t="s">
        <v>1521</v>
      </c>
      <c r="AI171" s="232" t="s">
        <v>73</v>
      </c>
      <c r="AJ171" s="233">
        <v>55000</v>
      </c>
      <c r="AK171" s="168" t="s">
        <v>60</v>
      </c>
    </row>
    <row r="172" spans="1:37" x14ac:dyDescent="0.35">
      <c r="A172" s="234">
        <v>160103114</v>
      </c>
      <c r="B172" s="181" t="s">
        <v>68</v>
      </c>
      <c r="C172" s="181" t="s">
        <v>157</v>
      </c>
      <c r="D172" s="218" t="s">
        <v>1869</v>
      </c>
      <c r="E172" s="165" t="s">
        <v>1870</v>
      </c>
      <c r="F172" s="165" t="s">
        <v>1871</v>
      </c>
      <c r="G172" s="166">
        <v>1190</v>
      </c>
      <c r="H172" s="742">
        <v>41887</v>
      </c>
      <c r="I172" s="189">
        <v>1300</v>
      </c>
      <c r="J172" s="189">
        <v>50914</v>
      </c>
      <c r="K172" s="189">
        <v>1320</v>
      </c>
      <c r="L172" s="189">
        <v>50914</v>
      </c>
      <c r="M172" s="189">
        <v>1705</v>
      </c>
      <c r="N172" s="200" t="s">
        <v>1352</v>
      </c>
      <c r="O172" s="200"/>
      <c r="P172" s="200">
        <v>2</v>
      </c>
      <c r="Q172" s="200"/>
      <c r="R172" s="200"/>
      <c r="S172" s="200"/>
      <c r="T172" s="200"/>
      <c r="U172" s="200"/>
      <c r="V172" s="200"/>
      <c r="W172" s="200"/>
      <c r="X172" s="234"/>
      <c r="Y172" s="181">
        <f t="shared" si="6"/>
        <v>0</v>
      </c>
      <c r="Z172" s="181">
        <f t="shared" si="6"/>
        <v>2</v>
      </c>
      <c r="AA172" s="181">
        <f t="shared" si="6"/>
        <v>0</v>
      </c>
      <c r="AB172" s="181"/>
      <c r="AC172" s="188"/>
      <c r="AD172" s="168">
        <f t="shared" si="5"/>
        <v>2</v>
      </c>
      <c r="AE172" s="169" t="s">
        <v>117</v>
      </c>
      <c r="AF172" s="169" t="s">
        <v>117</v>
      </c>
      <c r="AG172" s="169" t="s">
        <v>72</v>
      </c>
      <c r="AH172" s="169" t="s">
        <v>1872</v>
      </c>
      <c r="AI172" s="169" t="s">
        <v>1503</v>
      </c>
      <c r="AJ172" s="233">
        <v>9360</v>
      </c>
      <c r="AK172" s="168" t="s">
        <v>60</v>
      </c>
    </row>
    <row r="173" spans="1:37" x14ac:dyDescent="0.35">
      <c r="A173" s="234">
        <v>161103014</v>
      </c>
      <c r="B173" s="181" t="s">
        <v>78</v>
      </c>
      <c r="C173" s="181" t="s">
        <v>107</v>
      </c>
      <c r="D173" s="218" t="s">
        <v>1678</v>
      </c>
      <c r="E173" s="181" t="s">
        <v>1873</v>
      </c>
      <c r="F173" s="181" t="s">
        <v>1874</v>
      </c>
      <c r="G173" s="185">
        <v>909</v>
      </c>
      <c r="H173" s="742">
        <v>41887</v>
      </c>
      <c r="I173" s="189">
        <v>1445</v>
      </c>
      <c r="J173" s="185">
        <v>50914</v>
      </c>
      <c r="K173" s="185">
        <v>1450</v>
      </c>
      <c r="L173" s="189">
        <v>50914</v>
      </c>
      <c r="M173" s="189">
        <v>2020</v>
      </c>
      <c r="N173" s="200" t="s">
        <v>1352</v>
      </c>
      <c r="O173" s="200"/>
      <c r="P173" s="200">
        <v>1</v>
      </c>
      <c r="Q173" s="200"/>
      <c r="R173" s="200"/>
      <c r="S173" s="200"/>
      <c r="T173" s="200"/>
      <c r="U173" s="200"/>
      <c r="V173" s="200"/>
      <c r="W173" s="200"/>
      <c r="X173" s="234"/>
      <c r="Y173" s="181">
        <f t="shared" si="6"/>
        <v>0</v>
      </c>
      <c r="Z173" s="181">
        <f t="shared" si="6"/>
        <v>1</v>
      </c>
      <c r="AA173" s="181">
        <f t="shared" si="6"/>
        <v>0</v>
      </c>
      <c r="AB173" s="181"/>
      <c r="AC173" s="188"/>
      <c r="AD173" s="168">
        <f t="shared" si="5"/>
        <v>1</v>
      </c>
      <c r="AE173" s="232" t="s">
        <v>66</v>
      </c>
      <c r="AF173" s="232" t="s">
        <v>117</v>
      </c>
      <c r="AG173" s="232" t="s">
        <v>493</v>
      </c>
      <c r="AH173" s="232" t="s">
        <v>1875</v>
      </c>
      <c r="AI173" s="232" t="s">
        <v>128</v>
      </c>
      <c r="AJ173" s="233">
        <v>4680</v>
      </c>
      <c r="AK173" s="168" t="s">
        <v>60</v>
      </c>
    </row>
    <row r="174" spans="1:37" x14ac:dyDescent="0.35">
      <c r="A174" s="234">
        <v>162101214</v>
      </c>
      <c r="B174" s="181" t="s">
        <v>83</v>
      </c>
      <c r="C174" s="181" t="s">
        <v>83</v>
      </c>
      <c r="D174" s="218" t="s">
        <v>1604</v>
      </c>
      <c r="E174" s="181" t="s">
        <v>1876</v>
      </c>
      <c r="F174" s="181" t="s">
        <v>1877</v>
      </c>
      <c r="G174" s="185">
        <v>945</v>
      </c>
      <c r="H174" s="742">
        <v>41887</v>
      </c>
      <c r="I174" s="189">
        <v>1600</v>
      </c>
      <c r="J174" s="185">
        <v>50914</v>
      </c>
      <c r="K174" s="185">
        <v>1615</v>
      </c>
      <c r="L174" s="189">
        <v>50914</v>
      </c>
      <c r="M174" s="189">
        <v>1830</v>
      </c>
      <c r="N174" s="200" t="s">
        <v>1352</v>
      </c>
      <c r="O174" s="200"/>
      <c r="P174" s="200">
        <v>0.5</v>
      </c>
      <c r="Q174" s="200"/>
      <c r="R174" s="200"/>
      <c r="S174" s="200"/>
      <c r="T174" s="200"/>
      <c r="U174" s="200"/>
      <c r="V174" s="200"/>
      <c r="W174" s="200"/>
      <c r="X174" s="234" t="s">
        <v>1878</v>
      </c>
      <c r="Y174" s="181">
        <f t="shared" si="6"/>
        <v>0</v>
      </c>
      <c r="Z174" s="181">
        <f t="shared" si="6"/>
        <v>0.5</v>
      </c>
      <c r="AA174" s="181">
        <f t="shared" si="6"/>
        <v>0</v>
      </c>
      <c r="AB174" s="181"/>
      <c r="AC174" s="236" t="s">
        <v>1878</v>
      </c>
      <c r="AD174" s="168">
        <f t="shared" si="5"/>
        <v>0.5</v>
      </c>
      <c r="AE174" s="169" t="s">
        <v>117</v>
      </c>
      <c r="AF174" s="232" t="s">
        <v>117</v>
      </c>
      <c r="AG174" s="232" t="s">
        <v>57</v>
      </c>
      <c r="AH174" s="232" t="s">
        <v>1879</v>
      </c>
      <c r="AI174" s="232" t="s">
        <v>1503</v>
      </c>
      <c r="AJ174" s="233">
        <v>302000</v>
      </c>
      <c r="AK174" s="168" t="s">
        <v>60</v>
      </c>
    </row>
    <row r="175" spans="1:37" x14ac:dyDescent="0.35">
      <c r="A175" s="234">
        <v>163103114</v>
      </c>
      <c r="B175" s="181" t="s">
        <v>68</v>
      </c>
      <c r="C175" s="181" t="s">
        <v>157</v>
      </c>
      <c r="D175" s="218" t="s">
        <v>1869</v>
      </c>
      <c r="E175" s="165" t="s">
        <v>1880</v>
      </c>
      <c r="F175" s="165" t="s">
        <v>1881</v>
      </c>
      <c r="G175" s="166">
        <v>1130</v>
      </c>
      <c r="H175" s="742">
        <v>41887</v>
      </c>
      <c r="I175" s="189">
        <v>1630</v>
      </c>
      <c r="J175" s="189">
        <v>50914</v>
      </c>
      <c r="K175" s="189">
        <v>1650</v>
      </c>
      <c r="L175" s="189">
        <v>50914</v>
      </c>
      <c r="M175" s="189">
        <v>1805</v>
      </c>
      <c r="N175" s="200" t="s">
        <v>1352</v>
      </c>
      <c r="O175" s="200"/>
      <c r="P175" s="200">
        <v>0.5</v>
      </c>
      <c r="Q175" s="200"/>
      <c r="R175" s="200"/>
      <c r="S175" s="200"/>
      <c r="T175" s="200"/>
      <c r="U175" s="200"/>
      <c r="V175" s="200"/>
      <c r="W175" s="200"/>
      <c r="X175" s="234"/>
      <c r="Y175" s="181">
        <f t="shared" si="6"/>
        <v>0</v>
      </c>
      <c r="Z175" s="181">
        <f t="shared" si="6"/>
        <v>0.5</v>
      </c>
      <c r="AA175" s="181">
        <f t="shared" si="6"/>
        <v>0</v>
      </c>
      <c r="AB175" s="181"/>
      <c r="AC175" s="188"/>
      <c r="AD175" s="168">
        <f t="shared" si="5"/>
        <v>0.5</v>
      </c>
      <c r="AE175" s="169" t="s">
        <v>117</v>
      </c>
      <c r="AF175" s="169" t="s">
        <v>117</v>
      </c>
      <c r="AG175" s="169" t="s">
        <v>103</v>
      </c>
      <c r="AH175" s="169" t="s">
        <v>1882</v>
      </c>
      <c r="AI175" s="169" t="s">
        <v>1375</v>
      </c>
      <c r="AJ175" s="233">
        <v>25000</v>
      </c>
      <c r="AK175" s="168" t="s">
        <v>60</v>
      </c>
    </row>
    <row r="176" spans="1:37" x14ac:dyDescent="0.35">
      <c r="A176" s="234">
        <v>164101414</v>
      </c>
      <c r="B176" s="181" t="s">
        <v>198</v>
      </c>
      <c r="C176" s="181" t="s">
        <v>1691</v>
      </c>
      <c r="D176" s="218" t="s">
        <v>1883</v>
      </c>
      <c r="E176" s="181" t="s">
        <v>1884</v>
      </c>
      <c r="F176" s="181" t="s">
        <v>1885</v>
      </c>
      <c r="G176" s="185">
        <v>250</v>
      </c>
      <c r="H176" s="742">
        <v>41888</v>
      </c>
      <c r="I176" s="189">
        <v>1730</v>
      </c>
      <c r="J176" s="189">
        <v>60914</v>
      </c>
      <c r="K176" s="189">
        <v>1745</v>
      </c>
      <c r="L176" s="189">
        <v>60914</v>
      </c>
      <c r="M176" s="189">
        <v>1900</v>
      </c>
      <c r="N176" s="200" t="s">
        <v>62</v>
      </c>
      <c r="O176" s="200"/>
      <c r="P176" s="200"/>
      <c r="Q176" s="200"/>
      <c r="R176" s="200"/>
      <c r="S176" s="200"/>
      <c r="T176" s="200">
        <v>1</v>
      </c>
      <c r="U176" s="200"/>
      <c r="V176" s="200"/>
      <c r="W176" s="200"/>
      <c r="X176" s="234" t="s">
        <v>1878</v>
      </c>
      <c r="Y176" s="181">
        <f t="shared" si="6"/>
        <v>1</v>
      </c>
      <c r="Z176" s="181">
        <f t="shared" si="6"/>
        <v>0</v>
      </c>
      <c r="AA176" s="181">
        <f t="shared" si="6"/>
        <v>0</v>
      </c>
      <c r="AB176" s="181"/>
      <c r="AC176" s="234" t="s">
        <v>1878</v>
      </c>
      <c r="AD176" s="168">
        <f t="shared" si="5"/>
        <v>1</v>
      </c>
      <c r="AE176" s="177" t="s">
        <v>117</v>
      </c>
      <c r="AF176" s="177" t="s">
        <v>117</v>
      </c>
      <c r="AG176" s="177" t="s">
        <v>493</v>
      </c>
      <c r="AH176" s="169" t="s">
        <v>1487</v>
      </c>
      <c r="AI176" s="232" t="s">
        <v>67</v>
      </c>
      <c r="AJ176" s="233">
        <v>100000</v>
      </c>
      <c r="AK176" s="168" t="s">
        <v>60</v>
      </c>
    </row>
    <row r="177" spans="1:37" x14ac:dyDescent="0.35">
      <c r="A177" s="182">
        <v>165100514</v>
      </c>
      <c r="B177" s="188" t="s">
        <v>208</v>
      </c>
      <c r="C177" s="188" t="s">
        <v>208</v>
      </c>
      <c r="D177" s="218" t="s">
        <v>1849</v>
      </c>
      <c r="E177" s="181" t="s">
        <v>1886</v>
      </c>
      <c r="F177" s="181" t="s">
        <v>1887</v>
      </c>
      <c r="G177" s="185">
        <v>532</v>
      </c>
      <c r="H177" s="746">
        <v>41889</v>
      </c>
      <c r="I177" s="199">
        <v>1300</v>
      </c>
      <c r="J177" s="231">
        <v>70914</v>
      </c>
      <c r="K177" s="199">
        <v>1320</v>
      </c>
      <c r="L177" s="231">
        <v>70914</v>
      </c>
      <c r="M177" s="231">
        <v>1540</v>
      </c>
      <c r="N177" s="200" t="s">
        <v>62</v>
      </c>
      <c r="O177" s="200"/>
      <c r="P177" s="200"/>
      <c r="Q177" s="200"/>
      <c r="R177" s="200"/>
      <c r="S177" s="200"/>
      <c r="T177" s="200">
        <v>1.5</v>
      </c>
      <c r="U177" s="200"/>
      <c r="V177" s="200"/>
      <c r="W177" s="200"/>
      <c r="X177" s="234" t="s">
        <v>1888</v>
      </c>
      <c r="Y177" s="181">
        <f t="shared" si="6"/>
        <v>1.5</v>
      </c>
      <c r="Z177" s="181">
        <f t="shared" si="6"/>
        <v>0</v>
      </c>
      <c r="AA177" s="181">
        <f t="shared" si="6"/>
        <v>0</v>
      </c>
      <c r="AB177" s="181"/>
      <c r="AC177" s="234" t="s">
        <v>1888</v>
      </c>
      <c r="AD177" s="168">
        <f t="shared" si="5"/>
        <v>1.5</v>
      </c>
      <c r="AE177" s="177" t="s">
        <v>117</v>
      </c>
      <c r="AF177" s="177" t="s">
        <v>117</v>
      </c>
      <c r="AG177" s="177" t="s">
        <v>72</v>
      </c>
      <c r="AH177" s="169" t="s">
        <v>1603</v>
      </c>
      <c r="AI177" s="232" t="s">
        <v>73</v>
      </c>
      <c r="AJ177" s="233">
        <v>150000</v>
      </c>
      <c r="AK177" s="168" t="s">
        <v>60</v>
      </c>
    </row>
    <row r="178" spans="1:37" x14ac:dyDescent="0.35">
      <c r="A178" s="234">
        <v>166102914</v>
      </c>
      <c r="B178" s="181" t="s">
        <v>145</v>
      </c>
      <c r="C178" s="181" t="s">
        <v>1475</v>
      </c>
      <c r="D178" s="218" t="s">
        <v>1376</v>
      </c>
      <c r="E178" s="181" t="s">
        <v>1889</v>
      </c>
      <c r="F178" s="181" t="s">
        <v>1890</v>
      </c>
      <c r="G178" s="185">
        <v>650</v>
      </c>
      <c r="H178" s="746">
        <v>41889</v>
      </c>
      <c r="I178" s="199">
        <v>1610</v>
      </c>
      <c r="J178" s="185">
        <v>70914</v>
      </c>
      <c r="K178" s="185">
        <v>1615</v>
      </c>
      <c r="L178" s="231">
        <v>70914</v>
      </c>
      <c r="M178" s="231">
        <v>1830</v>
      </c>
      <c r="N178" s="200" t="s">
        <v>1537</v>
      </c>
      <c r="O178" s="200"/>
      <c r="P178" s="200">
        <v>1</v>
      </c>
      <c r="Q178" s="200"/>
      <c r="R178" s="200"/>
      <c r="S178" s="200"/>
      <c r="T178" s="200"/>
      <c r="U178" s="200"/>
      <c r="V178" s="200"/>
      <c r="W178" s="200"/>
      <c r="X178" s="234"/>
      <c r="Y178" s="181">
        <f t="shared" si="6"/>
        <v>0</v>
      </c>
      <c r="Z178" s="181">
        <f t="shared" si="6"/>
        <v>1</v>
      </c>
      <c r="AA178" s="181">
        <f t="shared" si="6"/>
        <v>0</v>
      </c>
      <c r="AB178" s="181"/>
      <c r="AC178" s="188"/>
      <c r="AD178" s="168">
        <f t="shared" si="5"/>
        <v>1</v>
      </c>
      <c r="AE178" s="169" t="s">
        <v>117</v>
      </c>
      <c r="AF178" s="232" t="s">
        <v>117</v>
      </c>
      <c r="AG178" s="232" t="s">
        <v>57</v>
      </c>
      <c r="AH178" s="232" t="s">
        <v>1891</v>
      </c>
      <c r="AI178" s="232" t="s">
        <v>1503</v>
      </c>
      <c r="AJ178" s="233">
        <v>204000</v>
      </c>
      <c r="AK178" s="168" t="s">
        <v>60</v>
      </c>
    </row>
    <row r="179" spans="1:37" x14ac:dyDescent="0.35">
      <c r="A179" s="234">
        <v>167101414</v>
      </c>
      <c r="B179" s="188" t="s">
        <v>198</v>
      </c>
      <c r="C179" s="188" t="s">
        <v>1691</v>
      </c>
      <c r="D179" s="218" t="s">
        <v>1883</v>
      </c>
      <c r="E179" s="181" t="s">
        <v>1892</v>
      </c>
      <c r="F179" s="181" t="s">
        <v>1893</v>
      </c>
      <c r="G179" s="185">
        <v>292</v>
      </c>
      <c r="H179" s="746">
        <v>41890</v>
      </c>
      <c r="I179" s="231">
        <v>1345</v>
      </c>
      <c r="J179" s="231">
        <v>80914</v>
      </c>
      <c r="K179" s="231">
        <v>1400</v>
      </c>
      <c r="L179" s="231">
        <v>80914</v>
      </c>
      <c r="M179" s="231">
        <v>1930</v>
      </c>
      <c r="N179" s="200" t="s">
        <v>62</v>
      </c>
      <c r="O179" s="200"/>
      <c r="P179" s="200"/>
      <c r="Q179" s="200"/>
      <c r="R179" s="200"/>
      <c r="S179" s="200"/>
      <c r="T179" s="200">
        <v>3</v>
      </c>
      <c r="U179" s="200"/>
      <c r="V179" s="200"/>
      <c r="W179" s="200"/>
      <c r="X179" s="182" t="s">
        <v>1894</v>
      </c>
      <c r="Y179" s="181">
        <f t="shared" si="6"/>
        <v>3</v>
      </c>
      <c r="Z179" s="181">
        <f t="shared" si="6"/>
        <v>0</v>
      </c>
      <c r="AA179" s="181">
        <f t="shared" si="6"/>
        <v>0</v>
      </c>
      <c r="AB179" s="181"/>
      <c r="AC179" s="182" t="s">
        <v>1894</v>
      </c>
      <c r="AD179" s="168">
        <f t="shared" si="5"/>
        <v>3</v>
      </c>
      <c r="AE179" s="177" t="s">
        <v>117</v>
      </c>
      <c r="AF179" s="177" t="s">
        <v>117</v>
      </c>
      <c r="AG179" s="177" t="s">
        <v>72</v>
      </c>
      <c r="AH179" s="169" t="s">
        <v>1496</v>
      </c>
      <c r="AI179" s="232" t="s">
        <v>73</v>
      </c>
      <c r="AJ179" s="233">
        <v>500000</v>
      </c>
      <c r="AK179" s="168" t="s">
        <v>60</v>
      </c>
    </row>
    <row r="180" spans="1:37" x14ac:dyDescent="0.35">
      <c r="A180" s="182">
        <v>168100214</v>
      </c>
      <c r="B180" s="188" t="s">
        <v>49</v>
      </c>
      <c r="C180" s="182" t="s">
        <v>1783</v>
      </c>
      <c r="D180" s="218" t="s">
        <v>1895</v>
      </c>
      <c r="E180" s="181" t="s">
        <v>1896</v>
      </c>
      <c r="F180" s="181" t="s">
        <v>1897</v>
      </c>
      <c r="G180" s="185">
        <v>545</v>
      </c>
      <c r="H180" s="746">
        <v>41890</v>
      </c>
      <c r="I180" s="199">
        <v>1530</v>
      </c>
      <c r="J180" s="185">
        <v>80914</v>
      </c>
      <c r="K180" s="185">
        <v>1540</v>
      </c>
      <c r="L180" s="231">
        <v>80914</v>
      </c>
      <c r="M180" s="231">
        <v>2000</v>
      </c>
      <c r="N180" s="200" t="s">
        <v>1339</v>
      </c>
      <c r="O180" s="200">
        <v>1</v>
      </c>
      <c r="P180" s="200"/>
      <c r="Q180" s="200">
        <v>2.5</v>
      </c>
      <c r="R180" s="200"/>
      <c r="S180" s="200"/>
      <c r="T180" s="200"/>
      <c r="U180" s="200"/>
      <c r="V180" s="200"/>
      <c r="W180" s="181"/>
      <c r="X180" s="182"/>
      <c r="Y180" s="181">
        <f t="shared" si="6"/>
        <v>1</v>
      </c>
      <c r="Z180" s="181">
        <f t="shared" si="6"/>
        <v>0</v>
      </c>
      <c r="AA180" s="181">
        <f t="shared" si="6"/>
        <v>2.5</v>
      </c>
      <c r="AB180" s="181"/>
      <c r="AC180" s="188"/>
      <c r="AD180" s="168">
        <f t="shared" si="5"/>
        <v>3.5</v>
      </c>
      <c r="AE180" s="232" t="s">
        <v>117</v>
      </c>
      <c r="AF180" s="232" t="s">
        <v>117</v>
      </c>
      <c r="AG180" s="232" t="s">
        <v>57</v>
      </c>
      <c r="AH180" s="232" t="s">
        <v>1835</v>
      </c>
      <c r="AI180" s="232" t="s">
        <v>1503</v>
      </c>
      <c r="AJ180" s="233">
        <v>704950</v>
      </c>
      <c r="AK180" s="168" t="s">
        <v>60</v>
      </c>
    </row>
    <row r="181" spans="1:37" x14ac:dyDescent="0.35">
      <c r="A181" s="234">
        <v>169101914</v>
      </c>
      <c r="B181" s="182" t="s">
        <v>49</v>
      </c>
      <c r="C181" s="182" t="s">
        <v>278</v>
      </c>
      <c r="D181" s="218" t="s">
        <v>1898</v>
      </c>
      <c r="E181" s="181" t="s">
        <v>1899</v>
      </c>
      <c r="F181" s="181" t="s">
        <v>1900</v>
      </c>
      <c r="G181" s="185">
        <v>711</v>
      </c>
      <c r="H181" s="746">
        <v>41890</v>
      </c>
      <c r="I181" s="199">
        <v>1430</v>
      </c>
      <c r="J181" s="185">
        <v>80914</v>
      </c>
      <c r="K181" s="185">
        <v>1435</v>
      </c>
      <c r="L181" s="231">
        <v>80914</v>
      </c>
      <c r="M181" s="231">
        <v>1600</v>
      </c>
      <c r="N181" s="200" t="s">
        <v>62</v>
      </c>
      <c r="O181" s="200"/>
      <c r="P181" s="200"/>
      <c r="Q181" s="200"/>
      <c r="R181" s="200"/>
      <c r="S181" s="200"/>
      <c r="T181" s="200">
        <v>0.5</v>
      </c>
      <c r="U181" s="200"/>
      <c r="V181" s="200"/>
      <c r="W181" s="200"/>
      <c r="X181" s="235"/>
      <c r="Y181" s="181">
        <f t="shared" si="6"/>
        <v>0.5</v>
      </c>
      <c r="Z181" s="181">
        <f t="shared" si="6"/>
        <v>0</v>
      </c>
      <c r="AA181" s="181">
        <f t="shared" si="6"/>
        <v>0</v>
      </c>
      <c r="AB181" s="181"/>
      <c r="AC181" s="188"/>
      <c r="AD181" s="168">
        <f t="shared" si="5"/>
        <v>0.5</v>
      </c>
      <c r="AE181" s="232" t="s">
        <v>66</v>
      </c>
      <c r="AF181" s="232" t="s">
        <v>117</v>
      </c>
      <c r="AG181" s="232" t="s">
        <v>628</v>
      </c>
      <c r="AH181" s="232" t="s">
        <v>1901</v>
      </c>
      <c r="AI181" s="232" t="s">
        <v>128</v>
      </c>
      <c r="AJ181" s="233">
        <v>5720</v>
      </c>
      <c r="AK181" s="168" t="s">
        <v>60</v>
      </c>
    </row>
    <row r="182" spans="1:37" x14ac:dyDescent="0.35">
      <c r="A182" s="182">
        <v>170100214</v>
      </c>
      <c r="B182" s="188" t="s">
        <v>49</v>
      </c>
      <c r="C182" s="188" t="s">
        <v>50</v>
      </c>
      <c r="D182" s="218" t="s">
        <v>1902</v>
      </c>
      <c r="E182" s="181" t="s">
        <v>1903</v>
      </c>
      <c r="F182" s="181" t="s">
        <v>1904</v>
      </c>
      <c r="G182" s="185">
        <v>545</v>
      </c>
      <c r="H182" s="746">
        <v>41891</v>
      </c>
      <c r="I182" s="199">
        <v>1430</v>
      </c>
      <c r="J182" s="185">
        <v>90914</v>
      </c>
      <c r="K182" s="185">
        <v>1440</v>
      </c>
      <c r="L182" s="231">
        <v>90914</v>
      </c>
      <c r="M182" s="231">
        <v>1630</v>
      </c>
      <c r="N182" s="200" t="s">
        <v>62</v>
      </c>
      <c r="O182" s="200">
        <v>0.5</v>
      </c>
      <c r="P182" s="200"/>
      <c r="Q182" s="200"/>
      <c r="R182" s="200"/>
      <c r="S182" s="200"/>
      <c r="T182" s="200"/>
      <c r="U182" s="200"/>
      <c r="V182" s="200"/>
      <c r="W182" s="200"/>
      <c r="X182" s="234"/>
      <c r="Y182" s="181">
        <f t="shared" si="6"/>
        <v>0.5</v>
      </c>
      <c r="Z182" s="181">
        <f t="shared" si="6"/>
        <v>0</v>
      </c>
      <c r="AA182" s="181">
        <f t="shared" si="6"/>
        <v>0</v>
      </c>
      <c r="AB182" s="181"/>
      <c r="AC182" s="188"/>
      <c r="AD182" s="168">
        <f t="shared" si="5"/>
        <v>0.5</v>
      </c>
      <c r="AE182" s="169" t="s">
        <v>117</v>
      </c>
      <c r="AF182" s="232" t="s">
        <v>117</v>
      </c>
      <c r="AG182" s="232" t="s">
        <v>57</v>
      </c>
      <c r="AH182" s="232" t="s">
        <v>1835</v>
      </c>
      <c r="AI182" s="232" t="s">
        <v>1503</v>
      </c>
      <c r="AJ182" s="233">
        <v>100900</v>
      </c>
      <c r="AK182" s="168" t="s">
        <v>60</v>
      </c>
    </row>
    <row r="183" spans="1:37" x14ac:dyDescent="0.35">
      <c r="A183" s="234">
        <v>171101214</v>
      </c>
      <c r="B183" s="181" t="s">
        <v>83</v>
      </c>
      <c r="C183" s="181" t="s">
        <v>83</v>
      </c>
      <c r="D183" s="218" t="s">
        <v>1604</v>
      </c>
      <c r="E183" s="181" t="s">
        <v>1905</v>
      </c>
      <c r="F183" s="181" t="s">
        <v>1906</v>
      </c>
      <c r="G183" s="185">
        <v>600</v>
      </c>
      <c r="H183" s="746">
        <v>41891</v>
      </c>
      <c r="I183" s="199">
        <v>1440</v>
      </c>
      <c r="J183" s="185">
        <v>90914</v>
      </c>
      <c r="K183" s="185">
        <v>1450</v>
      </c>
      <c r="L183" s="231">
        <v>90914</v>
      </c>
      <c r="M183" s="231">
        <v>1630</v>
      </c>
      <c r="N183" s="200" t="s">
        <v>1352</v>
      </c>
      <c r="O183" s="200"/>
      <c r="P183" s="200">
        <v>0.5</v>
      </c>
      <c r="Q183" s="200"/>
      <c r="R183" s="200"/>
      <c r="S183" s="200"/>
      <c r="T183" s="200"/>
      <c r="U183" s="200"/>
      <c r="V183" s="200"/>
      <c r="W183" s="200"/>
      <c r="X183" s="234"/>
      <c r="Y183" s="181">
        <f t="shared" si="6"/>
        <v>0</v>
      </c>
      <c r="Z183" s="181">
        <f t="shared" si="6"/>
        <v>0.5</v>
      </c>
      <c r="AA183" s="181">
        <f t="shared" si="6"/>
        <v>0</v>
      </c>
      <c r="AB183" s="181"/>
      <c r="AC183" s="188"/>
      <c r="AD183" s="168">
        <f t="shared" si="5"/>
        <v>0.5</v>
      </c>
      <c r="AE183" s="169" t="s">
        <v>117</v>
      </c>
      <c r="AF183" s="232" t="s">
        <v>117</v>
      </c>
      <c r="AG183" s="232" t="s">
        <v>57</v>
      </c>
      <c r="AH183" s="232" t="s">
        <v>1835</v>
      </c>
      <c r="AI183" s="232" t="s">
        <v>1503</v>
      </c>
      <c r="AJ183" s="233">
        <v>102000</v>
      </c>
      <c r="AK183" s="168" t="s">
        <v>60</v>
      </c>
    </row>
    <row r="184" spans="1:37" x14ac:dyDescent="0.35">
      <c r="A184" s="182">
        <v>172101914</v>
      </c>
      <c r="B184" s="188" t="s">
        <v>49</v>
      </c>
      <c r="C184" s="188" t="s">
        <v>1907</v>
      </c>
      <c r="D184" s="218" t="s">
        <v>1902</v>
      </c>
      <c r="E184" s="181" t="s">
        <v>1908</v>
      </c>
      <c r="F184" s="181" t="s">
        <v>1909</v>
      </c>
      <c r="G184" s="185">
        <v>873</v>
      </c>
      <c r="H184" s="746">
        <v>41892</v>
      </c>
      <c r="I184" s="199">
        <v>1335</v>
      </c>
      <c r="J184" s="185">
        <v>100914</v>
      </c>
      <c r="K184" s="185">
        <v>1340</v>
      </c>
      <c r="L184" s="231">
        <v>100914</v>
      </c>
      <c r="M184" s="231">
        <v>1700</v>
      </c>
      <c r="N184" s="200" t="s">
        <v>1910</v>
      </c>
      <c r="O184" s="200">
        <v>2</v>
      </c>
      <c r="P184" s="200"/>
      <c r="Q184" s="200"/>
      <c r="R184" s="200"/>
      <c r="S184" s="200"/>
      <c r="T184" s="200"/>
      <c r="U184" s="200"/>
      <c r="V184" s="200"/>
      <c r="W184" s="200"/>
      <c r="X184" s="234"/>
      <c r="Y184" s="181">
        <f t="shared" si="6"/>
        <v>2</v>
      </c>
      <c r="Z184" s="181">
        <f t="shared" si="6"/>
        <v>0</v>
      </c>
      <c r="AA184" s="181">
        <f t="shared" si="6"/>
        <v>0</v>
      </c>
      <c r="AB184" s="181"/>
      <c r="AC184" s="188"/>
      <c r="AD184" s="168">
        <f t="shared" si="5"/>
        <v>2</v>
      </c>
      <c r="AE184" s="232" t="s">
        <v>71</v>
      </c>
      <c r="AF184" s="232" t="s">
        <v>117</v>
      </c>
      <c r="AG184" s="232" t="s">
        <v>72</v>
      </c>
      <c r="AH184" s="232" t="s">
        <v>1911</v>
      </c>
      <c r="AI184" s="232" t="s">
        <v>73</v>
      </c>
      <c r="AJ184" s="233">
        <v>10140</v>
      </c>
      <c r="AK184" s="168" t="s">
        <v>60</v>
      </c>
    </row>
    <row r="185" spans="1:37" x14ac:dyDescent="0.35">
      <c r="A185" s="234">
        <v>173</v>
      </c>
      <c r="B185" s="181" t="s">
        <v>198</v>
      </c>
      <c r="C185" s="181" t="s">
        <v>1912</v>
      </c>
      <c r="D185" s="218" t="s">
        <v>1913</v>
      </c>
      <c r="E185" s="181" t="s">
        <v>1914</v>
      </c>
      <c r="F185" s="181" t="s">
        <v>1915</v>
      </c>
      <c r="G185" s="185">
        <v>660</v>
      </c>
      <c r="H185" s="746">
        <v>41892</v>
      </c>
      <c r="I185" s="199">
        <v>1630</v>
      </c>
      <c r="J185" s="231">
        <v>100914</v>
      </c>
      <c r="K185" s="199">
        <v>1650</v>
      </c>
      <c r="L185" s="231">
        <v>100914</v>
      </c>
      <c r="M185" s="231">
        <v>1900</v>
      </c>
      <c r="N185" s="200" t="s">
        <v>62</v>
      </c>
      <c r="O185" s="200"/>
      <c r="P185" s="200"/>
      <c r="Q185" s="200"/>
      <c r="R185" s="200"/>
      <c r="S185" s="200"/>
      <c r="T185" s="200">
        <v>3.5</v>
      </c>
      <c r="U185" s="200"/>
      <c r="V185" s="200"/>
      <c r="W185" s="200"/>
      <c r="X185" s="234" t="s">
        <v>1916</v>
      </c>
      <c r="Y185" s="181">
        <f t="shared" si="6"/>
        <v>3.5</v>
      </c>
      <c r="Z185" s="181">
        <f t="shared" si="6"/>
        <v>0</v>
      </c>
      <c r="AA185" s="181">
        <f t="shared" si="6"/>
        <v>0</v>
      </c>
      <c r="AB185" s="181"/>
      <c r="AC185" s="234" t="s">
        <v>1916</v>
      </c>
      <c r="AD185" s="168">
        <f t="shared" si="5"/>
        <v>3.5</v>
      </c>
      <c r="AE185" s="177" t="s">
        <v>117</v>
      </c>
      <c r="AF185" s="177" t="s">
        <v>117</v>
      </c>
      <c r="AG185" s="177" t="s">
        <v>493</v>
      </c>
      <c r="AH185" s="169" t="s">
        <v>1487</v>
      </c>
      <c r="AI185" s="232" t="s">
        <v>73</v>
      </c>
      <c r="AJ185" s="233">
        <v>350000</v>
      </c>
      <c r="AK185" s="168" t="s">
        <v>60</v>
      </c>
    </row>
    <row r="186" spans="1:37" x14ac:dyDescent="0.35">
      <c r="A186" s="182">
        <v>174100114</v>
      </c>
      <c r="B186" s="188" t="s">
        <v>145</v>
      </c>
      <c r="C186" s="188" t="s">
        <v>145</v>
      </c>
      <c r="D186" s="188" t="s">
        <v>1336</v>
      </c>
      <c r="E186" s="181" t="s">
        <v>1917</v>
      </c>
      <c r="F186" s="181" t="s">
        <v>1918</v>
      </c>
      <c r="G186" s="185">
        <v>570</v>
      </c>
      <c r="H186" s="747">
        <v>41893</v>
      </c>
      <c r="I186" s="199">
        <v>1345</v>
      </c>
      <c r="J186" s="185">
        <v>110914</v>
      </c>
      <c r="K186" s="185">
        <v>1350</v>
      </c>
      <c r="L186" s="237">
        <v>110914</v>
      </c>
      <c r="M186" s="231">
        <v>1600</v>
      </c>
      <c r="N186" s="200" t="s">
        <v>1495</v>
      </c>
      <c r="O186" s="200">
        <v>1.5</v>
      </c>
      <c r="P186" s="200"/>
      <c r="Q186" s="200"/>
      <c r="R186" s="200"/>
      <c r="S186" s="200"/>
      <c r="T186" s="200"/>
      <c r="U186" s="200"/>
      <c r="V186" s="200"/>
      <c r="W186" s="200"/>
      <c r="X186" s="182"/>
      <c r="Y186" s="181">
        <f t="shared" si="6"/>
        <v>1.5</v>
      </c>
      <c r="Z186" s="181">
        <f t="shared" si="6"/>
        <v>0</v>
      </c>
      <c r="AA186" s="181">
        <f t="shared" si="6"/>
        <v>0</v>
      </c>
      <c r="AB186" s="181"/>
      <c r="AC186" s="188"/>
      <c r="AD186" s="168">
        <f t="shared" si="5"/>
        <v>1.5</v>
      </c>
      <c r="AE186" s="169" t="s">
        <v>117</v>
      </c>
      <c r="AF186" s="232" t="s">
        <v>117</v>
      </c>
      <c r="AG186" s="232" t="s">
        <v>57</v>
      </c>
      <c r="AH186" s="232" t="s">
        <v>1919</v>
      </c>
      <c r="AI186" s="232" t="s">
        <v>1503</v>
      </c>
      <c r="AJ186" s="233">
        <v>3408000</v>
      </c>
      <c r="AK186" s="168" t="s">
        <v>60</v>
      </c>
    </row>
    <row r="187" spans="1:37" x14ac:dyDescent="0.35">
      <c r="A187" s="182">
        <v>175100214</v>
      </c>
      <c r="B187" s="188" t="s">
        <v>49</v>
      </c>
      <c r="C187" s="182" t="s">
        <v>1783</v>
      </c>
      <c r="D187" s="188" t="s">
        <v>1895</v>
      </c>
      <c r="E187" s="181" t="s">
        <v>1920</v>
      </c>
      <c r="F187" s="181" t="s">
        <v>1921</v>
      </c>
      <c r="G187" s="185">
        <v>909</v>
      </c>
      <c r="H187" s="747">
        <v>41893</v>
      </c>
      <c r="I187" s="199">
        <v>1430</v>
      </c>
      <c r="J187" s="185">
        <v>110914</v>
      </c>
      <c r="K187" s="185">
        <v>1430</v>
      </c>
      <c r="L187" s="237">
        <v>110914</v>
      </c>
      <c r="M187" s="231">
        <v>1800</v>
      </c>
      <c r="N187" s="200" t="s">
        <v>1352</v>
      </c>
      <c r="O187" s="200"/>
      <c r="P187" s="200">
        <v>0.5</v>
      </c>
      <c r="Q187" s="200">
        <v>0.5</v>
      </c>
      <c r="R187" s="200"/>
      <c r="S187" s="200"/>
      <c r="T187" s="200"/>
      <c r="U187" s="200"/>
      <c r="V187" s="200"/>
      <c r="W187" s="200"/>
      <c r="X187" s="182"/>
      <c r="Y187" s="181">
        <f t="shared" si="6"/>
        <v>0</v>
      </c>
      <c r="Z187" s="181">
        <f t="shared" si="6"/>
        <v>0.5</v>
      </c>
      <c r="AA187" s="181">
        <f t="shared" si="6"/>
        <v>0.5</v>
      </c>
      <c r="AB187" s="181"/>
      <c r="AC187" s="188"/>
      <c r="AD187" s="168">
        <f t="shared" si="5"/>
        <v>1</v>
      </c>
      <c r="AE187" s="169" t="s">
        <v>117</v>
      </c>
      <c r="AF187" s="232" t="s">
        <v>117</v>
      </c>
      <c r="AG187" s="232" t="s">
        <v>57</v>
      </c>
      <c r="AH187" s="232" t="s">
        <v>1835</v>
      </c>
      <c r="AI187" s="232" t="s">
        <v>1503</v>
      </c>
      <c r="AJ187" s="233">
        <v>204000</v>
      </c>
      <c r="AK187" s="168" t="s">
        <v>60</v>
      </c>
    </row>
    <row r="188" spans="1:37" x14ac:dyDescent="0.35">
      <c r="A188" s="182">
        <v>176101614</v>
      </c>
      <c r="B188" s="188" t="s">
        <v>208</v>
      </c>
      <c r="C188" s="188" t="s">
        <v>1513</v>
      </c>
      <c r="D188" s="188" t="s">
        <v>1576</v>
      </c>
      <c r="E188" s="181" t="s">
        <v>1922</v>
      </c>
      <c r="F188" s="181" t="s">
        <v>1923</v>
      </c>
      <c r="G188" s="185">
        <v>390</v>
      </c>
      <c r="H188" s="747">
        <v>41893</v>
      </c>
      <c r="I188" s="199">
        <v>1440</v>
      </c>
      <c r="J188" s="237">
        <v>110914</v>
      </c>
      <c r="K188" s="199">
        <v>1455</v>
      </c>
      <c r="L188" s="237">
        <v>110914</v>
      </c>
      <c r="M188" s="231">
        <v>1630</v>
      </c>
      <c r="N188" s="200" t="s">
        <v>1517</v>
      </c>
      <c r="O188" s="200"/>
      <c r="P188" s="200">
        <v>0.5</v>
      </c>
      <c r="Q188" s="200"/>
      <c r="R188" s="200"/>
      <c r="S188" s="200"/>
      <c r="T188" s="200"/>
      <c r="U188" s="200"/>
      <c r="V188" s="200"/>
      <c r="W188" s="200"/>
      <c r="X188" s="182" t="s">
        <v>1924</v>
      </c>
      <c r="Y188" s="181">
        <f t="shared" si="6"/>
        <v>0</v>
      </c>
      <c r="Z188" s="181">
        <f t="shared" si="6"/>
        <v>0.5</v>
      </c>
      <c r="AA188" s="181">
        <f t="shared" si="6"/>
        <v>0</v>
      </c>
      <c r="AB188" s="181"/>
      <c r="AC188" s="182" t="s">
        <v>1924</v>
      </c>
      <c r="AD188" s="168">
        <f t="shared" si="5"/>
        <v>0.5</v>
      </c>
      <c r="AE188" s="177" t="s">
        <v>117</v>
      </c>
      <c r="AF188" s="177" t="s">
        <v>117</v>
      </c>
      <c r="AG188" s="177" t="s">
        <v>72</v>
      </c>
      <c r="AH188" s="169" t="s">
        <v>1925</v>
      </c>
      <c r="AI188" s="232" t="s">
        <v>65</v>
      </c>
      <c r="AJ188" s="233">
        <v>25000</v>
      </c>
      <c r="AK188" s="168" t="s">
        <v>60</v>
      </c>
    </row>
    <row r="189" spans="1:37" x14ac:dyDescent="0.35">
      <c r="A189" s="182">
        <v>177101214</v>
      </c>
      <c r="B189" s="182" t="s">
        <v>83</v>
      </c>
      <c r="C189" s="182" t="s">
        <v>83</v>
      </c>
      <c r="D189" s="218" t="s">
        <v>1604</v>
      </c>
      <c r="E189" s="181" t="s">
        <v>1926</v>
      </c>
      <c r="F189" s="181" t="s">
        <v>1927</v>
      </c>
      <c r="G189" s="185">
        <v>685</v>
      </c>
      <c r="H189" s="747">
        <v>41893</v>
      </c>
      <c r="I189" s="199">
        <v>1515</v>
      </c>
      <c r="J189" s="185">
        <v>110914</v>
      </c>
      <c r="K189" s="185">
        <v>1520</v>
      </c>
      <c r="L189" s="237">
        <v>110914</v>
      </c>
      <c r="M189" s="231">
        <v>1545</v>
      </c>
      <c r="N189" s="200" t="s">
        <v>1352</v>
      </c>
      <c r="O189" s="200"/>
      <c r="P189" s="200">
        <v>0.5</v>
      </c>
      <c r="Q189" s="200"/>
      <c r="R189" s="200"/>
      <c r="S189" s="200"/>
      <c r="T189" s="200"/>
      <c r="U189" s="200"/>
      <c r="V189" s="200"/>
      <c r="W189" s="200"/>
      <c r="X189" s="182"/>
      <c r="Y189" s="181">
        <f t="shared" si="6"/>
        <v>0</v>
      </c>
      <c r="Z189" s="181">
        <f t="shared" si="6"/>
        <v>0.5</v>
      </c>
      <c r="AA189" s="181">
        <f t="shared" si="6"/>
        <v>0</v>
      </c>
      <c r="AB189" s="181"/>
      <c r="AC189" s="188"/>
      <c r="AD189" s="168">
        <f t="shared" si="5"/>
        <v>0.5</v>
      </c>
      <c r="AE189" s="169" t="s">
        <v>117</v>
      </c>
      <c r="AF189" s="232" t="s">
        <v>117</v>
      </c>
      <c r="AG189" s="232" t="s">
        <v>57</v>
      </c>
      <c r="AH189" s="232" t="s">
        <v>1835</v>
      </c>
      <c r="AI189" s="232" t="s">
        <v>1503</v>
      </c>
      <c r="AJ189" s="233">
        <v>102000</v>
      </c>
      <c r="AK189" s="168" t="s">
        <v>60</v>
      </c>
    </row>
    <row r="190" spans="1:37" x14ac:dyDescent="0.35">
      <c r="A190" s="182">
        <v>178103514</v>
      </c>
      <c r="B190" s="188" t="s">
        <v>1391</v>
      </c>
      <c r="C190" s="188" t="s">
        <v>1391</v>
      </c>
      <c r="D190" s="182" t="s">
        <v>1631</v>
      </c>
      <c r="E190" s="181" t="s">
        <v>1928</v>
      </c>
      <c r="F190" s="181" t="s">
        <v>1929</v>
      </c>
      <c r="G190" s="185">
        <v>820</v>
      </c>
      <c r="H190" s="747">
        <v>41893</v>
      </c>
      <c r="I190" s="199">
        <v>1530</v>
      </c>
      <c r="J190" s="185"/>
      <c r="K190" s="185"/>
      <c r="L190" s="237">
        <v>110914</v>
      </c>
      <c r="M190" s="231">
        <v>1730</v>
      </c>
      <c r="N190" s="200" t="s">
        <v>62</v>
      </c>
      <c r="O190" s="200">
        <v>0.5</v>
      </c>
      <c r="P190" s="200"/>
      <c r="Q190" s="200">
        <v>0.5</v>
      </c>
      <c r="R190" s="200"/>
      <c r="S190" s="200"/>
      <c r="T190" s="200"/>
      <c r="U190" s="200"/>
      <c r="V190" s="200"/>
      <c r="W190" s="200"/>
      <c r="X190" s="182"/>
      <c r="Y190" s="181">
        <f t="shared" si="6"/>
        <v>0.5</v>
      </c>
      <c r="Z190" s="181">
        <f t="shared" si="6"/>
        <v>0</v>
      </c>
      <c r="AA190" s="181">
        <f t="shared" si="6"/>
        <v>0.5</v>
      </c>
      <c r="AB190" s="181"/>
      <c r="AC190" s="188"/>
      <c r="AD190" s="168">
        <f t="shared" si="5"/>
        <v>1</v>
      </c>
      <c r="AE190" s="232" t="s">
        <v>117</v>
      </c>
      <c r="AF190" s="232" t="s">
        <v>117</v>
      </c>
      <c r="AG190" s="232" t="s">
        <v>72</v>
      </c>
      <c r="AH190" s="232" t="s">
        <v>1930</v>
      </c>
      <c r="AI190" s="232" t="s">
        <v>175</v>
      </c>
      <c r="AJ190" s="233">
        <v>40000</v>
      </c>
      <c r="AK190" s="168" t="s">
        <v>60</v>
      </c>
    </row>
    <row r="191" spans="1:37" x14ac:dyDescent="0.35">
      <c r="A191" s="182">
        <v>179100414</v>
      </c>
      <c r="B191" s="188" t="s">
        <v>1931</v>
      </c>
      <c r="C191" s="188" t="s">
        <v>1931</v>
      </c>
      <c r="D191" s="182" t="s">
        <v>1932</v>
      </c>
      <c r="E191" s="181" t="s">
        <v>1933</v>
      </c>
      <c r="F191" s="181" t="s">
        <v>1934</v>
      </c>
      <c r="G191" s="185">
        <v>550</v>
      </c>
      <c r="H191" s="747">
        <v>41893</v>
      </c>
      <c r="I191" s="199">
        <v>1540</v>
      </c>
      <c r="J191" s="185">
        <v>110914</v>
      </c>
      <c r="K191" s="185">
        <v>1605</v>
      </c>
      <c r="L191" s="237">
        <v>110914</v>
      </c>
      <c r="M191" s="231">
        <v>1930</v>
      </c>
      <c r="N191" s="200" t="s">
        <v>1352</v>
      </c>
      <c r="O191" s="200"/>
      <c r="P191" s="200"/>
      <c r="Q191" s="200"/>
      <c r="R191" s="200"/>
      <c r="S191" s="200"/>
      <c r="T191" s="200">
        <v>0.5</v>
      </c>
      <c r="U191" s="200">
        <v>1.5</v>
      </c>
      <c r="V191" s="200"/>
      <c r="W191" s="200"/>
      <c r="X191" s="182"/>
      <c r="Y191" s="181">
        <f t="shared" si="6"/>
        <v>0.5</v>
      </c>
      <c r="Z191" s="181">
        <f t="shared" si="6"/>
        <v>1.5</v>
      </c>
      <c r="AA191" s="181">
        <f t="shared" si="6"/>
        <v>0</v>
      </c>
      <c r="AB191" s="181"/>
      <c r="AC191" s="188"/>
      <c r="AD191" s="168">
        <f t="shared" si="5"/>
        <v>2</v>
      </c>
      <c r="AE191" s="232" t="s">
        <v>117</v>
      </c>
      <c r="AF191" s="232" t="s">
        <v>117</v>
      </c>
      <c r="AG191" s="232" t="s">
        <v>72</v>
      </c>
      <c r="AH191" s="232" t="s">
        <v>1935</v>
      </c>
      <c r="AI191" s="232" t="s">
        <v>1671</v>
      </c>
      <c r="AJ191" s="233">
        <v>60000</v>
      </c>
      <c r="AK191" s="168" t="s">
        <v>60</v>
      </c>
    </row>
    <row r="192" spans="1:37" x14ac:dyDescent="0.35">
      <c r="A192" s="234">
        <v>180101414</v>
      </c>
      <c r="B192" s="188" t="s">
        <v>198</v>
      </c>
      <c r="C192" s="188" t="s">
        <v>1691</v>
      </c>
      <c r="D192" s="218" t="s">
        <v>1883</v>
      </c>
      <c r="E192" s="181" t="s">
        <v>1886</v>
      </c>
      <c r="F192" s="181" t="s">
        <v>1936</v>
      </c>
      <c r="G192" s="185">
        <v>432</v>
      </c>
      <c r="H192" s="746">
        <v>41894</v>
      </c>
      <c r="I192" s="199">
        <v>1245</v>
      </c>
      <c r="J192" s="231">
        <v>120914</v>
      </c>
      <c r="K192" s="199">
        <v>1300</v>
      </c>
      <c r="L192" s="231">
        <v>120914</v>
      </c>
      <c r="M192" s="231">
        <v>1700</v>
      </c>
      <c r="N192" s="200" t="s">
        <v>62</v>
      </c>
      <c r="O192" s="200"/>
      <c r="P192" s="200"/>
      <c r="Q192" s="200"/>
      <c r="R192" s="200"/>
      <c r="S192" s="200"/>
      <c r="T192" s="200">
        <v>1.5</v>
      </c>
      <c r="U192" s="200"/>
      <c r="V192" s="200"/>
      <c r="W192" s="200"/>
      <c r="X192" s="182" t="s">
        <v>1937</v>
      </c>
      <c r="Y192" s="181">
        <f t="shared" si="6"/>
        <v>1.5</v>
      </c>
      <c r="Z192" s="181">
        <f t="shared" si="6"/>
        <v>0</v>
      </c>
      <c r="AA192" s="181">
        <f t="shared" si="6"/>
        <v>0</v>
      </c>
      <c r="AB192" s="181"/>
      <c r="AC192" s="182" t="s">
        <v>1937</v>
      </c>
      <c r="AD192" s="168">
        <f t="shared" si="5"/>
        <v>1.5</v>
      </c>
      <c r="AE192" s="177" t="s">
        <v>117</v>
      </c>
      <c r="AF192" s="177" t="s">
        <v>117</v>
      </c>
      <c r="AG192" s="177" t="s">
        <v>72</v>
      </c>
      <c r="AH192" s="169" t="s">
        <v>1496</v>
      </c>
      <c r="AI192" s="232" t="s">
        <v>73</v>
      </c>
      <c r="AJ192" s="233">
        <v>225000</v>
      </c>
      <c r="AK192" s="168" t="s">
        <v>60</v>
      </c>
    </row>
    <row r="193" spans="1:37" x14ac:dyDescent="0.35">
      <c r="A193" s="234">
        <v>181101914</v>
      </c>
      <c r="B193" s="188" t="s">
        <v>49</v>
      </c>
      <c r="C193" s="188" t="s">
        <v>278</v>
      </c>
      <c r="D193" s="218" t="s">
        <v>1895</v>
      </c>
      <c r="E193" s="181" t="s">
        <v>1938</v>
      </c>
      <c r="F193" s="181" t="s">
        <v>1939</v>
      </c>
      <c r="G193" s="185">
        <v>839</v>
      </c>
      <c r="H193" s="746">
        <v>41895</v>
      </c>
      <c r="I193" s="199">
        <v>1330</v>
      </c>
      <c r="J193" s="185">
        <v>130914</v>
      </c>
      <c r="K193" s="185">
        <v>1340</v>
      </c>
      <c r="L193" s="231">
        <v>130914</v>
      </c>
      <c r="M193" s="231">
        <v>1630</v>
      </c>
      <c r="N193" s="200" t="s">
        <v>1339</v>
      </c>
      <c r="O193" s="200"/>
      <c r="P193" s="200"/>
      <c r="Q193" s="200">
        <v>1</v>
      </c>
      <c r="R193" s="200"/>
      <c r="S193" s="200"/>
      <c r="T193" s="200"/>
      <c r="U193" s="200"/>
      <c r="V193" s="200"/>
      <c r="W193" s="200"/>
      <c r="X193" s="182"/>
      <c r="Y193" s="181">
        <f t="shared" si="6"/>
        <v>0</v>
      </c>
      <c r="Z193" s="181">
        <f t="shared" si="6"/>
        <v>0</v>
      </c>
      <c r="AA193" s="181">
        <f t="shared" si="6"/>
        <v>1</v>
      </c>
      <c r="AB193" s="181"/>
      <c r="AC193" s="188"/>
      <c r="AD193" s="168">
        <f t="shared" si="5"/>
        <v>1</v>
      </c>
      <c r="AE193" s="232" t="s">
        <v>117</v>
      </c>
      <c r="AF193" s="232" t="s">
        <v>117</v>
      </c>
      <c r="AG193" s="232" t="s">
        <v>57</v>
      </c>
      <c r="AH193" s="232" t="s">
        <v>1940</v>
      </c>
      <c r="AI193" s="232" t="s">
        <v>73</v>
      </c>
      <c r="AJ193" s="233">
        <v>12000</v>
      </c>
      <c r="AK193" s="168" t="s">
        <v>60</v>
      </c>
    </row>
    <row r="194" spans="1:37" x14ac:dyDescent="0.35">
      <c r="A194" s="234">
        <v>182102714</v>
      </c>
      <c r="B194" s="188" t="s">
        <v>78</v>
      </c>
      <c r="C194" s="188" t="s">
        <v>79</v>
      </c>
      <c r="D194" s="182" t="s">
        <v>1678</v>
      </c>
      <c r="E194" s="181" t="s">
        <v>1941</v>
      </c>
      <c r="F194" s="181" t="s">
        <v>1942</v>
      </c>
      <c r="G194" s="185">
        <v>925</v>
      </c>
      <c r="H194" s="746">
        <v>41896</v>
      </c>
      <c r="I194" s="199">
        <v>1220</v>
      </c>
      <c r="J194" s="185">
        <v>140914</v>
      </c>
      <c r="K194" s="185">
        <v>1425</v>
      </c>
      <c r="L194" s="231">
        <v>140914</v>
      </c>
      <c r="M194" s="231">
        <v>1900</v>
      </c>
      <c r="N194" s="200" t="s">
        <v>1352</v>
      </c>
      <c r="O194" s="200"/>
      <c r="P194" s="200">
        <v>2</v>
      </c>
      <c r="Q194" s="200">
        <v>2</v>
      </c>
      <c r="R194" s="200"/>
      <c r="S194" s="200"/>
      <c r="T194" s="200"/>
      <c r="U194" s="200"/>
      <c r="V194" s="200"/>
      <c r="W194" s="200"/>
      <c r="X194" s="182"/>
      <c r="Y194" s="181">
        <f t="shared" si="6"/>
        <v>0</v>
      </c>
      <c r="Z194" s="181">
        <f t="shared" si="6"/>
        <v>2</v>
      </c>
      <c r="AA194" s="181">
        <f t="shared" si="6"/>
        <v>2</v>
      </c>
      <c r="AB194" s="181"/>
      <c r="AC194" s="188"/>
      <c r="AD194" s="168">
        <f t="shared" si="5"/>
        <v>4</v>
      </c>
      <c r="AE194" s="232" t="s">
        <v>66</v>
      </c>
      <c r="AF194" s="232" t="s">
        <v>117</v>
      </c>
      <c r="AG194" s="232" t="s">
        <v>554</v>
      </c>
      <c r="AH194" s="232" t="s">
        <v>1943</v>
      </c>
      <c r="AI194" s="232" t="s">
        <v>73</v>
      </c>
      <c r="AJ194" s="233">
        <v>14040</v>
      </c>
      <c r="AK194" s="168" t="s">
        <v>60</v>
      </c>
    </row>
    <row r="195" spans="1:37" x14ac:dyDescent="0.35">
      <c r="A195" s="234">
        <v>183103514</v>
      </c>
      <c r="B195" s="188" t="s">
        <v>1391</v>
      </c>
      <c r="C195" s="188" t="s">
        <v>1391</v>
      </c>
      <c r="D195" s="182" t="s">
        <v>1631</v>
      </c>
      <c r="E195" s="181" t="s">
        <v>1944</v>
      </c>
      <c r="F195" s="181" t="s">
        <v>1945</v>
      </c>
      <c r="G195" s="185">
        <v>580</v>
      </c>
      <c r="H195" s="746">
        <v>41896</v>
      </c>
      <c r="I195" s="199">
        <v>1630</v>
      </c>
      <c r="J195" s="185"/>
      <c r="K195" s="185"/>
      <c r="L195" s="231">
        <v>140914</v>
      </c>
      <c r="M195" s="231">
        <v>1910</v>
      </c>
      <c r="N195" s="200" t="s">
        <v>1352</v>
      </c>
      <c r="O195" s="200">
        <v>0.5</v>
      </c>
      <c r="P195" s="200">
        <v>1</v>
      </c>
      <c r="Q195" s="200"/>
      <c r="R195" s="200"/>
      <c r="S195" s="200"/>
      <c r="T195" s="200"/>
      <c r="U195" s="200"/>
      <c r="V195" s="200"/>
      <c r="W195" s="200"/>
      <c r="X195" s="182"/>
      <c r="Y195" s="181">
        <f t="shared" si="6"/>
        <v>0.5</v>
      </c>
      <c r="Z195" s="181">
        <f t="shared" si="6"/>
        <v>1</v>
      </c>
      <c r="AA195" s="181">
        <f t="shared" si="6"/>
        <v>0</v>
      </c>
      <c r="AB195" s="181"/>
      <c r="AC195" s="188"/>
      <c r="AD195" s="168">
        <f t="shared" si="5"/>
        <v>1.5</v>
      </c>
      <c r="AE195" s="232" t="s">
        <v>117</v>
      </c>
      <c r="AF195" s="232" t="s">
        <v>117</v>
      </c>
      <c r="AG195" s="232" t="s">
        <v>72</v>
      </c>
      <c r="AH195" s="232" t="s">
        <v>1946</v>
      </c>
      <c r="AI195" s="232" t="s">
        <v>175</v>
      </c>
      <c r="AJ195" s="233">
        <v>60000</v>
      </c>
      <c r="AK195" s="168" t="s">
        <v>60</v>
      </c>
    </row>
    <row r="196" spans="1:37" x14ac:dyDescent="0.35">
      <c r="A196" s="182">
        <v>184100114</v>
      </c>
      <c r="B196" s="188" t="s">
        <v>145</v>
      </c>
      <c r="C196" s="188" t="s">
        <v>145</v>
      </c>
      <c r="D196" s="188" t="s">
        <v>1336</v>
      </c>
      <c r="E196" s="181" t="s">
        <v>1947</v>
      </c>
      <c r="F196" s="181" t="s">
        <v>1948</v>
      </c>
      <c r="G196" s="185">
        <v>815</v>
      </c>
      <c r="H196" s="746">
        <v>41897</v>
      </c>
      <c r="I196" s="199">
        <v>1445</v>
      </c>
      <c r="J196" s="185">
        <v>150914</v>
      </c>
      <c r="K196" s="185">
        <v>1455</v>
      </c>
      <c r="L196" s="231">
        <v>150914</v>
      </c>
      <c r="M196" s="231">
        <v>1730</v>
      </c>
      <c r="N196" s="200" t="s">
        <v>1339</v>
      </c>
      <c r="O196" s="200">
        <v>0.5</v>
      </c>
      <c r="P196" s="200"/>
      <c r="Q196" s="200">
        <v>2</v>
      </c>
      <c r="R196" s="200"/>
      <c r="S196" s="200"/>
      <c r="T196" s="200"/>
      <c r="U196" s="200"/>
      <c r="V196" s="200"/>
      <c r="W196" s="200"/>
      <c r="X196" s="182"/>
      <c r="Y196" s="181">
        <f t="shared" si="6"/>
        <v>0.5</v>
      </c>
      <c r="Z196" s="181">
        <f t="shared" si="6"/>
        <v>0</v>
      </c>
      <c r="AA196" s="181">
        <f t="shared" si="6"/>
        <v>2</v>
      </c>
      <c r="AB196" s="181"/>
      <c r="AC196" s="188"/>
      <c r="AD196" s="168">
        <f t="shared" si="5"/>
        <v>2.5</v>
      </c>
      <c r="AE196" s="169" t="s">
        <v>117</v>
      </c>
      <c r="AF196" s="232" t="s">
        <v>117</v>
      </c>
      <c r="AG196" s="232" t="s">
        <v>57</v>
      </c>
      <c r="AH196" s="232" t="s">
        <v>1835</v>
      </c>
      <c r="AI196" s="232" t="s">
        <v>73</v>
      </c>
      <c r="AJ196" s="233">
        <v>505000</v>
      </c>
      <c r="AK196" s="168" t="s">
        <v>60</v>
      </c>
    </row>
    <row r="197" spans="1:37" x14ac:dyDescent="0.35">
      <c r="A197" s="182">
        <v>185101814</v>
      </c>
      <c r="B197" s="188" t="s">
        <v>101</v>
      </c>
      <c r="C197" s="188" t="s">
        <v>101</v>
      </c>
      <c r="D197" s="188" t="s">
        <v>1949</v>
      </c>
      <c r="E197" s="181" t="s">
        <v>1950</v>
      </c>
      <c r="F197" s="181" t="s">
        <v>1951</v>
      </c>
      <c r="G197" s="185">
        <v>1000</v>
      </c>
      <c r="H197" s="746">
        <v>41897</v>
      </c>
      <c r="I197" s="199">
        <v>1950</v>
      </c>
      <c r="J197" s="231">
        <v>150914</v>
      </c>
      <c r="K197" s="199">
        <v>2005</v>
      </c>
      <c r="L197" s="231">
        <v>150914</v>
      </c>
      <c r="M197" s="231">
        <v>2240</v>
      </c>
      <c r="N197" s="200" t="s">
        <v>1352</v>
      </c>
      <c r="O197" s="200">
        <v>1</v>
      </c>
      <c r="P197" s="200">
        <v>1</v>
      </c>
      <c r="Q197" s="200"/>
      <c r="R197" s="200"/>
      <c r="S197" s="200"/>
      <c r="T197" s="200"/>
      <c r="U197" s="200">
        <v>1</v>
      </c>
      <c r="V197" s="200"/>
      <c r="W197" s="200"/>
      <c r="X197" s="182"/>
      <c r="Y197" s="181">
        <f t="shared" si="6"/>
        <v>1</v>
      </c>
      <c r="Z197" s="181">
        <f t="shared" si="6"/>
        <v>2</v>
      </c>
      <c r="AA197" s="181">
        <f t="shared" si="6"/>
        <v>0</v>
      </c>
      <c r="AB197" s="181"/>
      <c r="AC197" s="188"/>
      <c r="AD197" s="168">
        <f t="shared" si="5"/>
        <v>3</v>
      </c>
      <c r="AE197" s="169" t="s">
        <v>117</v>
      </c>
      <c r="AF197" s="169" t="s">
        <v>117</v>
      </c>
      <c r="AG197" s="169" t="s">
        <v>554</v>
      </c>
      <c r="AH197" s="169" t="s">
        <v>1952</v>
      </c>
      <c r="AI197" s="169" t="s">
        <v>1953</v>
      </c>
      <c r="AJ197" s="233">
        <v>140000</v>
      </c>
      <c r="AK197" s="168" t="s">
        <v>60</v>
      </c>
    </row>
    <row r="198" spans="1:37" x14ac:dyDescent="0.35">
      <c r="A198" s="234">
        <v>186101814</v>
      </c>
      <c r="B198" s="188" t="s">
        <v>101</v>
      </c>
      <c r="C198" s="188" t="s">
        <v>101</v>
      </c>
      <c r="D198" s="182" t="s">
        <v>1954</v>
      </c>
      <c r="E198" s="181" t="s">
        <v>1955</v>
      </c>
      <c r="F198" s="181" t="s">
        <v>1956</v>
      </c>
      <c r="G198" s="185">
        <v>880</v>
      </c>
      <c r="H198" s="746">
        <v>41898</v>
      </c>
      <c r="I198" s="199">
        <v>1000</v>
      </c>
      <c r="J198" s="231">
        <v>160914</v>
      </c>
      <c r="K198" s="199">
        <v>1015</v>
      </c>
      <c r="L198" s="231">
        <v>160914</v>
      </c>
      <c r="M198" s="231">
        <v>1200</v>
      </c>
      <c r="N198" s="200" t="s">
        <v>62</v>
      </c>
      <c r="O198" s="200">
        <v>0.2</v>
      </c>
      <c r="P198" s="200"/>
      <c r="Q198" s="200"/>
      <c r="R198" s="200"/>
      <c r="S198" s="200"/>
      <c r="T198" s="200"/>
      <c r="U198" s="200"/>
      <c r="V198" s="200"/>
      <c r="W198" s="200"/>
      <c r="X198" s="182"/>
      <c r="Y198" s="181">
        <f t="shared" si="6"/>
        <v>0.2</v>
      </c>
      <c r="Z198" s="181">
        <f t="shared" si="6"/>
        <v>0</v>
      </c>
      <c r="AA198" s="181">
        <f t="shared" si="6"/>
        <v>0</v>
      </c>
      <c r="AB198" s="181"/>
      <c r="AC198" s="188"/>
      <c r="AD198" s="168">
        <f t="shared" si="5"/>
        <v>0.2</v>
      </c>
      <c r="AE198" s="169" t="s">
        <v>117</v>
      </c>
      <c r="AF198" s="169" t="s">
        <v>117</v>
      </c>
      <c r="AG198" s="232" t="s">
        <v>72</v>
      </c>
      <c r="AH198" s="169" t="s">
        <v>1957</v>
      </c>
      <c r="AI198" s="169" t="s">
        <v>1370</v>
      </c>
      <c r="AJ198" s="233">
        <v>20000</v>
      </c>
      <c r="AK198" s="168" t="s">
        <v>60</v>
      </c>
    </row>
    <row r="199" spans="1:37" x14ac:dyDescent="0.35">
      <c r="A199" s="234">
        <v>187100314</v>
      </c>
      <c r="B199" s="188" t="s">
        <v>198</v>
      </c>
      <c r="C199" s="188" t="s">
        <v>1523</v>
      </c>
      <c r="D199" s="182" t="s">
        <v>1958</v>
      </c>
      <c r="E199" s="181" t="s">
        <v>1959</v>
      </c>
      <c r="F199" s="181" t="s">
        <v>1960</v>
      </c>
      <c r="G199" s="185">
        <v>590</v>
      </c>
      <c r="H199" s="746">
        <v>41898</v>
      </c>
      <c r="I199" s="199">
        <v>1300</v>
      </c>
      <c r="J199" s="231">
        <v>160914</v>
      </c>
      <c r="K199" s="199">
        <v>1345</v>
      </c>
      <c r="L199" s="231">
        <v>160914</v>
      </c>
      <c r="M199" s="231">
        <v>1530</v>
      </c>
      <c r="N199" s="200" t="s">
        <v>62</v>
      </c>
      <c r="O199" s="200"/>
      <c r="P199" s="200"/>
      <c r="Q199" s="200"/>
      <c r="R199" s="200"/>
      <c r="S199" s="200"/>
      <c r="T199" s="200">
        <v>3</v>
      </c>
      <c r="U199" s="200"/>
      <c r="V199" s="200"/>
      <c r="W199" s="200"/>
      <c r="X199" s="182"/>
      <c r="Y199" s="181">
        <f t="shared" si="6"/>
        <v>3</v>
      </c>
      <c r="Z199" s="181">
        <f t="shared" si="6"/>
        <v>0</v>
      </c>
      <c r="AA199" s="181">
        <f t="shared" si="6"/>
        <v>0</v>
      </c>
      <c r="AB199" s="181"/>
      <c r="AC199" s="188"/>
      <c r="AD199" s="168">
        <f t="shared" si="5"/>
        <v>3</v>
      </c>
      <c r="AE199" s="177" t="s">
        <v>117</v>
      </c>
      <c r="AF199" s="177" t="s">
        <v>117</v>
      </c>
      <c r="AG199" s="177" t="s">
        <v>72</v>
      </c>
      <c r="AH199" s="169" t="s">
        <v>1487</v>
      </c>
      <c r="AI199" s="232" t="s">
        <v>73</v>
      </c>
      <c r="AJ199" s="233">
        <v>300000</v>
      </c>
      <c r="AK199" s="168" t="s">
        <v>60</v>
      </c>
    </row>
    <row r="200" spans="1:37" x14ac:dyDescent="0.35">
      <c r="A200" s="234">
        <v>188102314</v>
      </c>
      <c r="B200" s="188" t="s">
        <v>198</v>
      </c>
      <c r="C200" s="188" t="s">
        <v>1961</v>
      </c>
      <c r="D200" s="182" t="s">
        <v>1962</v>
      </c>
      <c r="E200" s="181" t="s">
        <v>1963</v>
      </c>
      <c r="F200" s="181" t="s">
        <v>1964</v>
      </c>
      <c r="G200" s="185">
        <v>618</v>
      </c>
      <c r="H200" s="746">
        <v>41902</v>
      </c>
      <c r="I200" s="199">
        <v>1300</v>
      </c>
      <c r="J200" s="231">
        <v>200914</v>
      </c>
      <c r="K200" s="199">
        <v>1320</v>
      </c>
      <c r="L200" s="231">
        <v>200914</v>
      </c>
      <c r="M200" s="231">
        <v>1445</v>
      </c>
      <c r="N200" s="200" t="s">
        <v>165</v>
      </c>
      <c r="O200" s="200">
        <v>1</v>
      </c>
      <c r="P200" s="200"/>
      <c r="Q200" s="200"/>
      <c r="R200" s="200"/>
      <c r="S200" s="200"/>
      <c r="T200" s="200"/>
      <c r="U200" s="200"/>
      <c r="V200" s="200"/>
      <c r="W200" s="200"/>
      <c r="X200" s="182"/>
      <c r="Y200" s="181">
        <f t="shared" si="6"/>
        <v>1</v>
      </c>
      <c r="Z200" s="181">
        <f t="shared" si="6"/>
        <v>0</v>
      </c>
      <c r="AA200" s="181">
        <f t="shared" si="6"/>
        <v>0</v>
      </c>
      <c r="AB200" s="181"/>
      <c r="AC200" s="188"/>
      <c r="AD200" s="168">
        <f t="shared" si="5"/>
        <v>1</v>
      </c>
      <c r="AE200" s="169" t="s">
        <v>117</v>
      </c>
      <c r="AF200" s="169" t="s">
        <v>117</v>
      </c>
      <c r="AG200" s="169" t="s">
        <v>493</v>
      </c>
      <c r="AH200" s="169" t="s">
        <v>1965</v>
      </c>
      <c r="AI200" s="232" t="s">
        <v>73</v>
      </c>
      <c r="AJ200" s="233">
        <v>50000</v>
      </c>
      <c r="AK200" s="168" t="s">
        <v>60</v>
      </c>
    </row>
    <row r="201" spans="1:37" x14ac:dyDescent="0.35">
      <c r="A201" s="234">
        <v>189101814</v>
      </c>
      <c r="B201" s="188" t="s">
        <v>101</v>
      </c>
      <c r="C201" s="188" t="s">
        <v>101</v>
      </c>
      <c r="D201" s="182" t="s">
        <v>1954</v>
      </c>
      <c r="E201" s="181" t="s">
        <v>1966</v>
      </c>
      <c r="F201" s="181" t="s">
        <v>1967</v>
      </c>
      <c r="G201" s="185">
        <v>908</v>
      </c>
      <c r="H201" s="746">
        <v>41902</v>
      </c>
      <c r="I201" s="199">
        <v>1730</v>
      </c>
      <c r="J201" s="231">
        <v>200914</v>
      </c>
      <c r="K201" s="199">
        <v>1745</v>
      </c>
      <c r="L201" s="231">
        <v>200914</v>
      </c>
      <c r="M201" s="231">
        <v>1845</v>
      </c>
      <c r="N201" s="200" t="s">
        <v>62</v>
      </c>
      <c r="O201" s="200">
        <v>0.5</v>
      </c>
      <c r="P201" s="200"/>
      <c r="Q201" s="200"/>
      <c r="R201" s="200"/>
      <c r="S201" s="200"/>
      <c r="T201" s="200"/>
      <c r="U201" s="200"/>
      <c r="V201" s="200"/>
      <c r="W201" s="200"/>
      <c r="X201" s="182"/>
      <c r="Y201" s="181">
        <f t="shared" si="6"/>
        <v>0.5</v>
      </c>
      <c r="Z201" s="181">
        <f t="shared" si="6"/>
        <v>0</v>
      </c>
      <c r="AA201" s="181">
        <f t="shared" si="6"/>
        <v>0</v>
      </c>
      <c r="AB201" s="181"/>
      <c r="AC201" s="188"/>
      <c r="AD201" s="168">
        <f t="shared" si="5"/>
        <v>0.5</v>
      </c>
      <c r="AE201" s="169" t="s">
        <v>117</v>
      </c>
      <c r="AF201" s="169" t="s">
        <v>117</v>
      </c>
      <c r="AG201" s="232" t="s">
        <v>72</v>
      </c>
      <c r="AH201" s="169" t="s">
        <v>1968</v>
      </c>
      <c r="AI201" s="169" t="s">
        <v>1370</v>
      </c>
      <c r="AJ201" s="233">
        <v>30000</v>
      </c>
      <c r="AK201" s="168" t="s">
        <v>60</v>
      </c>
    </row>
    <row r="202" spans="1:37" x14ac:dyDescent="0.35">
      <c r="A202" s="238">
        <v>190101214</v>
      </c>
      <c r="B202" s="238" t="s">
        <v>83</v>
      </c>
      <c r="C202" s="238" t="s">
        <v>83</v>
      </c>
      <c r="D202" s="239" t="s">
        <v>1336</v>
      </c>
      <c r="E202" s="238" t="s">
        <v>1969</v>
      </c>
      <c r="F202" s="238" t="s">
        <v>1970</v>
      </c>
      <c r="G202" s="240">
        <v>570</v>
      </c>
      <c r="H202" s="743">
        <v>41920</v>
      </c>
      <c r="I202" s="241">
        <v>1215</v>
      </c>
      <c r="J202" s="242">
        <v>81014</v>
      </c>
      <c r="K202" s="242">
        <v>1220</v>
      </c>
      <c r="L202" s="241">
        <v>81014</v>
      </c>
      <c r="M202" s="241">
        <v>1600</v>
      </c>
      <c r="N202" s="243" t="s">
        <v>1352</v>
      </c>
      <c r="O202" s="244"/>
      <c r="P202" s="244">
        <v>1.5</v>
      </c>
      <c r="Q202" s="244"/>
      <c r="R202" s="244"/>
      <c r="S202" s="245"/>
      <c r="T202" s="244"/>
      <c r="U202" s="244"/>
      <c r="V202" s="244"/>
      <c r="W202" s="244"/>
      <c r="X202" s="244"/>
      <c r="Y202" s="246">
        <f>T202+O202</f>
        <v>0</v>
      </c>
      <c r="Z202" s="246">
        <f>U202+P202</f>
        <v>1.5</v>
      </c>
      <c r="AA202" s="246">
        <f>V202+Q202</f>
        <v>0</v>
      </c>
      <c r="AB202" s="246">
        <f>W202+R202</f>
        <v>0</v>
      </c>
      <c r="AC202" s="246"/>
      <c r="AD202" s="168">
        <f t="shared" si="5"/>
        <v>1.5</v>
      </c>
      <c r="AE202" s="247" t="s">
        <v>117</v>
      </c>
      <c r="AF202" s="247" t="s">
        <v>117</v>
      </c>
      <c r="AG202" s="247" t="s">
        <v>57</v>
      </c>
      <c r="AH202" s="247" t="s">
        <v>1971</v>
      </c>
      <c r="AI202" s="247" t="s">
        <v>1972</v>
      </c>
      <c r="AJ202" s="248">
        <v>304000</v>
      </c>
      <c r="AK202" s="246" t="s">
        <v>60</v>
      </c>
    </row>
    <row r="203" spans="1:37" x14ac:dyDescent="0.35">
      <c r="A203" s="238">
        <v>191102314</v>
      </c>
      <c r="B203" s="249" t="s">
        <v>198</v>
      </c>
      <c r="C203" s="238" t="s">
        <v>199</v>
      </c>
      <c r="D203" s="239" t="s">
        <v>1635</v>
      </c>
      <c r="E203" s="238" t="s">
        <v>1973</v>
      </c>
      <c r="F203" s="238" t="s">
        <v>1974</v>
      </c>
      <c r="G203" s="240">
        <v>700</v>
      </c>
      <c r="H203" s="743">
        <v>41920</v>
      </c>
      <c r="I203" s="241">
        <v>1300</v>
      </c>
      <c r="J203" s="242">
        <v>81014</v>
      </c>
      <c r="K203" s="242">
        <v>1320</v>
      </c>
      <c r="L203" s="241">
        <v>81014</v>
      </c>
      <c r="M203" s="241">
        <v>1500</v>
      </c>
      <c r="N203" s="243" t="s">
        <v>165</v>
      </c>
      <c r="O203" s="244">
        <v>1</v>
      </c>
      <c r="P203" s="244"/>
      <c r="Q203" s="244"/>
      <c r="R203" s="244"/>
      <c r="S203" s="245"/>
      <c r="T203" s="244"/>
      <c r="U203" s="244"/>
      <c r="V203" s="244"/>
      <c r="W203" s="244"/>
      <c r="X203" s="244"/>
      <c r="Y203" s="246">
        <f t="shared" ref="Y203:AB208" si="7">T203+O203</f>
        <v>1</v>
      </c>
      <c r="Z203" s="246">
        <f t="shared" si="7"/>
        <v>0</v>
      </c>
      <c r="AA203" s="246">
        <f t="shared" si="7"/>
        <v>0</v>
      </c>
      <c r="AB203" s="246">
        <f t="shared" si="7"/>
        <v>0</v>
      </c>
      <c r="AC203" s="246"/>
      <c r="AD203" s="168">
        <f t="shared" si="5"/>
        <v>1</v>
      </c>
      <c r="AE203" s="247" t="s">
        <v>117</v>
      </c>
      <c r="AF203" s="247" t="s">
        <v>117</v>
      </c>
      <c r="AG203" s="247" t="s">
        <v>57</v>
      </c>
      <c r="AH203" s="247" t="s">
        <v>1975</v>
      </c>
      <c r="AI203" s="247" t="s">
        <v>65</v>
      </c>
      <c r="AJ203" s="248">
        <v>50000</v>
      </c>
      <c r="AK203" s="246" t="s">
        <v>60</v>
      </c>
    </row>
    <row r="204" spans="1:37" x14ac:dyDescent="0.35">
      <c r="A204" s="249">
        <v>192102414</v>
      </c>
      <c r="B204" s="249" t="s">
        <v>198</v>
      </c>
      <c r="C204" s="249" t="s">
        <v>1356</v>
      </c>
      <c r="D204" s="238" t="s">
        <v>1510</v>
      </c>
      <c r="E204" s="249" t="s">
        <v>1976</v>
      </c>
      <c r="F204" s="249" t="s">
        <v>1977</v>
      </c>
      <c r="G204" s="250">
        <v>850</v>
      </c>
      <c r="H204" s="743">
        <v>41924</v>
      </c>
      <c r="I204" s="251">
        <v>1130</v>
      </c>
      <c r="J204" s="251">
        <v>121014</v>
      </c>
      <c r="K204" s="251">
        <v>1150</v>
      </c>
      <c r="L204" s="241">
        <v>121014</v>
      </c>
      <c r="M204" s="241">
        <v>1430</v>
      </c>
      <c r="N204" s="244" t="s">
        <v>62</v>
      </c>
      <c r="O204" s="244"/>
      <c r="P204" s="244"/>
      <c r="Q204" s="244"/>
      <c r="R204" s="244"/>
      <c r="S204" s="244"/>
      <c r="T204" s="244">
        <v>2.5</v>
      </c>
      <c r="U204" s="244"/>
      <c r="V204" s="244"/>
      <c r="W204" s="244"/>
      <c r="X204" s="244" t="s">
        <v>1916</v>
      </c>
      <c r="Y204" s="246">
        <f t="shared" si="7"/>
        <v>2.5</v>
      </c>
      <c r="Z204" s="246">
        <f t="shared" si="7"/>
        <v>0</v>
      </c>
      <c r="AA204" s="246">
        <f t="shared" si="7"/>
        <v>0</v>
      </c>
      <c r="AB204" s="246">
        <f t="shared" si="7"/>
        <v>0</v>
      </c>
      <c r="AC204" s="246"/>
      <c r="AD204" s="168">
        <f t="shared" si="5"/>
        <v>2.5</v>
      </c>
      <c r="AE204" s="247" t="s">
        <v>117</v>
      </c>
      <c r="AF204" s="247" t="s">
        <v>117</v>
      </c>
      <c r="AG204" s="247" t="s">
        <v>72</v>
      </c>
      <c r="AH204" s="247" t="s">
        <v>1978</v>
      </c>
      <c r="AI204" s="247" t="s">
        <v>1370</v>
      </c>
      <c r="AJ204" s="248">
        <v>250000</v>
      </c>
      <c r="AK204" s="246" t="s">
        <v>60</v>
      </c>
    </row>
    <row r="205" spans="1:37" x14ac:dyDescent="0.35">
      <c r="A205" s="238">
        <v>193102314</v>
      </c>
      <c r="B205" s="249" t="s">
        <v>198</v>
      </c>
      <c r="C205" s="238" t="s">
        <v>199</v>
      </c>
      <c r="D205" s="239" t="s">
        <v>1635</v>
      </c>
      <c r="E205" s="238" t="s">
        <v>1979</v>
      </c>
      <c r="F205" s="238" t="s">
        <v>1980</v>
      </c>
      <c r="G205" s="240">
        <v>570</v>
      </c>
      <c r="H205" s="743">
        <v>41932</v>
      </c>
      <c r="I205" s="241">
        <v>1520</v>
      </c>
      <c r="J205" s="242">
        <v>201014</v>
      </c>
      <c r="K205" s="242">
        <v>1540</v>
      </c>
      <c r="L205" s="241">
        <v>201014</v>
      </c>
      <c r="M205" s="241">
        <v>1820</v>
      </c>
      <c r="N205" s="243" t="s">
        <v>1517</v>
      </c>
      <c r="O205" s="244"/>
      <c r="P205" s="244">
        <v>6</v>
      </c>
      <c r="Q205" s="244"/>
      <c r="R205" s="244"/>
      <c r="S205" s="245"/>
      <c r="T205" s="244"/>
      <c r="U205" s="244"/>
      <c r="V205" s="244"/>
      <c r="W205" s="244"/>
      <c r="X205" s="244"/>
      <c r="Y205" s="246">
        <f t="shared" si="7"/>
        <v>0</v>
      </c>
      <c r="Z205" s="246">
        <f t="shared" si="7"/>
        <v>6</v>
      </c>
      <c r="AA205" s="246">
        <f t="shared" si="7"/>
        <v>0</v>
      </c>
      <c r="AB205" s="246">
        <f t="shared" si="7"/>
        <v>0</v>
      </c>
      <c r="AC205" s="246"/>
      <c r="AD205" s="168">
        <f t="shared" si="5"/>
        <v>6</v>
      </c>
      <c r="AE205" s="247" t="s">
        <v>117</v>
      </c>
      <c r="AF205" s="247" t="s">
        <v>117</v>
      </c>
      <c r="AG205" s="247" t="s">
        <v>57</v>
      </c>
      <c r="AH205" s="247" t="s">
        <v>1925</v>
      </c>
      <c r="AI205" s="247" t="s">
        <v>1385</v>
      </c>
      <c r="AJ205" s="248">
        <v>300000</v>
      </c>
      <c r="AK205" s="246" t="s">
        <v>60</v>
      </c>
    </row>
    <row r="206" spans="1:37" x14ac:dyDescent="0.35">
      <c r="A206" s="234">
        <v>194101914</v>
      </c>
      <c r="B206" s="238" t="s">
        <v>49</v>
      </c>
      <c r="C206" s="238" t="s">
        <v>278</v>
      </c>
      <c r="D206" s="234" t="s">
        <v>1858</v>
      </c>
      <c r="E206" s="238" t="s">
        <v>1981</v>
      </c>
      <c r="F206" s="238" t="s">
        <v>1982</v>
      </c>
      <c r="G206" s="242">
        <v>842</v>
      </c>
      <c r="H206" s="745">
        <v>41934</v>
      </c>
      <c r="I206" s="241">
        <v>1520</v>
      </c>
      <c r="J206" s="242">
        <v>221014</v>
      </c>
      <c r="K206" s="242">
        <v>1525</v>
      </c>
      <c r="L206" s="252">
        <v>221014</v>
      </c>
      <c r="M206" s="241">
        <v>1630</v>
      </c>
      <c r="N206" s="243" t="s">
        <v>62</v>
      </c>
      <c r="O206" s="243">
        <v>0.05</v>
      </c>
      <c r="P206" s="243"/>
      <c r="Q206" s="243"/>
      <c r="R206" s="243"/>
      <c r="S206" s="243"/>
      <c r="T206" s="243"/>
      <c r="U206" s="243"/>
      <c r="V206" s="243"/>
      <c r="W206" s="243"/>
      <c r="X206" s="243"/>
      <c r="Y206" s="246">
        <f t="shared" si="7"/>
        <v>0.05</v>
      </c>
      <c r="Z206" s="246">
        <f t="shared" si="7"/>
        <v>0</v>
      </c>
      <c r="AA206" s="246">
        <f t="shared" si="7"/>
        <v>0</v>
      </c>
      <c r="AB206" s="246">
        <f t="shared" si="7"/>
        <v>0</v>
      </c>
      <c r="AC206" s="244"/>
      <c r="AD206" s="168">
        <f>Y206+Z206+AA206+AB206</f>
        <v>0.05</v>
      </c>
      <c r="AE206" s="253" t="s">
        <v>66</v>
      </c>
      <c r="AF206" s="253" t="s">
        <v>117</v>
      </c>
      <c r="AG206" s="253" t="s">
        <v>72</v>
      </c>
      <c r="AH206" s="247" t="s">
        <v>1925</v>
      </c>
      <c r="AI206" s="253" t="s">
        <v>73</v>
      </c>
      <c r="AJ206" s="254">
        <v>2500</v>
      </c>
      <c r="AK206" s="246" t="s">
        <v>60</v>
      </c>
    </row>
    <row r="207" spans="1:37" x14ac:dyDescent="0.35">
      <c r="A207" s="249">
        <v>195100214</v>
      </c>
      <c r="B207" s="249" t="s">
        <v>49</v>
      </c>
      <c r="C207" s="249" t="s">
        <v>1397</v>
      </c>
      <c r="D207" s="249" t="s">
        <v>1366</v>
      </c>
      <c r="E207" s="249" t="s">
        <v>1983</v>
      </c>
      <c r="F207" s="249" t="s">
        <v>1984</v>
      </c>
      <c r="G207" s="250">
        <v>1468</v>
      </c>
      <c r="H207" s="744">
        <v>41937</v>
      </c>
      <c r="I207" s="251">
        <v>1200</v>
      </c>
      <c r="J207" s="251">
        <v>251014</v>
      </c>
      <c r="K207" s="251">
        <v>1215</v>
      </c>
      <c r="L207" s="251">
        <v>251014</v>
      </c>
      <c r="M207" s="251">
        <v>2030</v>
      </c>
      <c r="N207" s="246" t="s">
        <v>1352</v>
      </c>
      <c r="O207" s="255"/>
      <c r="P207" s="246">
        <v>6</v>
      </c>
      <c r="Q207" s="246"/>
      <c r="R207" s="246"/>
      <c r="S207" s="246"/>
      <c r="T207" s="246"/>
      <c r="U207" s="246"/>
      <c r="V207" s="246"/>
      <c r="W207" s="246"/>
      <c r="X207" s="246"/>
      <c r="Y207" s="246">
        <f t="shared" si="7"/>
        <v>0</v>
      </c>
      <c r="Z207" s="246">
        <f t="shared" si="7"/>
        <v>6</v>
      </c>
      <c r="AA207" s="246">
        <f t="shared" si="7"/>
        <v>0</v>
      </c>
      <c r="AB207" s="246">
        <f t="shared" si="7"/>
        <v>0</v>
      </c>
      <c r="AC207" s="246"/>
      <c r="AD207" s="168">
        <f>Y207+Z207+AA207+AB207</f>
        <v>6</v>
      </c>
      <c r="AE207" s="247" t="s">
        <v>117</v>
      </c>
      <c r="AF207" s="247" t="s">
        <v>117</v>
      </c>
      <c r="AG207" s="247" t="s">
        <v>57</v>
      </c>
      <c r="AH207" s="247" t="s">
        <v>1985</v>
      </c>
      <c r="AI207" s="247" t="s">
        <v>1986</v>
      </c>
      <c r="AJ207" s="248">
        <v>15000</v>
      </c>
      <c r="AK207" s="246" t="s">
        <v>60</v>
      </c>
    </row>
    <row r="208" spans="1:37" x14ac:dyDescent="0.35">
      <c r="A208" s="238">
        <v>196101214</v>
      </c>
      <c r="B208" s="238" t="s">
        <v>83</v>
      </c>
      <c r="C208" s="238" t="s">
        <v>83</v>
      </c>
      <c r="D208" s="239" t="s">
        <v>1987</v>
      </c>
      <c r="E208" s="238" t="s">
        <v>1988</v>
      </c>
      <c r="F208" s="238" t="s">
        <v>1989</v>
      </c>
      <c r="G208" s="240">
        <v>555</v>
      </c>
      <c r="H208" s="743">
        <v>41937</v>
      </c>
      <c r="I208" s="241">
        <v>1500</v>
      </c>
      <c r="J208" s="242">
        <v>251014</v>
      </c>
      <c r="K208" s="242">
        <v>1510</v>
      </c>
      <c r="L208" s="241">
        <v>251014</v>
      </c>
      <c r="M208" s="241">
        <v>1630</v>
      </c>
      <c r="N208" s="246" t="s">
        <v>1352</v>
      </c>
      <c r="O208" s="244"/>
      <c r="P208" s="244">
        <v>1</v>
      </c>
      <c r="Q208" s="244"/>
      <c r="R208" s="244"/>
      <c r="S208" s="245"/>
      <c r="T208" s="244"/>
      <c r="U208" s="244"/>
      <c r="V208" s="244"/>
      <c r="W208" s="244"/>
      <c r="X208" s="244"/>
      <c r="Y208" s="246">
        <f t="shared" si="7"/>
        <v>0</v>
      </c>
      <c r="Z208" s="246">
        <f t="shared" si="7"/>
        <v>1</v>
      </c>
      <c r="AA208" s="246">
        <f t="shared" si="7"/>
        <v>0</v>
      </c>
      <c r="AB208" s="246">
        <f t="shared" si="7"/>
        <v>0</v>
      </c>
      <c r="AC208" s="246"/>
      <c r="AD208" s="168">
        <f>Y208+Z208+AA208+AB208</f>
        <v>1</v>
      </c>
      <c r="AE208" s="247" t="s">
        <v>117</v>
      </c>
      <c r="AF208" s="247" t="s">
        <v>117</v>
      </c>
      <c r="AG208" s="247" t="s">
        <v>57</v>
      </c>
      <c r="AH208" s="247" t="s">
        <v>1971</v>
      </c>
      <c r="AI208" s="247" t="s">
        <v>1990</v>
      </c>
      <c r="AJ208" s="248">
        <v>204000</v>
      </c>
      <c r="AK208" s="246" t="s">
        <v>60</v>
      </c>
    </row>
    <row r="209" spans="1:37" ht="15" thickBot="1" x14ac:dyDescent="0.4">
      <c r="A209" s="256" t="s">
        <v>1991</v>
      </c>
      <c r="B209" s="664" t="s">
        <v>1992</v>
      </c>
      <c r="C209" s="664"/>
      <c r="D209" s="664"/>
      <c r="E209" s="664"/>
      <c r="F209" s="664"/>
      <c r="G209" s="664"/>
      <c r="H209" s="664"/>
      <c r="I209" s="664"/>
      <c r="J209" s="664"/>
      <c r="K209" s="664"/>
      <c r="L209" s="664"/>
      <c r="M209" s="664"/>
      <c r="N209" s="665"/>
      <c r="O209" s="257">
        <f>SUM(O13:O208)</f>
        <v>96.48</v>
      </c>
      <c r="P209" s="257">
        <f t="shared" ref="P209:V209" si="8">SUM(P13:P208)</f>
        <v>135.66000000000003</v>
      </c>
      <c r="Q209" s="257">
        <f t="shared" si="8"/>
        <v>39.299999999999997</v>
      </c>
      <c r="R209" s="257"/>
      <c r="S209" s="257"/>
      <c r="T209" s="257">
        <f t="shared" si="8"/>
        <v>69.53</v>
      </c>
      <c r="U209" s="257">
        <f t="shared" si="8"/>
        <v>23.5</v>
      </c>
      <c r="V209" s="257">
        <f t="shared" si="8"/>
        <v>10</v>
      </c>
      <c r="W209" s="257"/>
      <c r="X209" s="257" t="s">
        <v>1993</v>
      </c>
      <c r="Y209" s="257">
        <f>SUM(Y13:Y208)</f>
        <v>169.01000000000002</v>
      </c>
      <c r="Z209" s="257">
        <f>SUM(Z13:Z208)</f>
        <v>158.66000000000003</v>
      </c>
      <c r="AA209" s="257">
        <f>SUM(AA13:AA208)</f>
        <v>46.8</v>
      </c>
      <c r="AB209" s="257"/>
      <c r="AC209" s="257" t="s">
        <v>1993</v>
      </c>
      <c r="AD209" s="257">
        <f>SUM(AD13:AD208)</f>
        <v>374.47</v>
      </c>
      <c r="AE209" s="257"/>
      <c r="AF209" s="257"/>
      <c r="AG209" s="257"/>
      <c r="AH209" s="257"/>
      <c r="AI209" s="257"/>
      <c r="AJ209" s="258">
        <f>SUM(AJ168:AJ208)</f>
        <v>9979010</v>
      </c>
      <c r="AK209" s="257"/>
    </row>
  </sheetData>
  <mergeCells count="22">
    <mergeCell ref="B209:N209"/>
    <mergeCell ref="L10:M10"/>
    <mergeCell ref="O10:AD10"/>
    <mergeCell ref="H11:H12"/>
    <mergeCell ref="I11:I12"/>
    <mergeCell ref="J11:J12"/>
    <mergeCell ref="K11:K12"/>
    <mergeCell ref="L11:L12"/>
    <mergeCell ref="M11:M12"/>
    <mergeCell ref="O11:S11"/>
    <mergeCell ref="T11:X11"/>
    <mergeCell ref="A1:AI1"/>
    <mergeCell ref="A4:AI4"/>
    <mergeCell ref="AF7:AI7"/>
    <mergeCell ref="AF8:AI8"/>
    <mergeCell ref="A10:A12"/>
    <mergeCell ref="B10:B12"/>
    <mergeCell ref="C10:C12"/>
    <mergeCell ref="E10:G10"/>
    <mergeCell ref="H10:I10"/>
    <mergeCell ref="J10:K10"/>
    <mergeCell ref="Y11:AD1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"/>
  <sheetViews>
    <sheetView topLeftCell="D7" zoomScale="134" zoomScaleNormal="134" workbookViewId="0">
      <selection activeCell="H13" sqref="H13:I99"/>
    </sheetView>
  </sheetViews>
  <sheetFormatPr baseColWidth="10" defaultColWidth="11.453125" defaultRowHeight="14.5" x14ac:dyDescent="0.35"/>
  <cols>
    <col min="2" max="2" width="16.453125" customWidth="1"/>
    <col min="3" max="3" width="16.26953125" customWidth="1"/>
    <col min="4" max="4" width="28.7265625" customWidth="1"/>
    <col min="5" max="5" width="14.54296875" customWidth="1"/>
    <col min="6" max="6" width="13" customWidth="1"/>
    <col min="29" max="29" width="42.81640625" customWidth="1"/>
    <col min="34" max="34" width="25.54296875" customWidth="1"/>
    <col min="35" max="35" width="17.54296875" customWidth="1"/>
    <col min="36" max="36" width="19.1796875" customWidth="1"/>
  </cols>
  <sheetData>
    <row r="1" spans="1:37" ht="15.5" x14ac:dyDescent="0.35">
      <c r="A1" s="671" t="s">
        <v>0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</row>
    <row r="2" spans="1:37" ht="15.5" x14ac:dyDescent="0.35">
      <c r="A2" s="259" t="s">
        <v>1994</v>
      </c>
      <c r="B2" s="259"/>
      <c r="C2" s="259"/>
      <c r="D2" s="259"/>
      <c r="E2" s="259"/>
      <c r="F2" s="259"/>
      <c r="G2" s="259"/>
      <c r="H2" s="259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443" t="s">
        <v>1995</v>
      </c>
      <c r="AA2" s="443"/>
      <c r="AB2" s="597"/>
      <c r="AC2" s="597"/>
      <c r="AD2" s="597"/>
      <c r="AE2" s="597"/>
      <c r="AF2" s="597"/>
      <c r="AG2" s="597"/>
      <c r="AH2" s="597"/>
      <c r="AI2" s="597"/>
      <c r="AJ2" s="59"/>
      <c r="AK2" s="59"/>
    </row>
    <row r="3" spans="1:37" ht="15.5" x14ac:dyDescent="0.35">
      <c r="A3" s="259" t="s">
        <v>290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59"/>
      <c r="AK3" s="59"/>
    </row>
    <row r="4" spans="1:37" ht="15.5" x14ac:dyDescent="0.35">
      <c r="A4" s="671" t="s">
        <v>291</v>
      </c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  <c r="AB4" s="671"/>
      <c r="AC4" s="671"/>
      <c r="AD4" s="671"/>
      <c r="AE4" s="671"/>
      <c r="AF4" s="671"/>
      <c r="AG4" s="671"/>
      <c r="AH4" s="671"/>
      <c r="AI4" s="671"/>
      <c r="AJ4" s="59"/>
      <c r="AK4" s="59"/>
    </row>
    <row r="5" spans="1:37" ht="15.5" x14ac:dyDescent="0.35">
      <c r="A5" s="579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139"/>
      <c r="O5" s="579"/>
      <c r="P5" s="579"/>
      <c r="Q5" s="579"/>
      <c r="R5" s="579"/>
      <c r="S5" s="579"/>
      <c r="T5" s="579"/>
      <c r="U5" s="579"/>
      <c r="V5" s="579"/>
      <c r="W5" s="579"/>
      <c r="X5" s="579"/>
      <c r="Y5" s="579"/>
      <c r="Z5" s="579"/>
      <c r="AA5" s="579"/>
      <c r="AB5" s="579"/>
      <c r="AC5" s="579"/>
      <c r="AD5" s="579"/>
      <c r="AE5" s="579"/>
      <c r="AF5" s="579"/>
      <c r="AG5" s="579"/>
      <c r="AH5" s="579"/>
      <c r="AI5" s="579"/>
      <c r="AJ5" s="59"/>
      <c r="AK5" s="59"/>
    </row>
    <row r="6" spans="1:37" ht="15" thickBot="1" x14ac:dyDescent="0.4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62"/>
      <c r="O6" s="59"/>
      <c r="P6" s="59"/>
      <c r="Q6" s="59"/>
      <c r="R6" s="59"/>
      <c r="S6" s="59"/>
      <c r="T6" s="59"/>
      <c r="U6" s="59"/>
      <c r="V6" s="59"/>
      <c r="W6" s="59"/>
      <c r="X6" s="59"/>
      <c r="Y6" s="61"/>
      <c r="Z6" s="61"/>
      <c r="AA6" s="61"/>
      <c r="AB6" s="61"/>
      <c r="AC6" s="61"/>
      <c r="AD6" s="61"/>
      <c r="AE6" s="61"/>
      <c r="AF6" s="59"/>
      <c r="AG6" s="59"/>
      <c r="AH6" s="59"/>
      <c r="AI6" s="59"/>
      <c r="AJ6" s="59"/>
      <c r="AK6" s="59"/>
    </row>
    <row r="7" spans="1:37" ht="16" thickBot="1" x14ac:dyDescent="0.4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72" t="s">
        <v>1996</v>
      </c>
      <c r="AG7" s="673"/>
      <c r="AH7" s="673"/>
      <c r="AI7" s="674"/>
      <c r="AJ7" s="59"/>
      <c r="AK7" s="59"/>
    </row>
    <row r="8" spans="1:37" ht="16" thickBot="1" x14ac:dyDescent="0.4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75" t="s">
        <v>1997</v>
      </c>
      <c r="AG8" s="676"/>
      <c r="AH8" s="677"/>
      <c r="AI8" s="678"/>
      <c r="AJ8" s="59"/>
      <c r="AK8" s="59"/>
    </row>
    <row r="9" spans="1:37" ht="15" thickBot="1" x14ac:dyDescent="0.4">
      <c r="A9" s="613"/>
      <c r="B9" s="613"/>
      <c r="C9" s="613"/>
      <c r="D9" s="613"/>
      <c r="E9" s="613"/>
      <c r="F9" s="613"/>
      <c r="G9" s="613"/>
      <c r="H9" s="613"/>
      <c r="I9" s="613"/>
      <c r="J9" s="613"/>
      <c r="K9" s="613"/>
      <c r="L9" s="613"/>
      <c r="M9" s="613"/>
      <c r="N9" s="613"/>
      <c r="O9" s="613"/>
      <c r="P9" s="613"/>
      <c r="Q9" s="613"/>
      <c r="R9" s="613"/>
      <c r="S9" s="613"/>
      <c r="T9" s="613"/>
      <c r="U9" s="613"/>
      <c r="V9" s="613"/>
      <c r="W9" s="613"/>
      <c r="X9" s="613"/>
      <c r="Y9" s="613"/>
      <c r="Z9" s="613"/>
      <c r="AA9" s="613"/>
      <c r="AB9" s="613"/>
      <c r="AC9" s="613"/>
      <c r="AD9" s="613"/>
      <c r="AE9" s="613"/>
      <c r="AF9" s="613"/>
      <c r="AG9" s="613"/>
      <c r="AH9" s="614"/>
      <c r="AI9" s="615"/>
      <c r="AJ9" s="59"/>
      <c r="AK9" s="59"/>
    </row>
    <row r="10" spans="1:37" ht="15" thickBot="1" x14ac:dyDescent="0.4">
      <c r="A10" s="670" t="s">
        <v>4</v>
      </c>
      <c r="B10" s="683" t="s">
        <v>5</v>
      </c>
      <c r="C10" s="670" t="s">
        <v>6</v>
      </c>
      <c r="D10" s="596" t="s">
        <v>1322</v>
      </c>
      <c r="E10" s="667" t="s">
        <v>8</v>
      </c>
      <c r="F10" s="668"/>
      <c r="G10" s="669"/>
      <c r="H10" s="670" t="s">
        <v>9</v>
      </c>
      <c r="I10" s="670"/>
      <c r="J10" s="670" t="s">
        <v>10</v>
      </c>
      <c r="K10" s="670"/>
      <c r="L10" s="670" t="s">
        <v>11</v>
      </c>
      <c r="M10" s="670"/>
      <c r="N10" s="596" t="s">
        <v>12</v>
      </c>
      <c r="O10" s="670" t="s">
        <v>13</v>
      </c>
      <c r="P10" s="670"/>
      <c r="Q10" s="670"/>
      <c r="R10" s="670"/>
      <c r="S10" s="670"/>
      <c r="T10" s="670"/>
      <c r="U10" s="670"/>
      <c r="V10" s="670"/>
      <c r="W10" s="670"/>
      <c r="X10" s="670"/>
      <c r="Y10" s="670"/>
      <c r="Z10" s="670"/>
      <c r="AA10" s="670"/>
      <c r="AB10" s="670"/>
      <c r="AC10" s="670"/>
      <c r="AD10" s="670"/>
      <c r="AE10" s="596"/>
      <c r="AF10" s="596"/>
      <c r="AG10" s="260"/>
      <c r="AH10" s="261" t="s">
        <v>14</v>
      </c>
      <c r="AI10" s="262" t="s">
        <v>15</v>
      </c>
      <c r="AJ10" s="599" t="s">
        <v>16</v>
      </c>
      <c r="AK10" s="596" t="s">
        <v>17</v>
      </c>
    </row>
    <row r="11" spans="1:37" ht="15" thickBot="1" x14ac:dyDescent="0.4">
      <c r="A11" s="682"/>
      <c r="B11" s="684"/>
      <c r="C11" s="682"/>
      <c r="D11" s="598" t="s">
        <v>18</v>
      </c>
      <c r="E11" s="263" t="s">
        <v>19</v>
      </c>
      <c r="F11" s="263" t="s">
        <v>20</v>
      </c>
      <c r="G11" s="264" t="s">
        <v>21</v>
      </c>
      <c r="H11" s="670" t="s">
        <v>22</v>
      </c>
      <c r="I11" s="670" t="s">
        <v>23</v>
      </c>
      <c r="J11" s="683" t="s">
        <v>22</v>
      </c>
      <c r="K11" s="670" t="s">
        <v>23</v>
      </c>
      <c r="L11" s="670" t="s">
        <v>22</v>
      </c>
      <c r="M11" s="683" t="s">
        <v>23</v>
      </c>
      <c r="N11" s="598"/>
      <c r="O11" s="670" t="s">
        <v>24</v>
      </c>
      <c r="P11" s="670"/>
      <c r="Q11" s="670"/>
      <c r="R11" s="670"/>
      <c r="S11" s="670"/>
      <c r="T11" s="670" t="s">
        <v>25</v>
      </c>
      <c r="U11" s="670"/>
      <c r="V11" s="670"/>
      <c r="W11" s="670"/>
      <c r="X11" s="670"/>
      <c r="Y11" s="670" t="s">
        <v>26</v>
      </c>
      <c r="Z11" s="670"/>
      <c r="AA11" s="670"/>
      <c r="AB11" s="670"/>
      <c r="AC11" s="670"/>
      <c r="AD11" s="670"/>
      <c r="AE11" s="598" t="s">
        <v>294</v>
      </c>
      <c r="AF11" s="598" t="s">
        <v>295</v>
      </c>
      <c r="AG11" s="265" t="s">
        <v>29</v>
      </c>
      <c r="AH11" s="266" t="s">
        <v>30</v>
      </c>
      <c r="AI11" s="267" t="s">
        <v>31</v>
      </c>
      <c r="AJ11" s="600" t="s">
        <v>32</v>
      </c>
      <c r="AK11" s="598" t="s">
        <v>296</v>
      </c>
    </row>
    <row r="12" spans="1:37" x14ac:dyDescent="0.35">
      <c r="A12" s="682"/>
      <c r="B12" s="684"/>
      <c r="C12" s="686"/>
      <c r="D12" s="598" t="s">
        <v>34</v>
      </c>
      <c r="E12" s="268" t="s">
        <v>35</v>
      </c>
      <c r="F12" s="269" t="s">
        <v>36</v>
      </c>
      <c r="G12" s="270" t="s">
        <v>37</v>
      </c>
      <c r="H12" s="682"/>
      <c r="I12" s="682"/>
      <c r="J12" s="684"/>
      <c r="K12" s="682"/>
      <c r="L12" s="682"/>
      <c r="M12" s="685"/>
      <c r="N12" s="596" t="s">
        <v>297</v>
      </c>
      <c r="O12" s="599" t="s">
        <v>39</v>
      </c>
      <c r="P12" s="596" t="s">
        <v>40</v>
      </c>
      <c r="Q12" s="271" t="s">
        <v>41</v>
      </c>
      <c r="R12" s="596" t="s">
        <v>42</v>
      </c>
      <c r="S12" s="599" t="s">
        <v>43</v>
      </c>
      <c r="T12" s="596" t="s">
        <v>39</v>
      </c>
      <c r="U12" s="596" t="s">
        <v>40</v>
      </c>
      <c r="V12" s="596" t="s">
        <v>41</v>
      </c>
      <c r="W12" s="596" t="s">
        <v>42</v>
      </c>
      <c r="X12" s="596" t="s">
        <v>43</v>
      </c>
      <c r="Y12" s="596" t="s">
        <v>39</v>
      </c>
      <c r="Z12" s="596" t="s">
        <v>40</v>
      </c>
      <c r="AA12" s="596" t="s">
        <v>41</v>
      </c>
      <c r="AB12" s="596" t="s">
        <v>42</v>
      </c>
      <c r="AC12" s="596" t="s">
        <v>43</v>
      </c>
      <c r="AD12" s="596" t="s">
        <v>44</v>
      </c>
      <c r="AE12" s="598"/>
      <c r="AF12" s="601"/>
      <c r="AG12" s="272" t="s">
        <v>298</v>
      </c>
      <c r="AH12" s="273" t="s">
        <v>46</v>
      </c>
      <c r="AI12" s="274" t="s">
        <v>299</v>
      </c>
      <c r="AJ12" s="600" t="s">
        <v>48</v>
      </c>
      <c r="AK12" s="275"/>
    </row>
    <row r="13" spans="1:37" s="283" customFormat="1" x14ac:dyDescent="0.35">
      <c r="A13" s="276">
        <v>1100515</v>
      </c>
      <c r="B13" s="276" t="s">
        <v>208</v>
      </c>
      <c r="C13" s="276" t="s">
        <v>208</v>
      </c>
      <c r="D13" s="276" t="s">
        <v>1998</v>
      </c>
      <c r="E13" s="276" t="s">
        <v>1999</v>
      </c>
      <c r="F13" s="277" t="s">
        <v>2000</v>
      </c>
      <c r="G13" s="278">
        <v>266</v>
      </c>
      <c r="H13" s="749">
        <v>42185</v>
      </c>
      <c r="I13" s="279">
        <v>1200</v>
      </c>
      <c r="J13" s="280">
        <v>300615</v>
      </c>
      <c r="K13" s="280">
        <v>1220</v>
      </c>
      <c r="L13" s="279">
        <v>300615</v>
      </c>
      <c r="M13" s="279">
        <v>1400</v>
      </c>
      <c r="N13" s="278" t="s">
        <v>277</v>
      </c>
      <c r="O13" s="278">
        <v>0</v>
      </c>
      <c r="P13" s="278">
        <v>0</v>
      </c>
      <c r="Q13" s="278">
        <v>0</v>
      </c>
      <c r="R13" s="278">
        <v>0</v>
      </c>
      <c r="S13" s="278">
        <v>0</v>
      </c>
      <c r="T13" s="278">
        <v>0.5</v>
      </c>
      <c r="U13" s="278">
        <v>0</v>
      </c>
      <c r="V13" s="278">
        <v>0</v>
      </c>
      <c r="W13" s="278">
        <v>0</v>
      </c>
      <c r="X13" s="278">
        <v>0</v>
      </c>
      <c r="Y13" s="278">
        <f>T13+O13</f>
        <v>0.5</v>
      </c>
      <c r="Z13" s="278">
        <f>U13+P13</f>
        <v>0</v>
      </c>
      <c r="AA13" s="278">
        <f>V13+Q13</f>
        <v>0</v>
      </c>
      <c r="AB13" s="278">
        <f>W13+R13</f>
        <v>0</v>
      </c>
      <c r="AC13" s="278">
        <f>X13+S13</f>
        <v>0</v>
      </c>
      <c r="AD13" s="278">
        <f>Y13+Z13+AA13+AB13</f>
        <v>0.5</v>
      </c>
      <c r="AE13" s="276" t="s">
        <v>117</v>
      </c>
      <c r="AF13" s="276" t="s">
        <v>117</v>
      </c>
      <c r="AG13" s="276" t="s">
        <v>72</v>
      </c>
      <c r="AH13" s="281" t="s">
        <v>2001</v>
      </c>
      <c r="AI13" s="281" t="s">
        <v>73</v>
      </c>
      <c r="AJ13" s="282">
        <v>50000</v>
      </c>
      <c r="AK13" s="276" t="s">
        <v>60</v>
      </c>
    </row>
    <row r="14" spans="1:37" s="283" customFormat="1" x14ac:dyDescent="0.35">
      <c r="A14" s="276">
        <v>2100515</v>
      </c>
      <c r="B14" s="276" t="s">
        <v>208</v>
      </c>
      <c r="C14" s="276" t="s">
        <v>208</v>
      </c>
      <c r="D14" s="276" t="s">
        <v>1328</v>
      </c>
      <c r="E14" s="276" t="s">
        <v>2002</v>
      </c>
      <c r="F14" s="276" t="s">
        <v>2003</v>
      </c>
      <c r="G14" s="278">
        <v>340</v>
      </c>
      <c r="H14" s="749">
        <v>42185</v>
      </c>
      <c r="I14" s="279">
        <v>1700</v>
      </c>
      <c r="J14" s="284"/>
      <c r="K14" s="284"/>
      <c r="L14" s="279">
        <v>300614</v>
      </c>
      <c r="M14" s="279">
        <v>2000</v>
      </c>
      <c r="N14" s="278" t="s">
        <v>1517</v>
      </c>
      <c r="O14" s="278">
        <v>0</v>
      </c>
      <c r="P14" s="278">
        <v>5</v>
      </c>
      <c r="Q14" s="278">
        <v>0</v>
      </c>
      <c r="R14" s="278">
        <v>0</v>
      </c>
      <c r="S14" s="278">
        <v>0</v>
      </c>
      <c r="T14" s="278">
        <v>0</v>
      </c>
      <c r="U14" s="278">
        <v>0</v>
      </c>
      <c r="V14" s="278">
        <v>0</v>
      </c>
      <c r="W14" s="278">
        <v>0</v>
      </c>
      <c r="X14" s="278">
        <v>0</v>
      </c>
      <c r="Y14" s="278">
        <f t="shared" ref="Y14:AA77" si="0">T14+O14</f>
        <v>0</v>
      </c>
      <c r="Z14" s="278">
        <f t="shared" si="0"/>
        <v>5</v>
      </c>
      <c r="AA14" s="278">
        <f t="shared" si="0"/>
        <v>0</v>
      </c>
      <c r="AB14" s="278">
        <f>R14+W14</f>
        <v>0</v>
      </c>
      <c r="AC14" s="278">
        <v>0</v>
      </c>
      <c r="AD14" s="278">
        <f t="shared" ref="AD14:AD77" si="1">Y14+Z14+AA14+AB14</f>
        <v>5</v>
      </c>
      <c r="AE14" s="276" t="s">
        <v>2004</v>
      </c>
      <c r="AF14" s="276" t="s">
        <v>175</v>
      </c>
      <c r="AG14" s="276" t="s">
        <v>57</v>
      </c>
      <c r="AH14" s="281" t="s">
        <v>2001</v>
      </c>
      <c r="AI14" s="281"/>
      <c r="AJ14" s="282">
        <v>250000</v>
      </c>
      <c r="AK14" s="276" t="s">
        <v>60</v>
      </c>
    </row>
    <row r="15" spans="1:37" s="283" customFormat="1" x14ac:dyDescent="0.35">
      <c r="A15" s="276">
        <v>3103115</v>
      </c>
      <c r="B15" s="285" t="s">
        <v>208</v>
      </c>
      <c r="C15" s="285" t="s">
        <v>2005</v>
      </c>
      <c r="D15" s="286" t="s">
        <v>2006</v>
      </c>
      <c r="E15" s="276" t="s">
        <v>2007</v>
      </c>
      <c r="F15" s="276" t="s">
        <v>2008</v>
      </c>
      <c r="G15" s="278">
        <v>500</v>
      </c>
      <c r="H15" s="750">
        <v>42188</v>
      </c>
      <c r="I15" s="284">
        <v>1230</v>
      </c>
      <c r="J15" s="284"/>
      <c r="K15" s="284"/>
      <c r="L15" s="284">
        <v>30715</v>
      </c>
      <c r="M15" s="279">
        <v>2030</v>
      </c>
      <c r="N15" s="278" t="s">
        <v>1517</v>
      </c>
      <c r="O15" s="278">
        <v>0</v>
      </c>
      <c r="P15" s="278">
        <v>5.5</v>
      </c>
      <c r="Q15" s="278">
        <v>0</v>
      </c>
      <c r="R15" s="278">
        <v>0</v>
      </c>
      <c r="S15" s="278">
        <v>0</v>
      </c>
      <c r="T15" s="278">
        <v>0</v>
      </c>
      <c r="U15" s="278">
        <v>0</v>
      </c>
      <c r="V15" s="278">
        <v>0</v>
      </c>
      <c r="W15" s="278">
        <v>0</v>
      </c>
      <c r="X15" s="278">
        <v>0</v>
      </c>
      <c r="Y15" s="278">
        <f t="shared" si="0"/>
        <v>0</v>
      </c>
      <c r="Z15" s="278">
        <f t="shared" si="0"/>
        <v>5.5</v>
      </c>
      <c r="AA15" s="278">
        <f t="shared" si="0"/>
        <v>0</v>
      </c>
      <c r="AB15" s="278">
        <f t="shared" ref="AB15:AB64" si="2">R15+W15</f>
        <v>0</v>
      </c>
      <c r="AC15" s="278">
        <v>0</v>
      </c>
      <c r="AD15" s="278">
        <f t="shared" si="1"/>
        <v>5.5</v>
      </c>
      <c r="AE15" s="276" t="s">
        <v>2004</v>
      </c>
      <c r="AF15" s="276" t="s">
        <v>175</v>
      </c>
      <c r="AG15" s="276" t="s">
        <v>57</v>
      </c>
      <c r="AH15" s="276" t="s">
        <v>1521</v>
      </c>
      <c r="AI15" s="276"/>
      <c r="AJ15" s="287">
        <v>275000</v>
      </c>
      <c r="AK15" s="276" t="s">
        <v>305</v>
      </c>
    </row>
    <row r="16" spans="1:37" s="283" customFormat="1" x14ac:dyDescent="0.35">
      <c r="A16" s="276">
        <v>4100515</v>
      </c>
      <c r="B16" s="286" t="s">
        <v>208</v>
      </c>
      <c r="C16" s="286" t="s">
        <v>208</v>
      </c>
      <c r="D16" s="286" t="s">
        <v>2006</v>
      </c>
      <c r="E16" s="276" t="s">
        <v>2009</v>
      </c>
      <c r="F16" s="276" t="s">
        <v>2010</v>
      </c>
      <c r="G16" s="278">
        <v>450</v>
      </c>
      <c r="H16" s="750">
        <v>42189</v>
      </c>
      <c r="I16" s="284">
        <v>1430</v>
      </c>
      <c r="J16" s="284"/>
      <c r="K16" s="284"/>
      <c r="L16" s="279">
        <v>40715</v>
      </c>
      <c r="M16" s="279">
        <v>1900</v>
      </c>
      <c r="N16" s="278" t="s">
        <v>1517</v>
      </c>
      <c r="O16" s="278">
        <v>0</v>
      </c>
      <c r="P16" s="278">
        <v>3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f t="shared" si="0"/>
        <v>0</v>
      </c>
      <c r="Z16" s="278">
        <f t="shared" si="0"/>
        <v>3</v>
      </c>
      <c r="AA16" s="278">
        <f t="shared" si="0"/>
        <v>0</v>
      </c>
      <c r="AB16" s="278">
        <f t="shared" si="2"/>
        <v>0</v>
      </c>
      <c r="AC16" s="278">
        <v>0</v>
      </c>
      <c r="AD16" s="278">
        <f t="shared" si="1"/>
        <v>3</v>
      </c>
      <c r="AE16" s="276" t="s">
        <v>2004</v>
      </c>
      <c r="AF16" s="276" t="s">
        <v>175</v>
      </c>
      <c r="AG16" s="276" t="s">
        <v>57</v>
      </c>
      <c r="AH16" s="276" t="s">
        <v>1417</v>
      </c>
      <c r="AI16" s="276"/>
      <c r="AJ16" s="287">
        <v>150000</v>
      </c>
      <c r="AK16" s="276" t="s">
        <v>305</v>
      </c>
    </row>
    <row r="17" spans="1:37" s="283" customFormat="1" x14ac:dyDescent="0.35">
      <c r="A17" s="288" t="s">
        <v>2011</v>
      </c>
      <c r="B17" s="286" t="s">
        <v>2012</v>
      </c>
      <c r="C17" s="286" t="s">
        <v>2012</v>
      </c>
      <c r="D17" s="286" t="s">
        <v>2006</v>
      </c>
      <c r="E17" s="276" t="s">
        <v>2013</v>
      </c>
      <c r="F17" s="276" t="s">
        <v>2014</v>
      </c>
      <c r="G17" s="278">
        <v>400</v>
      </c>
      <c r="H17" s="750">
        <v>42189</v>
      </c>
      <c r="I17" s="284">
        <v>1830</v>
      </c>
      <c r="J17" s="284"/>
      <c r="K17" s="284"/>
      <c r="L17" s="279">
        <v>50715</v>
      </c>
      <c r="M17" s="279">
        <v>800</v>
      </c>
      <c r="N17" s="278" t="s">
        <v>1517</v>
      </c>
      <c r="O17" s="278">
        <v>0</v>
      </c>
      <c r="P17" s="278">
        <v>3</v>
      </c>
      <c r="Q17" s="278">
        <v>0</v>
      </c>
      <c r="R17" s="278">
        <v>0</v>
      </c>
      <c r="S17" s="278">
        <v>0</v>
      </c>
      <c r="T17" s="278">
        <v>0</v>
      </c>
      <c r="U17" s="278">
        <v>0</v>
      </c>
      <c r="V17" s="278">
        <v>0</v>
      </c>
      <c r="W17" s="278">
        <v>0</v>
      </c>
      <c r="X17" s="278">
        <v>0</v>
      </c>
      <c r="Y17" s="278">
        <f t="shared" si="0"/>
        <v>0</v>
      </c>
      <c r="Z17" s="278">
        <f t="shared" si="0"/>
        <v>3</v>
      </c>
      <c r="AA17" s="278">
        <f t="shared" si="0"/>
        <v>0</v>
      </c>
      <c r="AB17" s="278">
        <f t="shared" si="2"/>
        <v>0</v>
      </c>
      <c r="AC17" s="278">
        <v>0</v>
      </c>
      <c r="AD17" s="278">
        <f t="shared" si="1"/>
        <v>3</v>
      </c>
      <c r="AE17" s="276" t="s">
        <v>2004</v>
      </c>
      <c r="AF17" s="276" t="s">
        <v>175</v>
      </c>
      <c r="AG17" s="276" t="s">
        <v>57</v>
      </c>
      <c r="AH17" s="276" t="s">
        <v>1460</v>
      </c>
      <c r="AI17" s="276"/>
      <c r="AJ17" s="287">
        <v>15000</v>
      </c>
      <c r="AK17" s="276" t="s">
        <v>305</v>
      </c>
    </row>
    <row r="18" spans="1:37" s="283" customFormat="1" x14ac:dyDescent="0.35">
      <c r="A18" s="276">
        <v>6102915</v>
      </c>
      <c r="B18" s="289" t="s">
        <v>2015</v>
      </c>
      <c r="C18" s="289" t="s">
        <v>1424</v>
      </c>
      <c r="D18" s="289" t="s">
        <v>2016</v>
      </c>
      <c r="E18" s="276" t="s">
        <v>2017</v>
      </c>
      <c r="F18" s="276" t="s">
        <v>2018</v>
      </c>
      <c r="G18" s="278">
        <v>639</v>
      </c>
      <c r="H18" s="750">
        <v>42191</v>
      </c>
      <c r="I18" s="284">
        <v>1930</v>
      </c>
      <c r="J18" s="284"/>
      <c r="K18" s="284"/>
      <c r="L18" s="279">
        <v>60715</v>
      </c>
      <c r="M18" s="279">
        <v>2100</v>
      </c>
      <c r="N18" s="278" t="s">
        <v>62</v>
      </c>
      <c r="O18" s="278">
        <v>1.5</v>
      </c>
      <c r="P18" s="278">
        <v>0</v>
      </c>
      <c r="Q18" s="278">
        <v>0</v>
      </c>
      <c r="R18" s="278">
        <v>0</v>
      </c>
      <c r="S18" s="278">
        <v>0</v>
      </c>
      <c r="T18" s="278">
        <v>0</v>
      </c>
      <c r="U18" s="278">
        <v>0</v>
      </c>
      <c r="V18" s="278">
        <v>0</v>
      </c>
      <c r="W18" s="278">
        <v>0</v>
      </c>
      <c r="X18" s="278">
        <v>0</v>
      </c>
      <c r="Y18" s="278">
        <f t="shared" si="0"/>
        <v>1.5</v>
      </c>
      <c r="Z18" s="278">
        <f t="shared" si="0"/>
        <v>0</v>
      </c>
      <c r="AA18" s="278">
        <f t="shared" si="0"/>
        <v>0</v>
      </c>
      <c r="AB18" s="278">
        <f t="shared" si="2"/>
        <v>0</v>
      </c>
      <c r="AC18" s="278">
        <v>0</v>
      </c>
      <c r="AD18" s="278">
        <f t="shared" si="1"/>
        <v>1.5</v>
      </c>
      <c r="AE18" s="276" t="s">
        <v>2004</v>
      </c>
      <c r="AF18" s="276" t="s">
        <v>175</v>
      </c>
      <c r="AG18" s="276" t="s">
        <v>72</v>
      </c>
      <c r="AH18" s="276" t="s">
        <v>2019</v>
      </c>
      <c r="AI18" s="276"/>
      <c r="AJ18" s="287">
        <v>120000</v>
      </c>
      <c r="AK18" s="276" t="s">
        <v>305</v>
      </c>
    </row>
    <row r="19" spans="1:37" s="283" customFormat="1" x14ac:dyDescent="0.35">
      <c r="A19" s="276">
        <v>7100515</v>
      </c>
      <c r="B19" s="289" t="s">
        <v>208</v>
      </c>
      <c r="C19" s="289" t="s">
        <v>208</v>
      </c>
      <c r="D19" s="289" t="s">
        <v>2020</v>
      </c>
      <c r="E19" s="276" t="s">
        <v>2009</v>
      </c>
      <c r="F19" s="276" t="s">
        <v>2021</v>
      </c>
      <c r="G19" s="278">
        <v>471</v>
      </c>
      <c r="H19" s="750">
        <v>42192</v>
      </c>
      <c r="I19" s="284">
        <v>1530</v>
      </c>
      <c r="J19" s="284">
        <v>70715</v>
      </c>
      <c r="K19" s="284">
        <v>1545</v>
      </c>
      <c r="L19" s="279">
        <v>70715</v>
      </c>
      <c r="M19" s="279">
        <v>2030</v>
      </c>
      <c r="N19" s="278" t="s">
        <v>1517</v>
      </c>
      <c r="O19" s="278">
        <v>0</v>
      </c>
      <c r="P19" s="278">
        <v>3</v>
      </c>
      <c r="Q19" s="278">
        <v>0</v>
      </c>
      <c r="R19" s="278">
        <v>0</v>
      </c>
      <c r="S19" s="278">
        <v>0</v>
      </c>
      <c r="T19" s="278">
        <v>0</v>
      </c>
      <c r="U19" s="278">
        <v>0</v>
      </c>
      <c r="V19" s="278">
        <v>0</v>
      </c>
      <c r="W19" s="278">
        <v>0</v>
      </c>
      <c r="X19" s="278">
        <v>0</v>
      </c>
      <c r="Y19" s="278">
        <f t="shared" si="0"/>
        <v>0</v>
      </c>
      <c r="Z19" s="278">
        <f t="shared" si="0"/>
        <v>3</v>
      </c>
      <c r="AA19" s="278">
        <f t="shared" si="0"/>
        <v>0</v>
      </c>
      <c r="AB19" s="278">
        <f t="shared" si="2"/>
        <v>0</v>
      </c>
      <c r="AC19" s="278">
        <v>0</v>
      </c>
      <c r="AD19" s="278">
        <f t="shared" si="1"/>
        <v>3</v>
      </c>
      <c r="AE19" s="276" t="s">
        <v>117</v>
      </c>
      <c r="AF19" s="276" t="s">
        <v>117</v>
      </c>
      <c r="AG19" s="276" t="s">
        <v>2022</v>
      </c>
      <c r="AH19" s="276" t="s">
        <v>1521</v>
      </c>
      <c r="AI19" s="276" t="s">
        <v>73</v>
      </c>
      <c r="AJ19" s="287">
        <v>15000</v>
      </c>
      <c r="AK19" s="276" t="s">
        <v>305</v>
      </c>
    </row>
    <row r="20" spans="1:37" s="283" customFormat="1" x14ac:dyDescent="0.35">
      <c r="A20" s="276">
        <v>8103115</v>
      </c>
      <c r="B20" s="290" t="s">
        <v>208</v>
      </c>
      <c r="C20" s="290" t="s">
        <v>2005</v>
      </c>
      <c r="D20" s="290" t="s">
        <v>2023</v>
      </c>
      <c r="E20" s="276" t="s">
        <v>2024</v>
      </c>
      <c r="F20" s="276" t="s">
        <v>2025</v>
      </c>
      <c r="G20" s="278">
        <v>360</v>
      </c>
      <c r="H20" s="750">
        <v>42193</v>
      </c>
      <c r="I20" s="284">
        <v>1330</v>
      </c>
      <c r="J20" s="284">
        <v>80715</v>
      </c>
      <c r="K20" s="284">
        <v>1345</v>
      </c>
      <c r="L20" s="279">
        <v>80715</v>
      </c>
      <c r="M20" s="279">
        <v>1540</v>
      </c>
      <c r="N20" s="278" t="s">
        <v>277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0.5</v>
      </c>
      <c r="U20" s="278">
        <v>0</v>
      </c>
      <c r="V20" s="278">
        <v>0.5</v>
      </c>
      <c r="W20" s="278">
        <v>0</v>
      </c>
      <c r="X20" s="278">
        <v>0</v>
      </c>
      <c r="Y20" s="278">
        <f t="shared" si="0"/>
        <v>0.5</v>
      </c>
      <c r="Z20" s="278">
        <f t="shared" si="0"/>
        <v>0</v>
      </c>
      <c r="AA20" s="278">
        <f t="shared" si="0"/>
        <v>0.5</v>
      </c>
      <c r="AB20" s="278">
        <f t="shared" si="2"/>
        <v>0</v>
      </c>
      <c r="AC20" s="278">
        <v>0</v>
      </c>
      <c r="AD20" s="278">
        <f t="shared" si="1"/>
        <v>1</v>
      </c>
      <c r="AE20" s="276" t="s">
        <v>188</v>
      </c>
      <c r="AF20" s="276" t="s">
        <v>117</v>
      </c>
      <c r="AG20" s="276" t="s">
        <v>57</v>
      </c>
      <c r="AH20" s="276" t="s">
        <v>1417</v>
      </c>
      <c r="AI20" s="276" t="s">
        <v>73</v>
      </c>
      <c r="AJ20" s="287">
        <v>55000</v>
      </c>
      <c r="AK20" s="276" t="s">
        <v>305</v>
      </c>
    </row>
    <row r="21" spans="1:37" s="283" customFormat="1" x14ac:dyDescent="0.35">
      <c r="A21" s="288">
        <v>9101415</v>
      </c>
      <c r="B21" s="286" t="s">
        <v>198</v>
      </c>
      <c r="C21" s="286" t="s">
        <v>1691</v>
      </c>
      <c r="D21" s="286" t="s">
        <v>2026</v>
      </c>
      <c r="E21" s="276" t="s">
        <v>2027</v>
      </c>
      <c r="F21" s="276" t="s">
        <v>2028</v>
      </c>
      <c r="G21" s="278">
        <v>560</v>
      </c>
      <c r="H21" s="750">
        <v>42195</v>
      </c>
      <c r="I21" s="284">
        <v>1720</v>
      </c>
      <c r="J21" s="284">
        <v>100715</v>
      </c>
      <c r="K21" s="284">
        <v>1750</v>
      </c>
      <c r="L21" s="279">
        <v>100715</v>
      </c>
      <c r="M21" s="279">
        <v>1840</v>
      </c>
      <c r="N21" s="278" t="s">
        <v>62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0.5</v>
      </c>
      <c r="U21" s="278">
        <v>0</v>
      </c>
      <c r="V21" s="278">
        <v>0</v>
      </c>
      <c r="W21" s="278">
        <v>0</v>
      </c>
      <c r="X21" s="278" t="s">
        <v>2029</v>
      </c>
      <c r="Y21" s="278">
        <f t="shared" si="0"/>
        <v>0.5</v>
      </c>
      <c r="Z21" s="278">
        <f t="shared" si="0"/>
        <v>0</v>
      </c>
      <c r="AA21" s="278">
        <f t="shared" si="0"/>
        <v>0</v>
      </c>
      <c r="AB21" s="278">
        <f t="shared" si="2"/>
        <v>0</v>
      </c>
      <c r="AC21" s="278" t="s">
        <v>2029</v>
      </c>
      <c r="AD21" s="278">
        <f t="shared" si="1"/>
        <v>0.5</v>
      </c>
      <c r="AE21" s="276" t="s">
        <v>188</v>
      </c>
      <c r="AF21" s="276" t="s">
        <v>117</v>
      </c>
      <c r="AG21" s="276" t="s">
        <v>57</v>
      </c>
      <c r="AH21" s="276" t="s">
        <v>1487</v>
      </c>
      <c r="AI21" s="276" t="s">
        <v>73</v>
      </c>
      <c r="AJ21" s="282">
        <v>50000</v>
      </c>
      <c r="AK21" s="276" t="s">
        <v>305</v>
      </c>
    </row>
    <row r="22" spans="1:37" s="283" customFormat="1" x14ac:dyDescent="0.35">
      <c r="A22" s="288">
        <v>10102015</v>
      </c>
      <c r="B22" s="286" t="s">
        <v>1391</v>
      </c>
      <c r="C22" s="286" t="s">
        <v>1391</v>
      </c>
      <c r="D22" s="286" t="s">
        <v>2030</v>
      </c>
      <c r="E22" s="276" t="s">
        <v>2031</v>
      </c>
      <c r="F22" s="276" t="s">
        <v>2032</v>
      </c>
      <c r="G22" s="278">
        <v>772</v>
      </c>
      <c r="H22" s="750">
        <v>42195</v>
      </c>
      <c r="I22" s="284">
        <v>1835</v>
      </c>
      <c r="J22" s="284">
        <v>100715</v>
      </c>
      <c r="K22" s="284">
        <v>1850</v>
      </c>
      <c r="L22" s="279">
        <v>100715</v>
      </c>
      <c r="M22" s="279">
        <v>1955</v>
      </c>
      <c r="N22" s="278" t="s">
        <v>1352</v>
      </c>
      <c r="O22" s="278">
        <v>0</v>
      </c>
      <c r="P22" s="278">
        <v>0.5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f t="shared" si="0"/>
        <v>0</v>
      </c>
      <c r="Z22" s="278">
        <f t="shared" si="0"/>
        <v>0.5</v>
      </c>
      <c r="AA22" s="278">
        <f t="shared" si="0"/>
        <v>0</v>
      </c>
      <c r="AB22" s="278">
        <f t="shared" si="2"/>
        <v>0</v>
      </c>
      <c r="AC22" s="278">
        <v>0</v>
      </c>
      <c r="AD22" s="278">
        <f t="shared" si="1"/>
        <v>0.5</v>
      </c>
      <c r="AE22" s="276" t="s">
        <v>117</v>
      </c>
      <c r="AF22" s="276" t="s">
        <v>117</v>
      </c>
      <c r="AG22" s="276" t="s">
        <v>72</v>
      </c>
      <c r="AH22" s="276" t="s">
        <v>2033</v>
      </c>
      <c r="AI22" s="276" t="s">
        <v>65</v>
      </c>
      <c r="AJ22" s="282">
        <v>100750</v>
      </c>
      <c r="AK22" s="276" t="s">
        <v>305</v>
      </c>
    </row>
    <row r="23" spans="1:37" s="283" customFormat="1" x14ac:dyDescent="0.35">
      <c r="A23" s="288">
        <v>11101215</v>
      </c>
      <c r="B23" s="286" t="s">
        <v>83</v>
      </c>
      <c r="C23" s="286" t="s">
        <v>83</v>
      </c>
      <c r="D23" s="286" t="s">
        <v>1376</v>
      </c>
      <c r="E23" s="276" t="s">
        <v>2034</v>
      </c>
      <c r="F23" s="276" t="s">
        <v>2035</v>
      </c>
      <c r="G23" s="278">
        <v>502</v>
      </c>
      <c r="H23" s="750">
        <v>42197</v>
      </c>
      <c r="I23" s="284">
        <v>1548</v>
      </c>
      <c r="J23" s="284">
        <v>120715</v>
      </c>
      <c r="K23" s="284">
        <v>1600</v>
      </c>
      <c r="L23" s="279">
        <v>120715</v>
      </c>
      <c r="M23" s="279">
        <v>1645</v>
      </c>
      <c r="N23" s="278" t="s">
        <v>62</v>
      </c>
      <c r="O23" s="278">
        <v>0.1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f t="shared" si="0"/>
        <v>0.1</v>
      </c>
      <c r="Z23" s="278">
        <f t="shared" si="0"/>
        <v>0</v>
      </c>
      <c r="AA23" s="278">
        <f t="shared" si="0"/>
        <v>0</v>
      </c>
      <c r="AB23" s="278">
        <f t="shared" si="2"/>
        <v>0</v>
      </c>
      <c r="AC23" s="278">
        <v>0</v>
      </c>
      <c r="AD23" s="278">
        <f t="shared" si="1"/>
        <v>0.1</v>
      </c>
      <c r="AE23" s="276" t="s">
        <v>117</v>
      </c>
      <c r="AF23" s="276" t="s">
        <v>117</v>
      </c>
      <c r="AG23" s="276" t="s">
        <v>57</v>
      </c>
      <c r="AH23" s="276" t="s">
        <v>2036</v>
      </c>
      <c r="AI23" s="276" t="s">
        <v>73</v>
      </c>
      <c r="AJ23" s="282">
        <v>23000</v>
      </c>
      <c r="AK23" s="276" t="s">
        <v>305</v>
      </c>
    </row>
    <row r="24" spans="1:37" s="283" customFormat="1" x14ac:dyDescent="0.35">
      <c r="A24" s="276">
        <v>12103115</v>
      </c>
      <c r="B24" s="289" t="s">
        <v>208</v>
      </c>
      <c r="C24" s="285" t="s">
        <v>2005</v>
      </c>
      <c r="D24" s="289" t="s">
        <v>2020</v>
      </c>
      <c r="E24" s="276" t="s">
        <v>2037</v>
      </c>
      <c r="F24" s="276" t="s">
        <v>2038</v>
      </c>
      <c r="G24" s="278">
        <v>702</v>
      </c>
      <c r="H24" s="750">
        <v>42200</v>
      </c>
      <c r="I24" s="284">
        <v>1300</v>
      </c>
      <c r="J24" s="284">
        <v>150715</v>
      </c>
      <c r="K24" s="284">
        <v>1320</v>
      </c>
      <c r="L24" s="279">
        <v>150715</v>
      </c>
      <c r="M24" s="279">
        <v>1820</v>
      </c>
      <c r="N24" s="278" t="s">
        <v>1517</v>
      </c>
      <c r="O24" s="278">
        <v>0</v>
      </c>
      <c r="P24" s="278">
        <v>3.5</v>
      </c>
      <c r="Q24" s="278">
        <v>0</v>
      </c>
      <c r="R24" s="278">
        <v>0</v>
      </c>
      <c r="S24" s="278">
        <v>0</v>
      </c>
      <c r="T24" s="278">
        <v>0</v>
      </c>
      <c r="U24" s="278">
        <v>0</v>
      </c>
      <c r="V24" s="278">
        <v>0</v>
      </c>
      <c r="W24" s="278">
        <v>0</v>
      </c>
      <c r="X24" s="278">
        <v>0</v>
      </c>
      <c r="Y24" s="278">
        <f t="shared" si="0"/>
        <v>0</v>
      </c>
      <c r="Z24" s="278">
        <f t="shared" si="0"/>
        <v>3.5</v>
      </c>
      <c r="AA24" s="278">
        <f t="shared" si="0"/>
        <v>0</v>
      </c>
      <c r="AB24" s="278">
        <f t="shared" si="2"/>
        <v>0</v>
      </c>
      <c r="AC24" s="278">
        <v>0</v>
      </c>
      <c r="AD24" s="278">
        <f t="shared" si="1"/>
        <v>3.5</v>
      </c>
      <c r="AE24" s="276" t="s">
        <v>188</v>
      </c>
      <c r="AF24" s="276" t="s">
        <v>117</v>
      </c>
      <c r="AG24" s="276" t="s">
        <v>57</v>
      </c>
      <c r="AH24" s="276" t="s">
        <v>1460</v>
      </c>
      <c r="AI24" s="276" t="s">
        <v>73</v>
      </c>
      <c r="AJ24" s="282">
        <v>175000</v>
      </c>
      <c r="AK24" s="276" t="s">
        <v>305</v>
      </c>
    </row>
    <row r="25" spans="1:37" s="283" customFormat="1" x14ac:dyDescent="0.35">
      <c r="A25" s="288">
        <v>13101315</v>
      </c>
      <c r="B25" s="289" t="s">
        <v>198</v>
      </c>
      <c r="C25" s="289" t="s">
        <v>198</v>
      </c>
      <c r="D25" s="291" t="s">
        <v>2039</v>
      </c>
      <c r="E25" s="276" t="s">
        <v>2040</v>
      </c>
      <c r="F25" s="276" t="s">
        <v>2041</v>
      </c>
      <c r="G25" s="278">
        <v>377</v>
      </c>
      <c r="H25" s="750">
        <v>42202</v>
      </c>
      <c r="I25" s="284">
        <v>1630</v>
      </c>
      <c r="J25" s="284">
        <v>170715</v>
      </c>
      <c r="K25" s="284">
        <v>1645</v>
      </c>
      <c r="L25" s="292">
        <v>170715</v>
      </c>
      <c r="M25" s="279">
        <v>1900</v>
      </c>
      <c r="N25" s="278" t="s">
        <v>165</v>
      </c>
      <c r="O25" s="278">
        <v>0.5</v>
      </c>
      <c r="P25" s="278">
        <v>0</v>
      </c>
      <c r="Q25" s="278">
        <v>0</v>
      </c>
      <c r="R25" s="278">
        <v>0</v>
      </c>
      <c r="S25" s="278">
        <v>0</v>
      </c>
      <c r="T25" s="278">
        <v>0.5</v>
      </c>
      <c r="U25" s="278">
        <v>0</v>
      </c>
      <c r="V25" s="278">
        <v>0</v>
      </c>
      <c r="W25" s="278">
        <v>0</v>
      </c>
      <c r="X25" s="278">
        <v>0</v>
      </c>
      <c r="Y25" s="278">
        <f t="shared" si="0"/>
        <v>1</v>
      </c>
      <c r="Z25" s="278">
        <f t="shared" si="0"/>
        <v>0</v>
      </c>
      <c r="AA25" s="278">
        <f t="shared" si="0"/>
        <v>0</v>
      </c>
      <c r="AB25" s="278">
        <f t="shared" si="2"/>
        <v>0</v>
      </c>
      <c r="AC25" s="278">
        <v>0</v>
      </c>
      <c r="AD25" s="278">
        <f t="shared" si="1"/>
        <v>1</v>
      </c>
      <c r="AE25" s="276" t="s">
        <v>2042</v>
      </c>
      <c r="AF25" s="276" t="s">
        <v>117</v>
      </c>
      <c r="AG25" s="276" t="s">
        <v>57</v>
      </c>
      <c r="AH25" s="276" t="s">
        <v>1603</v>
      </c>
      <c r="AI25" s="276" t="s">
        <v>73</v>
      </c>
      <c r="AJ25" s="282">
        <v>50000</v>
      </c>
      <c r="AK25" s="276" t="s">
        <v>305</v>
      </c>
    </row>
    <row r="26" spans="1:37" s="283" customFormat="1" x14ac:dyDescent="0.35">
      <c r="A26" s="276">
        <v>14101815</v>
      </c>
      <c r="B26" s="291" t="s">
        <v>49</v>
      </c>
      <c r="C26" s="291" t="s">
        <v>49</v>
      </c>
      <c r="D26" s="291" t="s">
        <v>2043</v>
      </c>
      <c r="E26" s="276" t="s">
        <v>2044</v>
      </c>
      <c r="F26" s="276" t="s">
        <v>2045</v>
      </c>
      <c r="G26" s="278">
        <v>525</v>
      </c>
      <c r="H26" s="750">
        <v>42202</v>
      </c>
      <c r="I26" s="284">
        <v>1710</v>
      </c>
      <c r="J26" s="284">
        <v>170715</v>
      </c>
      <c r="K26" s="284">
        <v>1720</v>
      </c>
      <c r="L26" s="292">
        <v>170715</v>
      </c>
      <c r="M26" s="279">
        <v>1836</v>
      </c>
      <c r="N26" s="278" t="s">
        <v>62</v>
      </c>
      <c r="O26" s="278">
        <v>1</v>
      </c>
      <c r="P26" s="278">
        <v>0</v>
      </c>
      <c r="Q26" s="278">
        <v>0</v>
      </c>
      <c r="R26" s="278">
        <v>0</v>
      </c>
      <c r="S26" s="278">
        <v>0</v>
      </c>
      <c r="T26" s="278">
        <v>0</v>
      </c>
      <c r="U26" s="278">
        <v>0</v>
      </c>
      <c r="V26" s="278">
        <v>0</v>
      </c>
      <c r="W26" s="278">
        <v>0</v>
      </c>
      <c r="X26" s="278">
        <v>0</v>
      </c>
      <c r="Y26" s="278">
        <f t="shared" si="0"/>
        <v>1</v>
      </c>
      <c r="Z26" s="278">
        <f t="shared" si="0"/>
        <v>0</v>
      </c>
      <c r="AA26" s="278">
        <f t="shared" si="0"/>
        <v>0</v>
      </c>
      <c r="AB26" s="278">
        <f t="shared" si="2"/>
        <v>0</v>
      </c>
      <c r="AC26" s="278">
        <v>0</v>
      </c>
      <c r="AD26" s="278">
        <f t="shared" si="1"/>
        <v>1</v>
      </c>
      <c r="AE26" s="276" t="s">
        <v>66</v>
      </c>
      <c r="AF26" s="276" t="s">
        <v>117</v>
      </c>
      <c r="AG26" s="276" t="s">
        <v>57</v>
      </c>
      <c r="AH26" s="276" t="s">
        <v>2046</v>
      </c>
      <c r="AI26" s="276" t="s">
        <v>73</v>
      </c>
      <c r="AJ26" s="282">
        <v>200000</v>
      </c>
      <c r="AK26" s="276" t="s">
        <v>305</v>
      </c>
    </row>
    <row r="27" spans="1:37" s="283" customFormat="1" x14ac:dyDescent="0.35">
      <c r="A27" s="288">
        <v>15100115</v>
      </c>
      <c r="B27" s="290" t="s">
        <v>145</v>
      </c>
      <c r="C27" s="290" t="s">
        <v>145</v>
      </c>
      <c r="D27" s="290" t="s">
        <v>2047</v>
      </c>
      <c r="E27" s="276" t="s">
        <v>2048</v>
      </c>
      <c r="F27" s="276" t="s">
        <v>2049</v>
      </c>
      <c r="G27" s="278">
        <v>650</v>
      </c>
      <c r="H27" s="750">
        <v>42203</v>
      </c>
      <c r="I27" s="284">
        <v>1000</v>
      </c>
      <c r="J27" s="284">
        <v>180715</v>
      </c>
      <c r="K27" s="284">
        <v>1010</v>
      </c>
      <c r="L27" s="279">
        <v>180715</v>
      </c>
      <c r="M27" s="279">
        <v>1300</v>
      </c>
      <c r="N27" s="278" t="s">
        <v>1352</v>
      </c>
      <c r="O27" s="278">
        <v>0</v>
      </c>
      <c r="P27" s="278">
        <v>1.5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278">
        <v>0</v>
      </c>
      <c r="X27" s="278">
        <v>0</v>
      </c>
      <c r="Y27" s="278">
        <f t="shared" si="0"/>
        <v>0</v>
      </c>
      <c r="Z27" s="278">
        <f t="shared" si="0"/>
        <v>1.5</v>
      </c>
      <c r="AA27" s="278">
        <f t="shared" si="0"/>
        <v>0</v>
      </c>
      <c r="AB27" s="278">
        <f t="shared" si="2"/>
        <v>0</v>
      </c>
      <c r="AC27" s="278">
        <v>0</v>
      </c>
      <c r="AD27" s="278">
        <f t="shared" si="1"/>
        <v>1.5</v>
      </c>
      <c r="AE27" s="276" t="s">
        <v>66</v>
      </c>
      <c r="AF27" s="276" t="s">
        <v>117</v>
      </c>
      <c r="AG27" s="276" t="s">
        <v>57</v>
      </c>
      <c r="AH27" s="276" t="s">
        <v>2050</v>
      </c>
      <c r="AI27" s="276" t="s">
        <v>73</v>
      </c>
      <c r="AJ27" s="282">
        <v>306560</v>
      </c>
      <c r="AK27" s="276" t="s">
        <v>305</v>
      </c>
    </row>
    <row r="28" spans="1:37" s="283" customFormat="1" x14ac:dyDescent="0.35">
      <c r="A28" s="276">
        <v>16103115</v>
      </c>
      <c r="B28" s="289" t="s">
        <v>208</v>
      </c>
      <c r="C28" s="289" t="s">
        <v>2005</v>
      </c>
      <c r="D28" s="289" t="s">
        <v>2051</v>
      </c>
      <c r="E28" s="276" t="s">
        <v>2052</v>
      </c>
      <c r="F28" s="276" t="s">
        <v>2053</v>
      </c>
      <c r="G28" s="278">
        <v>470</v>
      </c>
      <c r="H28" s="750">
        <v>42203</v>
      </c>
      <c r="I28" s="284">
        <v>1315</v>
      </c>
      <c r="J28" s="284"/>
      <c r="K28" s="284"/>
      <c r="L28" s="279">
        <v>180715</v>
      </c>
      <c r="M28" s="279">
        <v>1540</v>
      </c>
      <c r="N28" s="278" t="s">
        <v>1517</v>
      </c>
      <c r="O28" s="278">
        <v>0</v>
      </c>
      <c r="P28" s="278">
        <v>1.5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f t="shared" si="0"/>
        <v>0</v>
      </c>
      <c r="Z28" s="278">
        <f t="shared" si="0"/>
        <v>1.5</v>
      </c>
      <c r="AA28" s="278">
        <f t="shared" si="0"/>
        <v>0</v>
      </c>
      <c r="AB28" s="278">
        <f t="shared" si="2"/>
        <v>0</v>
      </c>
      <c r="AC28" s="278">
        <v>0</v>
      </c>
      <c r="AD28" s="278">
        <f t="shared" si="1"/>
        <v>1.5</v>
      </c>
      <c r="AE28" s="276" t="s">
        <v>2004</v>
      </c>
      <c r="AF28" s="276" t="s">
        <v>175</v>
      </c>
      <c r="AG28" s="276" t="s">
        <v>57</v>
      </c>
      <c r="AH28" s="276" t="s">
        <v>1417</v>
      </c>
      <c r="AI28" s="276"/>
      <c r="AJ28" s="282">
        <v>75000</v>
      </c>
      <c r="AK28" s="276" t="s">
        <v>305</v>
      </c>
    </row>
    <row r="29" spans="1:37" s="283" customFormat="1" x14ac:dyDescent="0.35">
      <c r="A29" s="276">
        <v>17100215</v>
      </c>
      <c r="B29" s="289" t="s">
        <v>49</v>
      </c>
      <c r="C29" s="289" t="s">
        <v>1397</v>
      </c>
      <c r="D29" s="289" t="s">
        <v>2043</v>
      </c>
      <c r="E29" s="276" t="s">
        <v>2054</v>
      </c>
      <c r="F29" s="276" t="s">
        <v>2055</v>
      </c>
      <c r="G29" s="278">
        <v>575</v>
      </c>
      <c r="H29" s="750">
        <v>42204</v>
      </c>
      <c r="I29" s="284">
        <v>1450</v>
      </c>
      <c r="J29" s="284">
        <v>190715</v>
      </c>
      <c r="K29" s="284">
        <v>1500</v>
      </c>
      <c r="L29" s="279">
        <v>190715</v>
      </c>
      <c r="M29" s="279">
        <v>1640</v>
      </c>
      <c r="N29" s="278" t="s">
        <v>62</v>
      </c>
      <c r="O29" s="278">
        <v>1</v>
      </c>
      <c r="P29" s="278">
        <v>0</v>
      </c>
      <c r="Q29" s="278">
        <v>1</v>
      </c>
      <c r="R29" s="278">
        <v>0</v>
      </c>
      <c r="S29" s="278">
        <v>0</v>
      </c>
      <c r="T29" s="278">
        <v>0</v>
      </c>
      <c r="U29" s="278">
        <v>0</v>
      </c>
      <c r="V29" s="278">
        <v>0</v>
      </c>
      <c r="W29" s="278">
        <v>0</v>
      </c>
      <c r="X29" s="278" t="s">
        <v>2056</v>
      </c>
      <c r="Y29" s="278">
        <f t="shared" si="0"/>
        <v>1</v>
      </c>
      <c r="Z29" s="278">
        <f t="shared" si="0"/>
        <v>0</v>
      </c>
      <c r="AA29" s="278">
        <f t="shared" si="0"/>
        <v>1</v>
      </c>
      <c r="AB29" s="278">
        <f t="shared" si="2"/>
        <v>0</v>
      </c>
      <c r="AC29" s="278" t="s">
        <v>2056</v>
      </c>
      <c r="AD29" s="278">
        <f t="shared" si="1"/>
        <v>2</v>
      </c>
      <c r="AE29" s="276" t="s">
        <v>66</v>
      </c>
      <c r="AF29" s="276" t="s">
        <v>117</v>
      </c>
      <c r="AG29" s="276" t="s">
        <v>57</v>
      </c>
      <c r="AH29" s="276" t="s">
        <v>1975</v>
      </c>
      <c r="AI29" s="276" t="s">
        <v>65</v>
      </c>
      <c r="AJ29" s="282">
        <v>408060</v>
      </c>
      <c r="AK29" s="276" t="s">
        <v>305</v>
      </c>
    </row>
    <row r="30" spans="1:37" s="283" customFormat="1" x14ac:dyDescent="0.35">
      <c r="A30" s="276">
        <v>18100515</v>
      </c>
      <c r="B30" s="289" t="s">
        <v>208</v>
      </c>
      <c r="C30" s="289" t="s">
        <v>208</v>
      </c>
      <c r="D30" s="289" t="s">
        <v>2057</v>
      </c>
      <c r="E30" s="276" t="s">
        <v>2058</v>
      </c>
      <c r="F30" s="276" t="s">
        <v>2059</v>
      </c>
      <c r="G30" s="278">
        <v>620</v>
      </c>
      <c r="H30" s="750">
        <v>42204</v>
      </c>
      <c r="I30" s="284">
        <v>1730</v>
      </c>
      <c r="J30" s="284"/>
      <c r="K30" s="284"/>
      <c r="L30" s="279">
        <v>190715</v>
      </c>
      <c r="M30" s="279">
        <v>1840</v>
      </c>
      <c r="N30" s="278" t="s">
        <v>1517</v>
      </c>
      <c r="O30" s="278">
        <v>0</v>
      </c>
      <c r="P30" s="278">
        <v>1.5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f t="shared" si="0"/>
        <v>0</v>
      </c>
      <c r="Z30" s="278">
        <f t="shared" si="0"/>
        <v>1.5</v>
      </c>
      <c r="AA30" s="278">
        <f t="shared" si="0"/>
        <v>0</v>
      </c>
      <c r="AB30" s="278">
        <f t="shared" si="2"/>
        <v>0</v>
      </c>
      <c r="AC30" s="278">
        <v>0</v>
      </c>
      <c r="AD30" s="278">
        <f t="shared" si="1"/>
        <v>1.5</v>
      </c>
      <c r="AE30" s="276" t="s">
        <v>2004</v>
      </c>
      <c r="AF30" s="276" t="s">
        <v>175</v>
      </c>
      <c r="AG30" s="276" t="s">
        <v>57</v>
      </c>
      <c r="AH30" s="276" t="s">
        <v>1521</v>
      </c>
      <c r="AI30" s="276"/>
      <c r="AJ30" s="282">
        <v>75000</v>
      </c>
      <c r="AK30" s="276" t="s">
        <v>305</v>
      </c>
    </row>
    <row r="31" spans="1:37" s="283" customFormat="1" x14ac:dyDescent="0.35">
      <c r="A31" s="276">
        <v>19100115</v>
      </c>
      <c r="B31" s="289" t="s">
        <v>145</v>
      </c>
      <c r="C31" s="289" t="s">
        <v>145</v>
      </c>
      <c r="D31" s="289" t="s">
        <v>2047</v>
      </c>
      <c r="E31" s="276" t="s">
        <v>2060</v>
      </c>
      <c r="F31" s="276" t="s">
        <v>2061</v>
      </c>
      <c r="G31" s="278">
        <v>675</v>
      </c>
      <c r="H31" s="750">
        <v>42204</v>
      </c>
      <c r="I31" s="293">
        <v>2200</v>
      </c>
      <c r="J31" s="294">
        <v>190715</v>
      </c>
      <c r="K31" s="284">
        <v>2210</v>
      </c>
      <c r="L31" s="279">
        <v>190715</v>
      </c>
      <c r="M31" s="293">
        <v>2250</v>
      </c>
      <c r="N31" s="278" t="s">
        <v>1517</v>
      </c>
      <c r="O31" s="278">
        <v>0</v>
      </c>
      <c r="P31" s="278">
        <v>0.5</v>
      </c>
      <c r="Q31" s="278">
        <v>0</v>
      </c>
      <c r="R31" s="278">
        <v>0</v>
      </c>
      <c r="S31" s="278">
        <v>0</v>
      </c>
      <c r="T31" s="278">
        <v>0</v>
      </c>
      <c r="U31" s="278">
        <v>0</v>
      </c>
      <c r="V31" s="278">
        <v>0</v>
      </c>
      <c r="W31" s="278">
        <v>0</v>
      </c>
      <c r="X31" s="278">
        <v>0</v>
      </c>
      <c r="Y31" s="278">
        <f t="shared" si="0"/>
        <v>0</v>
      </c>
      <c r="Z31" s="278">
        <f t="shared" si="0"/>
        <v>0.5</v>
      </c>
      <c r="AA31" s="278">
        <f t="shared" si="0"/>
        <v>0</v>
      </c>
      <c r="AB31" s="278">
        <f t="shared" si="2"/>
        <v>0</v>
      </c>
      <c r="AC31" s="278">
        <v>0</v>
      </c>
      <c r="AD31" s="278">
        <f t="shared" si="1"/>
        <v>0.5</v>
      </c>
      <c r="AE31" s="276" t="s">
        <v>66</v>
      </c>
      <c r="AF31" s="276" t="s">
        <v>117</v>
      </c>
      <c r="AG31" s="276" t="s">
        <v>57</v>
      </c>
      <c r="AH31" s="276" t="s">
        <v>2062</v>
      </c>
      <c r="AI31" s="276" t="s">
        <v>73</v>
      </c>
      <c r="AJ31" s="282">
        <v>100750</v>
      </c>
      <c r="AK31" s="276" t="s">
        <v>305</v>
      </c>
    </row>
    <row r="32" spans="1:37" s="283" customFormat="1" x14ac:dyDescent="0.35">
      <c r="A32" s="276">
        <v>20103215</v>
      </c>
      <c r="B32" s="289" t="s">
        <v>78</v>
      </c>
      <c r="C32" s="289" t="s">
        <v>2063</v>
      </c>
      <c r="D32" s="289" t="s">
        <v>1349</v>
      </c>
      <c r="E32" s="276" t="s">
        <v>2064</v>
      </c>
      <c r="F32" s="276" t="s">
        <v>2065</v>
      </c>
      <c r="G32" s="278">
        <v>537</v>
      </c>
      <c r="H32" s="749">
        <v>42205</v>
      </c>
      <c r="I32" s="279">
        <v>1300</v>
      </c>
      <c r="J32" s="280">
        <v>200715</v>
      </c>
      <c r="K32" s="284">
        <v>1305</v>
      </c>
      <c r="L32" s="279">
        <v>200715</v>
      </c>
      <c r="M32" s="279">
        <v>1810</v>
      </c>
      <c r="N32" s="278" t="s">
        <v>1339</v>
      </c>
      <c r="O32" s="278">
        <v>0</v>
      </c>
      <c r="P32" s="278">
        <v>0</v>
      </c>
      <c r="Q32" s="278">
        <v>0.5</v>
      </c>
      <c r="R32" s="278">
        <v>0</v>
      </c>
      <c r="S32" s="278">
        <v>0</v>
      </c>
      <c r="T32" s="278">
        <v>0</v>
      </c>
      <c r="U32" s="278">
        <v>0</v>
      </c>
      <c r="V32" s="278">
        <v>2</v>
      </c>
      <c r="W32" s="278">
        <v>0</v>
      </c>
      <c r="X32" s="278" t="s">
        <v>2066</v>
      </c>
      <c r="Y32" s="278">
        <f t="shared" si="0"/>
        <v>0</v>
      </c>
      <c r="Z32" s="278">
        <f t="shared" si="0"/>
        <v>0</v>
      </c>
      <c r="AA32" s="278">
        <f t="shared" si="0"/>
        <v>2.5</v>
      </c>
      <c r="AB32" s="278">
        <f t="shared" si="2"/>
        <v>0</v>
      </c>
      <c r="AC32" s="278" t="s">
        <v>2066</v>
      </c>
      <c r="AD32" s="278">
        <f t="shared" si="1"/>
        <v>2.5</v>
      </c>
      <c r="AE32" s="276" t="s">
        <v>71</v>
      </c>
      <c r="AF32" s="276" t="s">
        <v>117</v>
      </c>
      <c r="AG32" s="276" t="s">
        <v>57</v>
      </c>
      <c r="AH32" s="276" t="s">
        <v>2067</v>
      </c>
      <c r="AI32" s="276" t="s">
        <v>73</v>
      </c>
      <c r="AJ32" s="282">
        <v>2340</v>
      </c>
      <c r="AK32" s="276" t="s">
        <v>2068</v>
      </c>
    </row>
    <row r="33" spans="1:37" s="283" customFormat="1" x14ac:dyDescent="0.35">
      <c r="A33" s="288">
        <v>21102015</v>
      </c>
      <c r="B33" s="289" t="s">
        <v>1391</v>
      </c>
      <c r="C33" s="289" t="s">
        <v>1391</v>
      </c>
      <c r="D33" s="289" t="s">
        <v>2069</v>
      </c>
      <c r="E33" s="276" t="s">
        <v>2070</v>
      </c>
      <c r="F33" s="276" t="s">
        <v>2071</v>
      </c>
      <c r="G33" s="278">
        <v>785</v>
      </c>
      <c r="H33" s="749">
        <v>42205</v>
      </c>
      <c r="I33" s="279">
        <v>1215</v>
      </c>
      <c r="J33" s="280"/>
      <c r="K33" s="280"/>
      <c r="L33" s="279">
        <v>200715</v>
      </c>
      <c r="M33" s="279">
        <v>1600</v>
      </c>
      <c r="N33" s="278" t="s">
        <v>1352</v>
      </c>
      <c r="O33" s="278">
        <v>0</v>
      </c>
      <c r="P33" s="278">
        <v>1.5</v>
      </c>
      <c r="Q33" s="278">
        <v>0</v>
      </c>
      <c r="R33" s="278">
        <v>0</v>
      </c>
      <c r="S33" s="278">
        <v>0</v>
      </c>
      <c r="T33" s="278">
        <v>0</v>
      </c>
      <c r="U33" s="278">
        <v>0</v>
      </c>
      <c r="V33" s="278">
        <v>0</v>
      </c>
      <c r="W33" s="278">
        <v>0</v>
      </c>
      <c r="X33" s="278">
        <v>0</v>
      </c>
      <c r="Y33" s="278">
        <f t="shared" si="0"/>
        <v>0</v>
      </c>
      <c r="Z33" s="278">
        <f t="shared" si="0"/>
        <v>1.5</v>
      </c>
      <c r="AA33" s="278">
        <f t="shared" si="0"/>
        <v>0</v>
      </c>
      <c r="AB33" s="278">
        <f t="shared" si="2"/>
        <v>0</v>
      </c>
      <c r="AC33" s="278">
        <v>0</v>
      </c>
      <c r="AD33" s="278">
        <f t="shared" si="1"/>
        <v>1.5</v>
      </c>
      <c r="AE33" s="276" t="s">
        <v>2004</v>
      </c>
      <c r="AF33" s="276" t="s">
        <v>175</v>
      </c>
      <c r="AG33" s="276" t="s">
        <v>72</v>
      </c>
      <c r="AH33" s="276" t="s">
        <v>2072</v>
      </c>
      <c r="AI33" s="276"/>
      <c r="AJ33" s="282">
        <v>306560</v>
      </c>
      <c r="AK33" s="276" t="s">
        <v>305</v>
      </c>
    </row>
    <row r="34" spans="1:37" s="283" customFormat="1" x14ac:dyDescent="0.35">
      <c r="A34" s="276">
        <v>22102915</v>
      </c>
      <c r="B34" s="289" t="s">
        <v>1423</v>
      </c>
      <c r="C34" s="289" t="s">
        <v>1424</v>
      </c>
      <c r="D34" s="289" t="s">
        <v>2073</v>
      </c>
      <c r="E34" s="276" t="s">
        <v>2074</v>
      </c>
      <c r="F34" s="276" t="s">
        <v>2018</v>
      </c>
      <c r="G34" s="278">
        <v>639</v>
      </c>
      <c r="H34" s="749">
        <v>42205</v>
      </c>
      <c r="I34" s="279">
        <v>1230</v>
      </c>
      <c r="J34" s="280"/>
      <c r="K34" s="280"/>
      <c r="L34" s="279">
        <v>200715</v>
      </c>
      <c r="M34" s="279">
        <v>1750</v>
      </c>
      <c r="N34" s="278" t="s">
        <v>62</v>
      </c>
      <c r="O34" s="278">
        <v>1.5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0</v>
      </c>
      <c r="X34" s="278">
        <v>0</v>
      </c>
      <c r="Y34" s="278">
        <f t="shared" si="0"/>
        <v>1.5</v>
      </c>
      <c r="Z34" s="278">
        <f t="shared" si="0"/>
        <v>0</v>
      </c>
      <c r="AA34" s="278">
        <f t="shared" si="0"/>
        <v>0</v>
      </c>
      <c r="AB34" s="278">
        <f t="shared" si="2"/>
        <v>0</v>
      </c>
      <c r="AC34" s="278">
        <v>0</v>
      </c>
      <c r="AD34" s="278">
        <f t="shared" si="1"/>
        <v>1.5</v>
      </c>
      <c r="AE34" s="276" t="s">
        <v>2004</v>
      </c>
      <c r="AF34" s="276" t="s">
        <v>175</v>
      </c>
      <c r="AG34" s="276" t="s">
        <v>72</v>
      </c>
      <c r="AH34" s="276" t="s">
        <v>2019</v>
      </c>
      <c r="AI34" s="276"/>
      <c r="AJ34" s="287">
        <v>120000</v>
      </c>
      <c r="AK34" s="276" t="s">
        <v>305</v>
      </c>
    </row>
    <row r="35" spans="1:37" s="283" customFormat="1" x14ac:dyDescent="0.35">
      <c r="A35" s="276">
        <v>23101615</v>
      </c>
      <c r="B35" s="289" t="s">
        <v>68</v>
      </c>
      <c r="C35" s="289" t="s">
        <v>157</v>
      </c>
      <c r="D35" s="289" t="s">
        <v>2075</v>
      </c>
      <c r="E35" s="276" t="s">
        <v>2076</v>
      </c>
      <c r="F35" s="276" t="s">
        <v>2077</v>
      </c>
      <c r="G35" s="278">
        <v>920</v>
      </c>
      <c r="H35" s="749">
        <v>42205</v>
      </c>
      <c r="I35" s="279">
        <v>1430</v>
      </c>
      <c r="J35" s="280">
        <v>200715</v>
      </c>
      <c r="K35" s="280">
        <v>1445</v>
      </c>
      <c r="L35" s="279">
        <v>200715</v>
      </c>
      <c r="M35" s="279">
        <v>1540</v>
      </c>
      <c r="N35" s="278" t="s">
        <v>1517</v>
      </c>
      <c r="O35" s="278">
        <v>0</v>
      </c>
      <c r="P35" s="278">
        <v>0.5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f t="shared" si="0"/>
        <v>0</v>
      </c>
      <c r="Z35" s="278">
        <f t="shared" si="0"/>
        <v>0.5</v>
      </c>
      <c r="AA35" s="278">
        <f t="shared" si="0"/>
        <v>0</v>
      </c>
      <c r="AB35" s="278">
        <f t="shared" si="2"/>
        <v>0</v>
      </c>
      <c r="AC35" s="278">
        <v>0</v>
      </c>
      <c r="AD35" s="278">
        <f t="shared" si="1"/>
        <v>0.5</v>
      </c>
      <c r="AE35" s="276" t="s">
        <v>2004</v>
      </c>
      <c r="AF35" s="276" t="s">
        <v>117</v>
      </c>
      <c r="AG35" s="276" t="s">
        <v>72</v>
      </c>
      <c r="AH35" s="276" t="s">
        <v>2078</v>
      </c>
      <c r="AI35" s="276" t="s">
        <v>2079</v>
      </c>
      <c r="AJ35" s="282">
        <v>12500</v>
      </c>
      <c r="AK35" s="276" t="s">
        <v>305</v>
      </c>
    </row>
    <row r="36" spans="1:37" s="283" customFormat="1" x14ac:dyDescent="0.35">
      <c r="A36" s="276">
        <v>24100515</v>
      </c>
      <c r="B36" s="295" t="s">
        <v>208</v>
      </c>
      <c r="C36" s="295" t="s">
        <v>208</v>
      </c>
      <c r="D36" s="295" t="s">
        <v>2080</v>
      </c>
      <c r="E36" s="276" t="s">
        <v>2081</v>
      </c>
      <c r="F36" s="276" t="s">
        <v>2082</v>
      </c>
      <c r="G36" s="278">
        <v>322</v>
      </c>
      <c r="H36" s="749">
        <v>42206</v>
      </c>
      <c r="I36" s="279">
        <v>1230</v>
      </c>
      <c r="J36" s="280">
        <v>210715</v>
      </c>
      <c r="K36" s="284">
        <v>1240</v>
      </c>
      <c r="L36" s="279">
        <v>210715</v>
      </c>
      <c r="M36" s="279">
        <v>1430</v>
      </c>
      <c r="N36" s="278" t="s">
        <v>62</v>
      </c>
      <c r="O36" s="278">
        <v>0</v>
      </c>
      <c r="P36" s="278">
        <v>0</v>
      </c>
      <c r="Q36" s="278">
        <v>0</v>
      </c>
      <c r="R36" s="278">
        <v>0</v>
      </c>
      <c r="S36" s="278">
        <v>0</v>
      </c>
      <c r="T36" s="278">
        <v>1</v>
      </c>
      <c r="U36" s="278">
        <v>0.5</v>
      </c>
      <c r="V36" s="278">
        <v>0</v>
      </c>
      <c r="W36" s="278">
        <v>0</v>
      </c>
      <c r="X36" s="278">
        <v>0</v>
      </c>
      <c r="Y36" s="278">
        <f t="shared" si="0"/>
        <v>1</v>
      </c>
      <c r="Z36" s="278">
        <f t="shared" si="0"/>
        <v>0.5</v>
      </c>
      <c r="AA36" s="278">
        <f t="shared" si="0"/>
        <v>0</v>
      </c>
      <c r="AB36" s="278">
        <f t="shared" si="2"/>
        <v>0</v>
      </c>
      <c r="AC36" s="278">
        <v>0</v>
      </c>
      <c r="AD36" s="278">
        <f t="shared" si="1"/>
        <v>1.5</v>
      </c>
      <c r="AE36" s="276" t="s">
        <v>2042</v>
      </c>
      <c r="AF36" s="276" t="s">
        <v>117</v>
      </c>
      <c r="AG36" s="276" t="s">
        <v>57</v>
      </c>
      <c r="AH36" s="276" t="s">
        <v>1603</v>
      </c>
      <c r="AI36" s="276" t="s">
        <v>73</v>
      </c>
      <c r="AJ36" s="282">
        <v>150000</v>
      </c>
      <c r="AK36" s="276" t="s">
        <v>305</v>
      </c>
    </row>
    <row r="37" spans="1:37" s="283" customFormat="1" x14ac:dyDescent="0.35">
      <c r="A37" s="276">
        <v>25100215</v>
      </c>
      <c r="B37" s="289" t="s">
        <v>49</v>
      </c>
      <c r="C37" s="289" t="s">
        <v>1397</v>
      </c>
      <c r="D37" s="289" t="s">
        <v>2083</v>
      </c>
      <c r="E37" s="276" t="s">
        <v>2084</v>
      </c>
      <c r="F37" s="276" t="s">
        <v>2085</v>
      </c>
      <c r="G37" s="278">
        <v>575</v>
      </c>
      <c r="H37" s="749">
        <v>42207</v>
      </c>
      <c r="I37" s="279">
        <v>1440</v>
      </c>
      <c r="J37" s="280">
        <v>220715</v>
      </c>
      <c r="K37" s="284">
        <v>1440</v>
      </c>
      <c r="L37" s="279">
        <v>220715</v>
      </c>
      <c r="M37" s="279">
        <v>1550</v>
      </c>
      <c r="N37" s="278" t="s">
        <v>62</v>
      </c>
      <c r="O37" s="278">
        <v>0.3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f t="shared" si="0"/>
        <v>0.3</v>
      </c>
      <c r="Z37" s="278">
        <f t="shared" si="0"/>
        <v>0</v>
      </c>
      <c r="AA37" s="278">
        <f t="shared" si="0"/>
        <v>0</v>
      </c>
      <c r="AB37" s="278">
        <f t="shared" si="2"/>
        <v>0</v>
      </c>
      <c r="AC37" s="278">
        <v>0</v>
      </c>
      <c r="AD37" s="278">
        <f t="shared" si="1"/>
        <v>0.3</v>
      </c>
      <c r="AE37" s="276" t="s">
        <v>66</v>
      </c>
      <c r="AF37" s="276" t="s">
        <v>117</v>
      </c>
      <c r="AG37" s="276" t="s">
        <v>57</v>
      </c>
      <c r="AH37" s="276" t="s">
        <v>2086</v>
      </c>
      <c r="AI37" s="276" t="s">
        <v>73</v>
      </c>
      <c r="AJ37" s="282">
        <v>60000</v>
      </c>
      <c r="AK37" s="276" t="s">
        <v>305</v>
      </c>
    </row>
    <row r="38" spans="1:37" s="283" customFormat="1" x14ac:dyDescent="0.35">
      <c r="A38" s="276">
        <v>26102015</v>
      </c>
      <c r="B38" s="289" t="s">
        <v>1391</v>
      </c>
      <c r="C38" s="289" t="s">
        <v>1391</v>
      </c>
      <c r="D38" s="289" t="s">
        <v>2069</v>
      </c>
      <c r="E38" s="276" t="s">
        <v>2087</v>
      </c>
      <c r="F38" s="276" t="s">
        <v>2088</v>
      </c>
      <c r="G38" s="278">
        <v>792</v>
      </c>
      <c r="H38" s="749">
        <v>42207</v>
      </c>
      <c r="I38" s="279">
        <v>1530</v>
      </c>
      <c r="J38" s="280"/>
      <c r="K38" s="294"/>
      <c r="L38" s="279">
        <v>220715</v>
      </c>
      <c r="M38" s="279">
        <v>1820</v>
      </c>
      <c r="N38" s="278" t="s">
        <v>1339</v>
      </c>
      <c r="O38" s="278">
        <v>0</v>
      </c>
      <c r="P38" s="278">
        <v>0</v>
      </c>
      <c r="Q38" s="278">
        <v>2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f t="shared" si="0"/>
        <v>0</v>
      </c>
      <c r="Z38" s="278">
        <f t="shared" si="0"/>
        <v>0</v>
      </c>
      <c r="AA38" s="278">
        <f t="shared" si="0"/>
        <v>2</v>
      </c>
      <c r="AB38" s="278">
        <f t="shared" si="2"/>
        <v>0</v>
      </c>
      <c r="AC38" s="278">
        <v>0</v>
      </c>
      <c r="AD38" s="278">
        <f t="shared" si="1"/>
        <v>2</v>
      </c>
      <c r="AE38" s="276" t="s">
        <v>2004</v>
      </c>
      <c r="AF38" s="276" t="s">
        <v>175</v>
      </c>
      <c r="AG38" s="276" t="s">
        <v>72</v>
      </c>
      <c r="AH38" s="276" t="s">
        <v>2089</v>
      </c>
      <c r="AI38" s="276"/>
      <c r="AJ38" s="282">
        <v>409000</v>
      </c>
      <c r="AK38" s="276" t="s">
        <v>305</v>
      </c>
    </row>
    <row r="39" spans="1:37" s="283" customFormat="1" x14ac:dyDescent="0.35">
      <c r="A39" s="276">
        <v>27102015</v>
      </c>
      <c r="B39" s="289" t="s">
        <v>1391</v>
      </c>
      <c r="C39" s="289" t="s">
        <v>1391</v>
      </c>
      <c r="D39" s="289" t="s">
        <v>2069</v>
      </c>
      <c r="E39" s="276" t="s">
        <v>2090</v>
      </c>
      <c r="F39" s="276" t="s">
        <v>2091</v>
      </c>
      <c r="G39" s="278">
        <v>813</v>
      </c>
      <c r="H39" s="749">
        <v>42207</v>
      </c>
      <c r="I39" s="279">
        <v>1840</v>
      </c>
      <c r="J39" s="280"/>
      <c r="K39" s="280"/>
      <c r="L39" s="279">
        <v>220715</v>
      </c>
      <c r="M39" s="279">
        <v>2110</v>
      </c>
      <c r="N39" s="278" t="s">
        <v>1352</v>
      </c>
      <c r="O39" s="278">
        <v>0</v>
      </c>
      <c r="P39" s="278">
        <v>1.5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f t="shared" si="0"/>
        <v>0</v>
      </c>
      <c r="Z39" s="278">
        <f t="shared" si="0"/>
        <v>1.5</v>
      </c>
      <c r="AA39" s="278">
        <f t="shared" si="0"/>
        <v>0</v>
      </c>
      <c r="AB39" s="278">
        <f t="shared" si="2"/>
        <v>0</v>
      </c>
      <c r="AC39" s="278">
        <v>0</v>
      </c>
      <c r="AD39" s="278">
        <f t="shared" si="1"/>
        <v>1.5</v>
      </c>
      <c r="AE39" s="276" t="s">
        <v>2004</v>
      </c>
      <c r="AF39" s="276" t="s">
        <v>175</v>
      </c>
      <c r="AG39" s="276" t="s">
        <v>72</v>
      </c>
      <c r="AH39" s="276" t="s">
        <v>2092</v>
      </c>
      <c r="AI39" s="276"/>
      <c r="AJ39" s="282">
        <v>306750</v>
      </c>
      <c r="AK39" s="276" t="s">
        <v>305</v>
      </c>
    </row>
    <row r="40" spans="1:37" s="283" customFormat="1" x14ac:dyDescent="0.35">
      <c r="A40" s="276">
        <v>28100115</v>
      </c>
      <c r="B40" s="289" t="s">
        <v>145</v>
      </c>
      <c r="C40" s="289" t="s">
        <v>145</v>
      </c>
      <c r="D40" s="289" t="s">
        <v>2047</v>
      </c>
      <c r="E40" s="276" t="s">
        <v>2093</v>
      </c>
      <c r="F40" s="276" t="s">
        <v>2094</v>
      </c>
      <c r="G40" s="278">
        <v>675</v>
      </c>
      <c r="H40" s="749">
        <v>42208</v>
      </c>
      <c r="I40" s="279">
        <v>1610</v>
      </c>
      <c r="J40" s="280">
        <v>230715</v>
      </c>
      <c r="K40" s="284">
        <v>1620</v>
      </c>
      <c r="L40" s="279">
        <v>230715</v>
      </c>
      <c r="M40" s="279">
        <v>1700</v>
      </c>
      <c r="N40" s="278" t="s">
        <v>1339</v>
      </c>
      <c r="O40" s="278">
        <v>0</v>
      </c>
      <c r="P40" s="278">
        <v>0</v>
      </c>
      <c r="Q40" s="278">
        <v>0.1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f t="shared" si="0"/>
        <v>0</v>
      </c>
      <c r="Z40" s="278">
        <f t="shared" si="0"/>
        <v>0</v>
      </c>
      <c r="AA40" s="278">
        <f t="shared" si="0"/>
        <v>0.1</v>
      </c>
      <c r="AB40" s="278">
        <f t="shared" si="2"/>
        <v>0</v>
      </c>
      <c r="AC40" s="278">
        <v>0</v>
      </c>
      <c r="AD40" s="278">
        <f t="shared" si="1"/>
        <v>0.1</v>
      </c>
      <c r="AE40" s="276" t="s">
        <v>117</v>
      </c>
      <c r="AF40" s="276" t="s">
        <v>117</v>
      </c>
      <c r="AG40" s="276" t="s">
        <v>57</v>
      </c>
      <c r="AH40" s="276" t="s">
        <v>2086</v>
      </c>
      <c r="AI40" s="276" t="s">
        <v>73</v>
      </c>
      <c r="AJ40" s="282">
        <v>21500</v>
      </c>
      <c r="AK40" s="276" t="s">
        <v>305</v>
      </c>
    </row>
    <row r="41" spans="1:37" s="283" customFormat="1" x14ac:dyDescent="0.35">
      <c r="A41" s="296">
        <v>29102015</v>
      </c>
      <c r="B41" s="289" t="s">
        <v>1391</v>
      </c>
      <c r="C41" s="289" t="s">
        <v>1391</v>
      </c>
      <c r="D41" s="289" t="s">
        <v>1631</v>
      </c>
      <c r="E41" s="276" t="s">
        <v>2095</v>
      </c>
      <c r="F41" s="276" t="s">
        <v>2096</v>
      </c>
      <c r="G41" s="278">
        <v>795</v>
      </c>
      <c r="H41" s="749">
        <v>42208</v>
      </c>
      <c r="I41" s="279">
        <v>1710</v>
      </c>
      <c r="J41" s="280"/>
      <c r="K41" s="280"/>
      <c r="L41" s="279">
        <v>230715</v>
      </c>
      <c r="M41" s="279">
        <v>1850</v>
      </c>
      <c r="N41" s="278" t="s">
        <v>1352</v>
      </c>
      <c r="O41" s="278">
        <v>0</v>
      </c>
      <c r="P41" s="278">
        <v>0.5</v>
      </c>
      <c r="Q41" s="278">
        <v>0</v>
      </c>
      <c r="R41" s="278">
        <v>0</v>
      </c>
      <c r="S41" s="278">
        <v>0</v>
      </c>
      <c r="T41" s="278">
        <v>0</v>
      </c>
      <c r="U41" s="278">
        <v>0</v>
      </c>
      <c r="V41" s="278">
        <v>0</v>
      </c>
      <c r="W41" s="278">
        <v>0</v>
      </c>
      <c r="X41" s="278">
        <v>0</v>
      </c>
      <c r="Y41" s="278">
        <f t="shared" si="0"/>
        <v>0</v>
      </c>
      <c r="Z41" s="278">
        <f t="shared" si="0"/>
        <v>0.5</v>
      </c>
      <c r="AA41" s="278">
        <f t="shared" si="0"/>
        <v>0</v>
      </c>
      <c r="AB41" s="278">
        <f t="shared" si="2"/>
        <v>0</v>
      </c>
      <c r="AC41" s="278">
        <v>0</v>
      </c>
      <c r="AD41" s="278">
        <f t="shared" si="1"/>
        <v>0.5</v>
      </c>
      <c r="AE41" s="276" t="s">
        <v>2004</v>
      </c>
      <c r="AF41" s="276" t="s">
        <v>175</v>
      </c>
      <c r="AG41" s="276" t="s">
        <v>72</v>
      </c>
      <c r="AH41" s="276" t="s">
        <v>2092</v>
      </c>
      <c r="AI41" s="276"/>
      <c r="AJ41" s="282">
        <v>100750</v>
      </c>
      <c r="AK41" s="276" t="s">
        <v>305</v>
      </c>
    </row>
    <row r="42" spans="1:37" s="283" customFormat="1" x14ac:dyDescent="0.35">
      <c r="A42" s="276">
        <v>30103415</v>
      </c>
      <c r="B42" s="289" t="s">
        <v>49</v>
      </c>
      <c r="C42" s="289" t="s">
        <v>150</v>
      </c>
      <c r="D42" s="289" t="s">
        <v>1858</v>
      </c>
      <c r="E42" s="276" t="s">
        <v>2097</v>
      </c>
      <c r="F42" s="276" t="s">
        <v>2098</v>
      </c>
      <c r="G42" s="278">
        <v>706</v>
      </c>
      <c r="H42" s="749">
        <v>42209</v>
      </c>
      <c r="I42" s="279">
        <v>1800</v>
      </c>
      <c r="J42" s="280">
        <v>240715</v>
      </c>
      <c r="K42" s="284">
        <v>1810</v>
      </c>
      <c r="L42" s="279">
        <v>240715</v>
      </c>
      <c r="M42" s="279">
        <v>2000</v>
      </c>
      <c r="N42" s="278" t="s">
        <v>62</v>
      </c>
      <c r="O42" s="278">
        <v>1</v>
      </c>
      <c r="P42" s="278">
        <v>0</v>
      </c>
      <c r="Q42" s="278">
        <v>0</v>
      </c>
      <c r="R42" s="278">
        <v>0</v>
      </c>
      <c r="S42" s="278">
        <v>0</v>
      </c>
      <c r="T42" s="278">
        <v>0</v>
      </c>
      <c r="U42" s="278">
        <v>0</v>
      </c>
      <c r="V42" s="278">
        <v>0</v>
      </c>
      <c r="W42" s="278">
        <v>0</v>
      </c>
      <c r="X42" s="278">
        <v>0</v>
      </c>
      <c r="Y42" s="278">
        <f t="shared" si="0"/>
        <v>1</v>
      </c>
      <c r="Z42" s="278">
        <f t="shared" si="0"/>
        <v>0</v>
      </c>
      <c r="AA42" s="278">
        <f t="shared" si="0"/>
        <v>0</v>
      </c>
      <c r="AB42" s="278">
        <f t="shared" si="2"/>
        <v>0</v>
      </c>
      <c r="AC42" s="278">
        <v>0</v>
      </c>
      <c r="AD42" s="278">
        <f t="shared" si="1"/>
        <v>1</v>
      </c>
      <c r="AE42" s="276" t="s">
        <v>66</v>
      </c>
      <c r="AF42" s="276" t="s">
        <v>117</v>
      </c>
      <c r="AG42" s="276" t="s">
        <v>57</v>
      </c>
      <c r="AH42" s="276" t="s">
        <v>2099</v>
      </c>
      <c r="AI42" s="276" t="s">
        <v>73</v>
      </c>
      <c r="AJ42" s="282">
        <v>300000</v>
      </c>
      <c r="AK42" s="276" t="s">
        <v>305</v>
      </c>
    </row>
    <row r="43" spans="1:37" s="283" customFormat="1" x14ac:dyDescent="0.35">
      <c r="A43" s="276">
        <v>31102315</v>
      </c>
      <c r="B43" s="289" t="s">
        <v>68</v>
      </c>
      <c r="C43" s="289" t="s">
        <v>68</v>
      </c>
      <c r="D43" s="289" t="s">
        <v>2100</v>
      </c>
      <c r="E43" s="276" t="s">
        <v>2101</v>
      </c>
      <c r="F43" s="276" t="s">
        <v>2102</v>
      </c>
      <c r="G43" s="278">
        <v>1000</v>
      </c>
      <c r="H43" s="749">
        <v>42211</v>
      </c>
      <c r="I43" s="279">
        <v>1510</v>
      </c>
      <c r="J43" s="280">
        <v>260715</v>
      </c>
      <c r="K43" s="280">
        <v>1525</v>
      </c>
      <c r="L43" s="279">
        <v>260715</v>
      </c>
      <c r="M43" s="279">
        <v>1545</v>
      </c>
      <c r="N43" s="278" t="s">
        <v>62</v>
      </c>
      <c r="O43" s="278">
        <v>0.01</v>
      </c>
      <c r="P43" s="278">
        <v>0</v>
      </c>
      <c r="Q43" s="278">
        <v>0</v>
      </c>
      <c r="R43" s="278">
        <v>0</v>
      </c>
      <c r="S43" s="278">
        <v>0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278">
        <f t="shared" si="0"/>
        <v>0.01</v>
      </c>
      <c r="Z43" s="278">
        <f t="shared" si="0"/>
        <v>0</v>
      </c>
      <c r="AA43" s="278">
        <f t="shared" si="0"/>
        <v>0</v>
      </c>
      <c r="AB43" s="278">
        <f t="shared" si="2"/>
        <v>0</v>
      </c>
      <c r="AC43" s="278">
        <v>0</v>
      </c>
      <c r="AD43" s="278">
        <f t="shared" si="1"/>
        <v>0.01</v>
      </c>
      <c r="AE43" s="281" t="s">
        <v>2103</v>
      </c>
      <c r="AF43" s="276" t="s">
        <v>117</v>
      </c>
      <c r="AG43" s="276" t="s">
        <v>57</v>
      </c>
      <c r="AH43" s="276" t="s">
        <v>2104</v>
      </c>
      <c r="AI43" s="276" t="s">
        <v>73</v>
      </c>
      <c r="AJ43" s="282">
        <v>250</v>
      </c>
      <c r="AK43" s="276" t="s">
        <v>305</v>
      </c>
    </row>
    <row r="44" spans="1:37" s="283" customFormat="1" x14ac:dyDescent="0.35">
      <c r="A44" s="276">
        <v>32101315</v>
      </c>
      <c r="B44" s="289" t="s">
        <v>198</v>
      </c>
      <c r="C44" s="289" t="s">
        <v>199</v>
      </c>
      <c r="D44" s="289" t="s">
        <v>2105</v>
      </c>
      <c r="E44" s="276" t="s">
        <v>2106</v>
      </c>
      <c r="F44" s="276" t="s">
        <v>2107</v>
      </c>
      <c r="G44" s="278">
        <v>650</v>
      </c>
      <c r="H44" s="749">
        <v>42211</v>
      </c>
      <c r="I44" s="279">
        <v>1610</v>
      </c>
      <c r="J44" s="280">
        <v>260715</v>
      </c>
      <c r="K44" s="284">
        <v>1520</v>
      </c>
      <c r="L44" s="279">
        <v>260715</v>
      </c>
      <c r="M44" s="279">
        <v>1910</v>
      </c>
      <c r="N44" s="278" t="s">
        <v>1517</v>
      </c>
      <c r="O44" s="278">
        <v>0</v>
      </c>
      <c r="P44" s="278">
        <v>0.5</v>
      </c>
      <c r="Q44" s="278">
        <v>0</v>
      </c>
      <c r="R44" s="278">
        <v>0</v>
      </c>
      <c r="S44" s="278">
        <v>0</v>
      </c>
      <c r="T44" s="278">
        <v>0</v>
      </c>
      <c r="U44" s="278">
        <v>0</v>
      </c>
      <c r="V44" s="278">
        <v>0</v>
      </c>
      <c r="W44" s="278">
        <v>0</v>
      </c>
      <c r="X44" s="278">
        <v>0</v>
      </c>
      <c r="Y44" s="278">
        <f t="shared" si="0"/>
        <v>0</v>
      </c>
      <c r="Z44" s="278">
        <f t="shared" si="0"/>
        <v>0.5</v>
      </c>
      <c r="AA44" s="278">
        <f t="shared" si="0"/>
        <v>0</v>
      </c>
      <c r="AB44" s="278">
        <f t="shared" si="2"/>
        <v>0</v>
      </c>
      <c r="AC44" s="278">
        <v>0</v>
      </c>
      <c r="AD44" s="278">
        <f t="shared" si="1"/>
        <v>0.5</v>
      </c>
      <c r="AE44" s="276" t="s">
        <v>188</v>
      </c>
      <c r="AF44" s="276" t="s">
        <v>117</v>
      </c>
      <c r="AG44" s="276" t="s">
        <v>57</v>
      </c>
      <c r="AH44" s="276" t="s">
        <v>1521</v>
      </c>
      <c r="AI44" s="276" t="s">
        <v>73</v>
      </c>
      <c r="AJ44" s="282">
        <v>50000</v>
      </c>
      <c r="AK44" s="276" t="s">
        <v>305</v>
      </c>
    </row>
    <row r="45" spans="1:37" s="283" customFormat="1" x14ac:dyDescent="0.35">
      <c r="A45" s="276">
        <v>33100115</v>
      </c>
      <c r="B45" s="289" t="s">
        <v>145</v>
      </c>
      <c r="C45" s="289" t="s">
        <v>145</v>
      </c>
      <c r="D45" s="289" t="s">
        <v>2108</v>
      </c>
      <c r="E45" s="276" t="s">
        <v>2109</v>
      </c>
      <c r="F45" s="276" t="s">
        <v>2110</v>
      </c>
      <c r="G45" s="278">
        <v>675</v>
      </c>
      <c r="H45" s="749">
        <v>42212</v>
      </c>
      <c r="I45" s="279">
        <v>1020</v>
      </c>
      <c r="J45" s="280">
        <v>270715</v>
      </c>
      <c r="K45" s="284">
        <v>1030</v>
      </c>
      <c r="L45" s="279">
        <v>270715</v>
      </c>
      <c r="M45" s="279">
        <v>1240</v>
      </c>
      <c r="N45" s="278" t="s">
        <v>1339</v>
      </c>
      <c r="O45" s="278">
        <v>0</v>
      </c>
      <c r="P45" s="278">
        <v>0</v>
      </c>
      <c r="Q45" s="278">
        <v>2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278">
        <f t="shared" si="0"/>
        <v>0</v>
      </c>
      <c r="Z45" s="278">
        <f t="shared" si="0"/>
        <v>0</v>
      </c>
      <c r="AA45" s="278">
        <f t="shared" si="0"/>
        <v>2</v>
      </c>
      <c r="AB45" s="278">
        <f t="shared" si="2"/>
        <v>0</v>
      </c>
      <c r="AC45" s="278">
        <v>0</v>
      </c>
      <c r="AD45" s="278">
        <f t="shared" si="1"/>
        <v>2</v>
      </c>
      <c r="AE45" s="276" t="s">
        <v>2111</v>
      </c>
      <c r="AF45" s="276" t="s">
        <v>117</v>
      </c>
      <c r="AG45" s="276" t="s">
        <v>57</v>
      </c>
      <c r="AH45" s="276" t="s">
        <v>2112</v>
      </c>
      <c r="AI45" s="276" t="s">
        <v>1709</v>
      </c>
      <c r="AJ45" s="282">
        <v>409000</v>
      </c>
      <c r="AK45" s="276" t="s">
        <v>305</v>
      </c>
    </row>
    <row r="46" spans="1:37" s="283" customFormat="1" x14ac:dyDescent="0.35">
      <c r="A46" s="276">
        <v>34102015</v>
      </c>
      <c r="B46" s="289" t="s">
        <v>1391</v>
      </c>
      <c r="C46" s="289" t="s">
        <v>1391</v>
      </c>
      <c r="D46" s="289" t="s">
        <v>2069</v>
      </c>
      <c r="E46" s="276" t="s">
        <v>2113</v>
      </c>
      <c r="F46" s="276" t="s">
        <v>2114</v>
      </c>
      <c r="G46" s="278">
        <v>765</v>
      </c>
      <c r="H46" s="749">
        <v>42212</v>
      </c>
      <c r="I46" s="279">
        <v>1030</v>
      </c>
      <c r="J46" s="280"/>
      <c r="K46" s="280"/>
      <c r="L46" s="279">
        <v>270715</v>
      </c>
      <c r="M46" s="279">
        <v>1600</v>
      </c>
      <c r="N46" s="278" t="s">
        <v>62</v>
      </c>
      <c r="O46" s="278">
        <v>1</v>
      </c>
      <c r="P46" s="278">
        <v>1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278">
        <f t="shared" si="0"/>
        <v>1</v>
      </c>
      <c r="Z46" s="278">
        <f t="shared" si="0"/>
        <v>1</v>
      </c>
      <c r="AA46" s="278">
        <f t="shared" si="0"/>
        <v>0</v>
      </c>
      <c r="AB46" s="278">
        <f t="shared" si="2"/>
        <v>0</v>
      </c>
      <c r="AC46" s="278">
        <v>0</v>
      </c>
      <c r="AD46" s="278">
        <f t="shared" si="1"/>
        <v>2</v>
      </c>
      <c r="AE46" s="276" t="s">
        <v>2004</v>
      </c>
      <c r="AF46" s="276" t="s">
        <v>175</v>
      </c>
      <c r="AG46" s="276" t="s">
        <v>72</v>
      </c>
      <c r="AH46" s="276" t="s">
        <v>2092</v>
      </c>
      <c r="AI46" s="276"/>
      <c r="AJ46" s="282">
        <v>250000</v>
      </c>
      <c r="AK46" s="276" t="s">
        <v>305</v>
      </c>
    </row>
    <row r="47" spans="1:37" s="283" customFormat="1" x14ac:dyDescent="0.35">
      <c r="A47" s="276">
        <v>35101315</v>
      </c>
      <c r="B47" s="289" t="s">
        <v>198</v>
      </c>
      <c r="C47" s="289" t="s">
        <v>198</v>
      </c>
      <c r="D47" s="289" t="s">
        <v>2057</v>
      </c>
      <c r="E47" s="276" t="s">
        <v>2115</v>
      </c>
      <c r="F47" s="276" t="s">
        <v>2116</v>
      </c>
      <c r="G47" s="278">
        <v>572</v>
      </c>
      <c r="H47" s="749">
        <v>42212</v>
      </c>
      <c r="I47" s="279">
        <v>1230</v>
      </c>
      <c r="J47" s="280"/>
      <c r="K47" s="284"/>
      <c r="L47" s="279">
        <v>270715</v>
      </c>
      <c r="M47" s="279">
        <v>1915</v>
      </c>
      <c r="N47" s="278" t="s">
        <v>1517</v>
      </c>
      <c r="O47" s="278">
        <v>0</v>
      </c>
      <c r="P47" s="278">
        <v>3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</v>
      </c>
      <c r="X47" s="278" t="s">
        <v>2117</v>
      </c>
      <c r="Y47" s="278">
        <f t="shared" si="0"/>
        <v>0</v>
      </c>
      <c r="Z47" s="278">
        <f t="shared" si="0"/>
        <v>3</v>
      </c>
      <c r="AA47" s="278">
        <f t="shared" si="0"/>
        <v>0</v>
      </c>
      <c r="AB47" s="278">
        <f t="shared" si="2"/>
        <v>0</v>
      </c>
      <c r="AC47" s="278" t="s">
        <v>2117</v>
      </c>
      <c r="AD47" s="278">
        <f t="shared" si="1"/>
        <v>3</v>
      </c>
      <c r="AE47" s="276" t="s">
        <v>2004</v>
      </c>
      <c r="AF47" s="276" t="s">
        <v>175</v>
      </c>
      <c r="AG47" s="276" t="s">
        <v>57</v>
      </c>
      <c r="AH47" s="276" t="s">
        <v>1460</v>
      </c>
      <c r="AI47" s="276"/>
      <c r="AJ47" s="282">
        <v>150000</v>
      </c>
      <c r="AK47" s="276" t="s">
        <v>305</v>
      </c>
    </row>
    <row r="48" spans="1:37" s="283" customFormat="1" x14ac:dyDescent="0.35">
      <c r="A48" s="276">
        <v>36100515</v>
      </c>
      <c r="B48" s="289" t="s">
        <v>208</v>
      </c>
      <c r="C48" s="289" t="s">
        <v>208</v>
      </c>
      <c r="D48" s="289" t="s">
        <v>2118</v>
      </c>
      <c r="E48" s="276" t="s">
        <v>2119</v>
      </c>
      <c r="F48" s="276" t="s">
        <v>2116</v>
      </c>
      <c r="G48" s="278">
        <v>307</v>
      </c>
      <c r="H48" s="749">
        <v>42212</v>
      </c>
      <c r="I48" s="279">
        <v>1400</v>
      </c>
      <c r="J48" s="280">
        <v>270715</v>
      </c>
      <c r="K48" s="284">
        <v>1420</v>
      </c>
      <c r="L48" s="279">
        <v>270715</v>
      </c>
      <c r="M48" s="279">
        <v>1850</v>
      </c>
      <c r="N48" s="278" t="s">
        <v>1339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0.5</v>
      </c>
      <c r="U48" s="278">
        <v>0</v>
      </c>
      <c r="V48" s="278">
        <v>4.5</v>
      </c>
      <c r="W48" s="278">
        <v>0</v>
      </c>
      <c r="X48" s="278" t="s">
        <v>2120</v>
      </c>
      <c r="Y48" s="278">
        <f t="shared" si="0"/>
        <v>0.5</v>
      </c>
      <c r="Z48" s="278">
        <f t="shared" si="0"/>
        <v>0</v>
      </c>
      <c r="AA48" s="278">
        <f t="shared" si="0"/>
        <v>4.5</v>
      </c>
      <c r="AB48" s="278">
        <f t="shared" si="2"/>
        <v>0</v>
      </c>
      <c r="AC48" s="278" t="s">
        <v>2120</v>
      </c>
      <c r="AD48" s="278">
        <f t="shared" si="1"/>
        <v>5</v>
      </c>
      <c r="AE48" s="276" t="s">
        <v>188</v>
      </c>
      <c r="AF48" s="276" t="s">
        <v>117</v>
      </c>
      <c r="AG48" s="276" t="s">
        <v>57</v>
      </c>
      <c r="AH48" s="276" t="s">
        <v>1417</v>
      </c>
      <c r="AI48" s="276" t="s">
        <v>73</v>
      </c>
      <c r="AJ48" s="282">
        <v>95000</v>
      </c>
      <c r="AK48" s="276" t="s">
        <v>305</v>
      </c>
    </row>
    <row r="49" spans="1:37" s="283" customFormat="1" x14ac:dyDescent="0.35">
      <c r="A49" s="276">
        <v>37102015</v>
      </c>
      <c r="B49" s="289" t="s">
        <v>1391</v>
      </c>
      <c r="C49" s="289" t="s">
        <v>1391</v>
      </c>
      <c r="D49" s="289" t="s">
        <v>2069</v>
      </c>
      <c r="E49" s="276" t="s">
        <v>2121</v>
      </c>
      <c r="F49" s="276" t="s">
        <v>2122</v>
      </c>
      <c r="G49" s="278">
        <v>800</v>
      </c>
      <c r="H49" s="749">
        <v>42213</v>
      </c>
      <c r="I49" s="279">
        <v>1045</v>
      </c>
      <c r="J49" s="280"/>
      <c r="K49" s="280"/>
      <c r="L49" s="279">
        <v>280715</v>
      </c>
      <c r="M49" s="279">
        <v>1810</v>
      </c>
      <c r="N49" s="278" t="s">
        <v>62</v>
      </c>
      <c r="O49" s="278">
        <v>2</v>
      </c>
      <c r="P49" s="278">
        <v>1</v>
      </c>
      <c r="Q49" s="278">
        <v>0.5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278">
        <v>0</v>
      </c>
      <c r="Y49" s="278">
        <f t="shared" si="0"/>
        <v>2</v>
      </c>
      <c r="Z49" s="278">
        <f t="shared" si="0"/>
        <v>1</v>
      </c>
      <c r="AA49" s="278">
        <f t="shared" si="0"/>
        <v>0.5</v>
      </c>
      <c r="AB49" s="278">
        <f t="shared" si="2"/>
        <v>0</v>
      </c>
      <c r="AC49" s="278">
        <v>0</v>
      </c>
      <c r="AD49" s="278">
        <f t="shared" si="1"/>
        <v>3.5</v>
      </c>
      <c r="AE49" s="276" t="s">
        <v>2004</v>
      </c>
      <c r="AF49" s="276" t="s">
        <v>175</v>
      </c>
      <c r="AG49" s="276" t="s">
        <v>72</v>
      </c>
      <c r="AH49" s="276" t="s">
        <v>2092</v>
      </c>
      <c r="AI49" s="276"/>
      <c r="AJ49" s="282">
        <v>1300000</v>
      </c>
      <c r="AK49" s="276" t="s">
        <v>305</v>
      </c>
    </row>
    <row r="50" spans="1:37" s="283" customFormat="1" x14ac:dyDescent="0.35">
      <c r="A50" s="276">
        <v>38104115</v>
      </c>
      <c r="B50" s="289" t="s">
        <v>208</v>
      </c>
      <c r="C50" s="289" t="s">
        <v>214</v>
      </c>
      <c r="D50" s="289" t="s">
        <v>2123</v>
      </c>
      <c r="E50" s="276" t="s">
        <v>2124</v>
      </c>
      <c r="F50" s="276" t="s">
        <v>2125</v>
      </c>
      <c r="G50" s="278">
        <v>259</v>
      </c>
      <c r="H50" s="749">
        <v>42213</v>
      </c>
      <c r="I50" s="279">
        <v>1240</v>
      </c>
      <c r="J50" s="280">
        <v>280715</v>
      </c>
      <c r="K50" s="284">
        <v>1255</v>
      </c>
      <c r="L50" s="279">
        <v>280715</v>
      </c>
      <c r="M50" s="279">
        <v>1515</v>
      </c>
      <c r="N50" s="278" t="s">
        <v>62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1</v>
      </c>
      <c r="U50" s="278">
        <v>0</v>
      </c>
      <c r="V50" s="278">
        <v>0.5</v>
      </c>
      <c r="W50" s="278">
        <v>0</v>
      </c>
      <c r="X50" s="278" t="s">
        <v>2126</v>
      </c>
      <c r="Y50" s="278">
        <f t="shared" si="0"/>
        <v>1</v>
      </c>
      <c r="Z50" s="278">
        <f t="shared" si="0"/>
        <v>0</v>
      </c>
      <c r="AA50" s="278">
        <f t="shared" si="0"/>
        <v>0.5</v>
      </c>
      <c r="AB50" s="278">
        <f t="shared" si="2"/>
        <v>0</v>
      </c>
      <c r="AC50" s="278" t="s">
        <v>2126</v>
      </c>
      <c r="AD50" s="278">
        <f t="shared" si="1"/>
        <v>1.5</v>
      </c>
      <c r="AE50" s="276" t="s">
        <v>188</v>
      </c>
      <c r="AF50" s="276" t="s">
        <v>117</v>
      </c>
      <c r="AG50" s="276" t="s">
        <v>57</v>
      </c>
      <c r="AH50" s="276" t="s">
        <v>1521</v>
      </c>
      <c r="AI50" s="276" t="s">
        <v>73</v>
      </c>
      <c r="AJ50" s="282">
        <v>105000</v>
      </c>
      <c r="AK50" s="276" t="s">
        <v>305</v>
      </c>
    </row>
    <row r="51" spans="1:37" s="283" customFormat="1" x14ac:dyDescent="0.35">
      <c r="A51" s="297">
        <v>39103115</v>
      </c>
      <c r="B51" s="289" t="s">
        <v>208</v>
      </c>
      <c r="C51" s="289" t="s">
        <v>2005</v>
      </c>
      <c r="D51" s="289" t="s">
        <v>2057</v>
      </c>
      <c r="E51" s="276" t="s">
        <v>2127</v>
      </c>
      <c r="F51" s="276" t="s">
        <v>2128</v>
      </c>
      <c r="G51" s="278">
        <v>640</v>
      </c>
      <c r="H51" s="749">
        <v>42212</v>
      </c>
      <c r="I51" s="279">
        <v>1240</v>
      </c>
      <c r="J51" s="280"/>
      <c r="K51" s="280"/>
      <c r="L51" s="279">
        <v>280715</v>
      </c>
      <c r="M51" s="279">
        <v>1750</v>
      </c>
      <c r="N51" s="278" t="s">
        <v>1517</v>
      </c>
      <c r="O51" s="278">
        <v>0</v>
      </c>
      <c r="P51" s="278">
        <v>2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f t="shared" si="0"/>
        <v>0</v>
      </c>
      <c r="Z51" s="278">
        <f t="shared" si="0"/>
        <v>2</v>
      </c>
      <c r="AA51" s="278">
        <f t="shared" si="0"/>
        <v>0</v>
      </c>
      <c r="AB51" s="278">
        <f t="shared" si="2"/>
        <v>0</v>
      </c>
      <c r="AC51" s="278">
        <v>0</v>
      </c>
      <c r="AD51" s="278">
        <f t="shared" si="1"/>
        <v>2</v>
      </c>
      <c r="AE51" s="276" t="s">
        <v>2004</v>
      </c>
      <c r="AF51" s="276" t="s">
        <v>175</v>
      </c>
      <c r="AG51" s="276" t="s">
        <v>57</v>
      </c>
      <c r="AH51" s="276" t="s">
        <v>1417</v>
      </c>
      <c r="AI51" s="276"/>
      <c r="AJ51" s="282">
        <v>100000</v>
      </c>
      <c r="AK51" s="276" t="s">
        <v>305</v>
      </c>
    </row>
    <row r="52" spans="1:37" s="283" customFormat="1" x14ac:dyDescent="0.35">
      <c r="A52" s="276">
        <v>40100515</v>
      </c>
      <c r="B52" s="289" t="s">
        <v>208</v>
      </c>
      <c r="C52" s="289" t="s">
        <v>208</v>
      </c>
      <c r="D52" s="289" t="s">
        <v>2057</v>
      </c>
      <c r="E52" s="276" t="s">
        <v>2129</v>
      </c>
      <c r="F52" s="276" t="s">
        <v>2130</v>
      </c>
      <c r="G52" s="278">
        <v>478</v>
      </c>
      <c r="H52" s="749">
        <v>42213</v>
      </c>
      <c r="I52" s="279">
        <v>1500</v>
      </c>
      <c r="J52" s="280"/>
      <c r="K52" s="280"/>
      <c r="L52" s="279">
        <v>280715</v>
      </c>
      <c r="M52" s="279">
        <v>1940</v>
      </c>
      <c r="N52" s="278" t="s">
        <v>1517</v>
      </c>
      <c r="O52" s="278">
        <v>0</v>
      </c>
      <c r="P52" s="278">
        <v>2.5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f t="shared" si="0"/>
        <v>0</v>
      </c>
      <c r="Z52" s="278">
        <f t="shared" si="0"/>
        <v>2.5</v>
      </c>
      <c r="AA52" s="278">
        <f t="shared" si="0"/>
        <v>0</v>
      </c>
      <c r="AB52" s="278">
        <f t="shared" si="2"/>
        <v>0</v>
      </c>
      <c r="AC52" s="278">
        <v>0</v>
      </c>
      <c r="AD52" s="278">
        <f t="shared" si="1"/>
        <v>2.5</v>
      </c>
      <c r="AE52" s="276" t="s">
        <v>2004</v>
      </c>
      <c r="AF52" s="276" t="s">
        <v>175</v>
      </c>
      <c r="AG52" s="276" t="s">
        <v>57</v>
      </c>
      <c r="AH52" s="276" t="s">
        <v>1521</v>
      </c>
      <c r="AI52" s="276"/>
      <c r="AJ52" s="282">
        <v>125000</v>
      </c>
      <c r="AK52" s="276" t="s">
        <v>305</v>
      </c>
    </row>
    <row r="53" spans="1:37" s="283" customFormat="1" x14ac:dyDescent="0.35">
      <c r="A53" s="276">
        <v>41100515</v>
      </c>
      <c r="B53" s="289" t="s">
        <v>208</v>
      </c>
      <c r="C53" s="289" t="s">
        <v>208</v>
      </c>
      <c r="D53" s="289" t="s">
        <v>2131</v>
      </c>
      <c r="E53" s="276" t="s">
        <v>2132</v>
      </c>
      <c r="F53" s="276" t="s">
        <v>2021</v>
      </c>
      <c r="G53" s="278">
        <v>480</v>
      </c>
      <c r="H53" s="749">
        <v>42213</v>
      </c>
      <c r="I53" s="279">
        <v>1710</v>
      </c>
      <c r="J53" s="280">
        <v>280715</v>
      </c>
      <c r="K53" s="284">
        <v>1710</v>
      </c>
      <c r="L53" s="279">
        <v>280715</v>
      </c>
      <c r="M53" s="279">
        <v>1850</v>
      </c>
      <c r="N53" s="278" t="s">
        <v>62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0.5</v>
      </c>
      <c r="U53" s="278">
        <v>0</v>
      </c>
      <c r="V53" s="278">
        <v>0</v>
      </c>
      <c r="W53" s="278">
        <v>0</v>
      </c>
      <c r="X53" s="278">
        <v>0</v>
      </c>
      <c r="Y53" s="278">
        <f t="shared" si="0"/>
        <v>0.5</v>
      </c>
      <c r="Z53" s="278">
        <f t="shared" si="0"/>
        <v>0</v>
      </c>
      <c r="AA53" s="278">
        <f t="shared" si="0"/>
        <v>0</v>
      </c>
      <c r="AB53" s="278">
        <f t="shared" si="2"/>
        <v>0</v>
      </c>
      <c r="AC53" s="278">
        <v>0</v>
      </c>
      <c r="AD53" s="278">
        <f t="shared" si="1"/>
        <v>0.5</v>
      </c>
      <c r="AE53" s="276" t="s">
        <v>117</v>
      </c>
      <c r="AF53" s="276" t="s">
        <v>117</v>
      </c>
      <c r="AG53" s="276" t="s">
        <v>72</v>
      </c>
      <c r="AH53" s="276" t="s">
        <v>1417</v>
      </c>
      <c r="AI53" s="276" t="s">
        <v>73</v>
      </c>
      <c r="AJ53" s="282">
        <v>50000</v>
      </c>
      <c r="AK53" s="276" t="s">
        <v>305</v>
      </c>
    </row>
    <row r="54" spans="1:37" s="283" customFormat="1" x14ac:dyDescent="0.35">
      <c r="A54" s="276">
        <v>42100115</v>
      </c>
      <c r="B54" s="289" t="s">
        <v>145</v>
      </c>
      <c r="C54" s="289" t="s">
        <v>145</v>
      </c>
      <c r="D54" s="289" t="s">
        <v>2047</v>
      </c>
      <c r="E54" s="276" t="s">
        <v>2133</v>
      </c>
      <c r="F54" s="276" t="s">
        <v>2134</v>
      </c>
      <c r="G54" s="278">
        <v>675</v>
      </c>
      <c r="H54" s="749">
        <v>42214</v>
      </c>
      <c r="I54" s="279">
        <v>1020</v>
      </c>
      <c r="J54" s="280">
        <v>290715</v>
      </c>
      <c r="K54" s="284">
        <v>1030</v>
      </c>
      <c r="L54" s="279">
        <v>290715</v>
      </c>
      <c r="M54" s="279">
        <v>1100</v>
      </c>
      <c r="N54" s="278" t="s">
        <v>1339</v>
      </c>
      <c r="O54" s="278">
        <v>0</v>
      </c>
      <c r="P54" s="278">
        <v>0</v>
      </c>
      <c r="Q54" s="278">
        <v>0.03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f t="shared" si="0"/>
        <v>0</v>
      </c>
      <c r="Z54" s="278">
        <f t="shared" si="0"/>
        <v>0</v>
      </c>
      <c r="AA54" s="278">
        <f t="shared" si="0"/>
        <v>0.03</v>
      </c>
      <c r="AB54" s="278">
        <f t="shared" si="2"/>
        <v>0</v>
      </c>
      <c r="AC54" s="278">
        <v>0</v>
      </c>
      <c r="AD54" s="278">
        <f t="shared" si="1"/>
        <v>0.03</v>
      </c>
      <c r="AE54" s="276" t="s">
        <v>188</v>
      </c>
      <c r="AF54" s="276" t="s">
        <v>117</v>
      </c>
      <c r="AG54" s="276" t="s">
        <v>72</v>
      </c>
      <c r="AH54" s="276" t="s">
        <v>2112</v>
      </c>
      <c r="AI54" s="276" t="s">
        <v>73</v>
      </c>
      <c r="AJ54" s="282">
        <v>61200</v>
      </c>
      <c r="AK54" s="276" t="s">
        <v>305</v>
      </c>
    </row>
    <row r="55" spans="1:37" s="283" customFormat="1" x14ac:dyDescent="0.35">
      <c r="A55" s="276">
        <v>43101315</v>
      </c>
      <c r="B55" s="289" t="s">
        <v>198</v>
      </c>
      <c r="C55" s="289" t="s">
        <v>198</v>
      </c>
      <c r="D55" s="289" t="s">
        <v>2135</v>
      </c>
      <c r="E55" s="276" t="s">
        <v>2136</v>
      </c>
      <c r="F55" s="276" t="s">
        <v>2137</v>
      </c>
      <c r="G55" s="278">
        <v>780</v>
      </c>
      <c r="H55" s="749">
        <v>42214</v>
      </c>
      <c r="I55" s="279">
        <v>1400</v>
      </c>
      <c r="J55" s="280">
        <v>290715</v>
      </c>
      <c r="K55" s="284">
        <v>1430</v>
      </c>
      <c r="L55" s="279">
        <v>290715</v>
      </c>
      <c r="M55" s="279">
        <v>2000</v>
      </c>
      <c r="N55" s="278" t="s">
        <v>62</v>
      </c>
      <c r="O55" s="278">
        <v>0</v>
      </c>
      <c r="P55" s="278">
        <v>0</v>
      </c>
      <c r="Q55" s="278">
        <v>0</v>
      </c>
      <c r="R55" s="278">
        <v>0</v>
      </c>
      <c r="S55" s="278">
        <v>0</v>
      </c>
      <c r="T55" s="278">
        <v>8</v>
      </c>
      <c r="U55" s="278">
        <v>0</v>
      </c>
      <c r="V55" s="278">
        <v>0</v>
      </c>
      <c r="W55" s="278">
        <v>0</v>
      </c>
      <c r="X55" s="278">
        <v>0</v>
      </c>
      <c r="Y55" s="278">
        <f t="shared" si="0"/>
        <v>8</v>
      </c>
      <c r="Z55" s="278">
        <f t="shared" si="0"/>
        <v>0</v>
      </c>
      <c r="AA55" s="278">
        <f t="shared" si="0"/>
        <v>0</v>
      </c>
      <c r="AB55" s="278">
        <f t="shared" si="2"/>
        <v>0</v>
      </c>
      <c r="AC55" s="278">
        <v>0</v>
      </c>
      <c r="AD55" s="278">
        <f t="shared" si="1"/>
        <v>8</v>
      </c>
      <c r="AE55" s="276" t="s">
        <v>2042</v>
      </c>
      <c r="AF55" s="276" t="s">
        <v>117</v>
      </c>
      <c r="AG55" s="276" t="s">
        <v>2138</v>
      </c>
      <c r="AH55" s="276" t="s">
        <v>1561</v>
      </c>
      <c r="AI55" s="276" t="s">
        <v>67</v>
      </c>
      <c r="AJ55" s="282">
        <v>800000</v>
      </c>
      <c r="AK55" s="276" t="s">
        <v>305</v>
      </c>
    </row>
    <row r="56" spans="1:37" s="283" customFormat="1" x14ac:dyDescent="0.35">
      <c r="A56" s="276">
        <v>44104315</v>
      </c>
      <c r="B56" s="291" t="s">
        <v>101</v>
      </c>
      <c r="C56" s="291" t="s">
        <v>1665</v>
      </c>
      <c r="D56" s="291" t="s">
        <v>2139</v>
      </c>
      <c r="E56" s="276" t="s">
        <v>2140</v>
      </c>
      <c r="F56" s="276" t="s">
        <v>2141</v>
      </c>
      <c r="G56" s="278">
        <v>985</v>
      </c>
      <c r="H56" s="749">
        <v>42215</v>
      </c>
      <c r="I56" s="279">
        <v>1430</v>
      </c>
      <c r="J56" s="280">
        <v>300715</v>
      </c>
      <c r="K56" s="280">
        <v>1445</v>
      </c>
      <c r="L56" s="279">
        <v>300715</v>
      </c>
      <c r="M56" s="279">
        <v>1500</v>
      </c>
      <c r="N56" s="278" t="s">
        <v>62</v>
      </c>
      <c r="O56" s="278">
        <v>0.01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0</v>
      </c>
      <c r="W56" s="278">
        <v>0</v>
      </c>
      <c r="X56" s="278">
        <v>0</v>
      </c>
      <c r="Y56" s="278">
        <f t="shared" si="0"/>
        <v>0.01</v>
      </c>
      <c r="Z56" s="278">
        <f t="shared" si="0"/>
        <v>0</v>
      </c>
      <c r="AA56" s="278">
        <f t="shared" si="0"/>
        <v>0</v>
      </c>
      <c r="AB56" s="278">
        <f t="shared" si="2"/>
        <v>0</v>
      </c>
      <c r="AC56" s="278">
        <v>0</v>
      </c>
      <c r="AD56" s="278">
        <f t="shared" si="1"/>
        <v>0.01</v>
      </c>
      <c r="AE56" s="276" t="s">
        <v>117</v>
      </c>
      <c r="AF56" s="276" t="s">
        <v>117</v>
      </c>
      <c r="AG56" s="276" t="s">
        <v>72</v>
      </c>
      <c r="AH56" s="276" t="s">
        <v>2142</v>
      </c>
      <c r="AI56" s="276" t="s">
        <v>2143</v>
      </c>
      <c r="AJ56" s="282">
        <v>10000</v>
      </c>
      <c r="AK56" s="276" t="s">
        <v>305</v>
      </c>
    </row>
    <row r="57" spans="1:37" s="283" customFormat="1" x14ac:dyDescent="0.35">
      <c r="A57" s="276">
        <v>45101215</v>
      </c>
      <c r="B57" s="286" t="s">
        <v>83</v>
      </c>
      <c r="C57" s="286" t="s">
        <v>83</v>
      </c>
      <c r="D57" s="286" t="s">
        <v>1376</v>
      </c>
      <c r="E57" s="276" t="s">
        <v>2144</v>
      </c>
      <c r="F57" s="276" t="s">
        <v>2145</v>
      </c>
      <c r="G57" s="278">
        <v>570</v>
      </c>
      <c r="H57" s="749">
        <v>42216</v>
      </c>
      <c r="I57" s="279">
        <v>1045</v>
      </c>
      <c r="J57" s="280">
        <v>310715</v>
      </c>
      <c r="K57" s="284">
        <v>1055</v>
      </c>
      <c r="L57" s="279">
        <v>310715</v>
      </c>
      <c r="M57" s="279">
        <v>1120</v>
      </c>
      <c r="N57" s="278" t="s">
        <v>1339</v>
      </c>
      <c r="O57" s="278">
        <v>0</v>
      </c>
      <c r="P57" s="278">
        <v>0</v>
      </c>
      <c r="Q57" s="278">
        <v>0.01</v>
      </c>
      <c r="R57" s="278">
        <v>0</v>
      </c>
      <c r="S57" s="278">
        <v>0</v>
      </c>
      <c r="T57" s="278">
        <v>0</v>
      </c>
      <c r="U57" s="278">
        <v>0</v>
      </c>
      <c r="V57" s="278">
        <v>0</v>
      </c>
      <c r="W57" s="278">
        <v>0</v>
      </c>
      <c r="X57" s="278">
        <v>0</v>
      </c>
      <c r="Y57" s="278">
        <f t="shared" si="0"/>
        <v>0</v>
      </c>
      <c r="Z57" s="278">
        <f t="shared" si="0"/>
        <v>0</v>
      </c>
      <c r="AA57" s="278">
        <f t="shared" si="0"/>
        <v>0.01</v>
      </c>
      <c r="AB57" s="278">
        <f t="shared" si="2"/>
        <v>0</v>
      </c>
      <c r="AC57" s="278">
        <v>0</v>
      </c>
      <c r="AD57" s="278">
        <f t="shared" si="1"/>
        <v>0.01</v>
      </c>
      <c r="AE57" s="276" t="s">
        <v>117</v>
      </c>
      <c r="AF57" s="276" t="s">
        <v>117</v>
      </c>
      <c r="AG57" s="276" t="s">
        <v>72</v>
      </c>
      <c r="AH57" s="276" t="s">
        <v>1521</v>
      </c>
      <c r="AI57" s="276" t="s">
        <v>1657</v>
      </c>
      <c r="AJ57" s="282" t="s">
        <v>2146</v>
      </c>
      <c r="AK57" s="276" t="s">
        <v>305</v>
      </c>
    </row>
    <row r="58" spans="1:37" s="283" customFormat="1" x14ac:dyDescent="0.35">
      <c r="A58" s="276">
        <v>46104115</v>
      </c>
      <c r="B58" s="289" t="s">
        <v>208</v>
      </c>
      <c r="C58" s="289" t="s">
        <v>214</v>
      </c>
      <c r="D58" s="289" t="s">
        <v>2147</v>
      </c>
      <c r="E58" s="276" t="s">
        <v>2148</v>
      </c>
      <c r="F58" s="276" t="s">
        <v>2128</v>
      </c>
      <c r="G58" s="278">
        <v>715</v>
      </c>
      <c r="H58" s="749">
        <v>42216</v>
      </c>
      <c r="I58" s="279">
        <v>1330</v>
      </c>
      <c r="J58" s="280"/>
      <c r="K58" s="284"/>
      <c r="L58" s="279">
        <v>310715</v>
      </c>
      <c r="M58" s="279">
        <v>1635</v>
      </c>
      <c r="N58" s="278" t="s">
        <v>62</v>
      </c>
      <c r="O58" s="278">
        <v>0</v>
      </c>
      <c r="P58" s="278">
        <v>0</v>
      </c>
      <c r="Q58" s="278">
        <v>0</v>
      </c>
      <c r="R58" s="278">
        <v>0</v>
      </c>
      <c r="S58" s="278">
        <v>0</v>
      </c>
      <c r="T58" s="278">
        <v>1.5</v>
      </c>
      <c r="U58" s="278">
        <v>0</v>
      </c>
      <c r="V58" s="278">
        <v>0</v>
      </c>
      <c r="W58" s="278">
        <v>0</v>
      </c>
      <c r="X58" s="278">
        <v>0</v>
      </c>
      <c r="Y58" s="278">
        <f t="shared" si="0"/>
        <v>1.5</v>
      </c>
      <c r="Z58" s="278">
        <f t="shared" si="0"/>
        <v>0</v>
      </c>
      <c r="AA58" s="278">
        <f t="shared" si="0"/>
        <v>0</v>
      </c>
      <c r="AB58" s="278">
        <f t="shared" si="2"/>
        <v>0</v>
      </c>
      <c r="AC58" s="278">
        <v>0</v>
      </c>
      <c r="AD58" s="278">
        <f t="shared" si="1"/>
        <v>1.5</v>
      </c>
      <c r="AE58" s="276" t="s">
        <v>2004</v>
      </c>
      <c r="AF58" s="276" t="s">
        <v>175</v>
      </c>
      <c r="AG58" s="276" t="s">
        <v>57</v>
      </c>
      <c r="AH58" s="276" t="s">
        <v>1417</v>
      </c>
      <c r="AI58" s="276"/>
      <c r="AJ58" s="282">
        <v>150000</v>
      </c>
      <c r="AK58" s="276" t="s">
        <v>305</v>
      </c>
    </row>
    <row r="59" spans="1:37" s="283" customFormat="1" x14ac:dyDescent="0.35">
      <c r="A59" s="276">
        <v>47103115</v>
      </c>
      <c r="B59" s="289" t="s">
        <v>208</v>
      </c>
      <c r="C59" s="289" t="s">
        <v>2005</v>
      </c>
      <c r="D59" s="289" t="s">
        <v>2057</v>
      </c>
      <c r="E59" s="276" t="s">
        <v>2149</v>
      </c>
      <c r="F59" s="276" t="s">
        <v>2150</v>
      </c>
      <c r="G59" s="278">
        <v>447</v>
      </c>
      <c r="H59" s="749">
        <v>42216</v>
      </c>
      <c r="I59" s="279">
        <v>1355</v>
      </c>
      <c r="J59" s="280"/>
      <c r="K59" s="284"/>
      <c r="L59" s="279">
        <v>310715</v>
      </c>
      <c r="M59" s="279">
        <v>1715</v>
      </c>
      <c r="N59" s="278" t="s">
        <v>1517</v>
      </c>
      <c r="O59" s="278">
        <v>0</v>
      </c>
      <c r="P59" s="278">
        <v>1.5</v>
      </c>
      <c r="Q59" s="278">
        <v>0</v>
      </c>
      <c r="R59" s="278">
        <v>0</v>
      </c>
      <c r="S59" s="278">
        <v>0</v>
      </c>
      <c r="T59" s="278">
        <v>0</v>
      </c>
      <c r="U59" s="278">
        <v>0</v>
      </c>
      <c r="V59" s="278">
        <v>0</v>
      </c>
      <c r="W59" s="278">
        <v>0</v>
      </c>
      <c r="X59" s="278">
        <v>0</v>
      </c>
      <c r="Y59" s="278">
        <f t="shared" si="0"/>
        <v>0</v>
      </c>
      <c r="Z59" s="278">
        <f t="shared" si="0"/>
        <v>1.5</v>
      </c>
      <c r="AA59" s="278">
        <f t="shared" si="0"/>
        <v>0</v>
      </c>
      <c r="AB59" s="278">
        <f t="shared" si="2"/>
        <v>0</v>
      </c>
      <c r="AC59" s="278">
        <v>0</v>
      </c>
      <c r="AD59" s="278">
        <f t="shared" si="1"/>
        <v>1.5</v>
      </c>
      <c r="AE59" s="276" t="s">
        <v>2004</v>
      </c>
      <c r="AF59" s="276" t="s">
        <v>175</v>
      </c>
      <c r="AG59" s="276" t="s">
        <v>57</v>
      </c>
      <c r="AH59" s="276" t="s">
        <v>1460</v>
      </c>
      <c r="AI59" s="276"/>
      <c r="AJ59" s="282">
        <v>75000</v>
      </c>
      <c r="AK59" s="276" t="s">
        <v>305</v>
      </c>
    </row>
    <row r="60" spans="1:37" s="283" customFormat="1" x14ac:dyDescent="0.35">
      <c r="A60" s="276">
        <v>48103915</v>
      </c>
      <c r="B60" s="289" t="s">
        <v>198</v>
      </c>
      <c r="C60" s="291" t="s">
        <v>1356</v>
      </c>
      <c r="D60" s="289" t="s">
        <v>2135</v>
      </c>
      <c r="E60" s="276" t="s">
        <v>1519</v>
      </c>
      <c r="F60" s="276" t="s">
        <v>2151</v>
      </c>
      <c r="G60" s="278">
        <v>721</v>
      </c>
      <c r="H60" s="749">
        <v>42216</v>
      </c>
      <c r="I60" s="279">
        <v>1410</v>
      </c>
      <c r="J60" s="280">
        <v>310715</v>
      </c>
      <c r="K60" s="284">
        <v>1435</v>
      </c>
      <c r="L60" s="279">
        <v>310715</v>
      </c>
      <c r="M60" s="279">
        <v>1530</v>
      </c>
      <c r="N60" s="278" t="s">
        <v>62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278">
        <v>0.5</v>
      </c>
      <c r="U60" s="278">
        <v>0</v>
      </c>
      <c r="V60" s="278">
        <v>0</v>
      </c>
      <c r="W60" s="278">
        <v>0</v>
      </c>
      <c r="X60" s="278">
        <v>0</v>
      </c>
      <c r="Y60" s="278">
        <f t="shared" si="0"/>
        <v>0.5</v>
      </c>
      <c r="Z60" s="278">
        <f t="shared" si="0"/>
        <v>0</v>
      </c>
      <c r="AA60" s="278">
        <f t="shared" si="0"/>
        <v>0</v>
      </c>
      <c r="AB60" s="278">
        <f t="shared" si="2"/>
        <v>0</v>
      </c>
      <c r="AC60" s="278">
        <v>0</v>
      </c>
      <c r="AD60" s="278">
        <f t="shared" si="1"/>
        <v>0.5</v>
      </c>
      <c r="AE60" s="276" t="s">
        <v>71</v>
      </c>
      <c r="AF60" s="276" t="s">
        <v>117</v>
      </c>
      <c r="AG60" s="276" t="s">
        <v>72</v>
      </c>
      <c r="AH60" s="276" t="s">
        <v>1417</v>
      </c>
      <c r="AI60" s="276" t="s">
        <v>73</v>
      </c>
      <c r="AJ60" s="282">
        <v>50000</v>
      </c>
      <c r="AK60" s="276" t="s">
        <v>305</v>
      </c>
    </row>
    <row r="61" spans="1:37" s="283" customFormat="1" x14ac:dyDescent="0.35">
      <c r="A61" s="276">
        <v>49103915</v>
      </c>
      <c r="B61" s="289" t="s">
        <v>198</v>
      </c>
      <c r="C61" s="291" t="s">
        <v>1356</v>
      </c>
      <c r="D61" s="291" t="s">
        <v>2152</v>
      </c>
      <c r="E61" s="276" t="s">
        <v>2153</v>
      </c>
      <c r="F61" s="276" t="s">
        <v>2154</v>
      </c>
      <c r="G61" s="278">
        <v>736</v>
      </c>
      <c r="H61" s="749">
        <v>42216</v>
      </c>
      <c r="I61" s="279">
        <v>1530</v>
      </c>
      <c r="J61" s="280">
        <v>310715</v>
      </c>
      <c r="K61" s="284">
        <v>1740</v>
      </c>
      <c r="L61" s="279">
        <v>310715</v>
      </c>
      <c r="M61" s="279">
        <v>1740</v>
      </c>
      <c r="N61" s="278" t="s">
        <v>62</v>
      </c>
      <c r="O61" s="278">
        <v>1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f t="shared" si="0"/>
        <v>1</v>
      </c>
      <c r="Z61" s="278">
        <f t="shared" si="0"/>
        <v>0</v>
      </c>
      <c r="AA61" s="278">
        <f t="shared" si="0"/>
        <v>0</v>
      </c>
      <c r="AB61" s="278">
        <f t="shared" si="2"/>
        <v>0</v>
      </c>
      <c r="AC61" s="278">
        <v>0</v>
      </c>
      <c r="AD61" s="278">
        <f t="shared" si="1"/>
        <v>1</v>
      </c>
      <c r="AE61" s="276" t="s">
        <v>117</v>
      </c>
      <c r="AF61" s="276" t="s">
        <v>117</v>
      </c>
      <c r="AG61" s="276" t="s">
        <v>57</v>
      </c>
      <c r="AH61" s="276" t="s">
        <v>1460</v>
      </c>
      <c r="AI61" s="276" t="s">
        <v>73</v>
      </c>
      <c r="AJ61" s="282">
        <v>100000</v>
      </c>
      <c r="AK61" s="276" t="s">
        <v>305</v>
      </c>
    </row>
    <row r="62" spans="1:37" s="283" customFormat="1" x14ac:dyDescent="0.35">
      <c r="A62" s="276">
        <v>50104115</v>
      </c>
      <c r="B62" s="289" t="s">
        <v>208</v>
      </c>
      <c r="C62" s="289" t="s">
        <v>214</v>
      </c>
      <c r="D62" s="289" t="s">
        <v>2155</v>
      </c>
      <c r="E62" s="276" t="s">
        <v>2156</v>
      </c>
      <c r="F62" s="276" t="s">
        <v>2157</v>
      </c>
      <c r="G62" s="278">
        <v>255</v>
      </c>
      <c r="H62" s="749">
        <v>42216</v>
      </c>
      <c r="I62" s="279">
        <v>1620</v>
      </c>
      <c r="J62" s="280">
        <v>310715</v>
      </c>
      <c r="K62" s="284">
        <v>1630</v>
      </c>
      <c r="L62" s="279">
        <v>310715</v>
      </c>
      <c r="M62" s="279">
        <v>1745</v>
      </c>
      <c r="N62" s="278" t="s">
        <v>62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3.5</v>
      </c>
      <c r="U62" s="278">
        <v>0</v>
      </c>
      <c r="V62" s="278">
        <v>0</v>
      </c>
      <c r="W62" s="278">
        <v>0</v>
      </c>
      <c r="X62" s="278">
        <v>0</v>
      </c>
      <c r="Y62" s="278">
        <f t="shared" si="0"/>
        <v>3.5</v>
      </c>
      <c r="Z62" s="278">
        <f t="shared" si="0"/>
        <v>0</v>
      </c>
      <c r="AA62" s="278">
        <f t="shared" si="0"/>
        <v>0</v>
      </c>
      <c r="AB62" s="278">
        <f t="shared" si="2"/>
        <v>0</v>
      </c>
      <c r="AC62" s="278">
        <v>0</v>
      </c>
      <c r="AD62" s="278">
        <f t="shared" si="1"/>
        <v>3.5</v>
      </c>
      <c r="AE62" s="276" t="s">
        <v>2158</v>
      </c>
      <c r="AF62" s="276" t="s">
        <v>117</v>
      </c>
      <c r="AG62" s="276" t="s">
        <v>57</v>
      </c>
      <c r="AH62" s="276" t="s">
        <v>1521</v>
      </c>
      <c r="AI62" s="276" t="s">
        <v>73</v>
      </c>
      <c r="AJ62" s="282">
        <v>350000</v>
      </c>
      <c r="AK62" s="276" t="s">
        <v>305</v>
      </c>
    </row>
    <row r="63" spans="1:37" s="283" customFormat="1" x14ac:dyDescent="0.35">
      <c r="A63" s="281">
        <v>51104415</v>
      </c>
      <c r="B63" s="289" t="s">
        <v>145</v>
      </c>
      <c r="C63" s="289" t="s">
        <v>1475</v>
      </c>
      <c r="D63" s="289" t="s">
        <v>2159</v>
      </c>
      <c r="E63" s="276" t="s">
        <v>2160</v>
      </c>
      <c r="F63" s="276" t="s">
        <v>2161</v>
      </c>
      <c r="G63" s="278">
        <v>700</v>
      </c>
      <c r="H63" s="749">
        <v>42216</v>
      </c>
      <c r="I63" s="279">
        <v>1630</v>
      </c>
      <c r="J63" s="280">
        <v>310715</v>
      </c>
      <c r="K63" s="284">
        <v>1645</v>
      </c>
      <c r="L63" s="279">
        <v>310715</v>
      </c>
      <c r="M63" s="279">
        <v>1745</v>
      </c>
      <c r="N63" s="278" t="s">
        <v>1339</v>
      </c>
      <c r="O63" s="278">
        <v>0</v>
      </c>
      <c r="P63" s="278">
        <v>0</v>
      </c>
      <c r="Q63" s="278">
        <v>2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f t="shared" si="0"/>
        <v>0</v>
      </c>
      <c r="Z63" s="278">
        <f t="shared" si="0"/>
        <v>0</v>
      </c>
      <c r="AA63" s="278">
        <f t="shared" si="0"/>
        <v>2</v>
      </c>
      <c r="AB63" s="278">
        <f t="shared" si="2"/>
        <v>0</v>
      </c>
      <c r="AC63" s="278">
        <v>0</v>
      </c>
      <c r="AD63" s="278">
        <f t="shared" si="1"/>
        <v>2</v>
      </c>
      <c r="AE63" s="276" t="s">
        <v>2004</v>
      </c>
      <c r="AF63" s="276" t="s">
        <v>117</v>
      </c>
      <c r="AG63" s="276" t="s">
        <v>57</v>
      </c>
      <c r="AH63" s="276" t="s">
        <v>1521</v>
      </c>
      <c r="AI63" s="276" t="s">
        <v>73</v>
      </c>
      <c r="AJ63" s="282">
        <v>403000</v>
      </c>
      <c r="AK63" s="276" t="s">
        <v>305</v>
      </c>
    </row>
    <row r="64" spans="1:37" s="283" customFormat="1" x14ac:dyDescent="0.35">
      <c r="A64" s="288">
        <v>52104415</v>
      </c>
      <c r="B64" s="290" t="s">
        <v>145</v>
      </c>
      <c r="C64" s="290" t="s">
        <v>1475</v>
      </c>
      <c r="D64" s="290" t="s">
        <v>2047</v>
      </c>
      <c r="E64" s="298" t="s">
        <v>2162</v>
      </c>
      <c r="F64" s="298" t="s">
        <v>2163</v>
      </c>
      <c r="G64" s="299">
        <v>210</v>
      </c>
      <c r="H64" s="751">
        <v>42218</v>
      </c>
      <c r="I64" s="299">
        <v>1645</v>
      </c>
      <c r="J64" s="299">
        <v>20815</v>
      </c>
      <c r="K64" s="299">
        <v>1655</v>
      </c>
      <c r="L64" s="299">
        <v>20815</v>
      </c>
      <c r="M64" s="299">
        <v>1845</v>
      </c>
      <c r="N64" s="299" t="s">
        <v>526</v>
      </c>
      <c r="O64" s="299">
        <v>1</v>
      </c>
      <c r="P64" s="299">
        <v>0</v>
      </c>
      <c r="Q64" s="299">
        <v>0.5</v>
      </c>
      <c r="R64" s="299">
        <v>0</v>
      </c>
      <c r="S64" s="299">
        <v>0</v>
      </c>
      <c r="T64" s="299">
        <v>0</v>
      </c>
      <c r="U64" s="299">
        <v>0</v>
      </c>
      <c r="V64" s="299">
        <v>0</v>
      </c>
      <c r="W64" s="299">
        <v>0</v>
      </c>
      <c r="X64" s="299">
        <v>0</v>
      </c>
      <c r="Y64" s="278">
        <f t="shared" si="0"/>
        <v>1</v>
      </c>
      <c r="Z64" s="278">
        <f t="shared" si="0"/>
        <v>0</v>
      </c>
      <c r="AA64" s="278">
        <f t="shared" si="0"/>
        <v>0.5</v>
      </c>
      <c r="AB64" s="299">
        <f t="shared" si="2"/>
        <v>0</v>
      </c>
      <c r="AC64" s="299">
        <v>0</v>
      </c>
      <c r="AD64" s="278">
        <f t="shared" si="1"/>
        <v>1.5</v>
      </c>
      <c r="AE64" s="281" t="s">
        <v>117</v>
      </c>
      <c r="AF64" s="281" t="s">
        <v>117</v>
      </c>
      <c r="AG64" s="281" t="s">
        <v>57</v>
      </c>
      <c r="AH64" s="281" t="s">
        <v>1487</v>
      </c>
      <c r="AI64" s="281" t="s">
        <v>73</v>
      </c>
      <c r="AJ64" s="300">
        <v>304500</v>
      </c>
      <c r="AK64" s="281" t="s">
        <v>305</v>
      </c>
    </row>
    <row r="65" spans="1:37" s="283" customFormat="1" x14ac:dyDescent="0.35">
      <c r="A65" s="276">
        <v>53100315</v>
      </c>
      <c r="B65" s="289" t="s">
        <v>198</v>
      </c>
      <c r="C65" s="289" t="s">
        <v>1523</v>
      </c>
      <c r="D65" s="289" t="s">
        <v>2164</v>
      </c>
      <c r="E65" s="298" t="s">
        <v>2148</v>
      </c>
      <c r="F65" s="298" t="s">
        <v>2165</v>
      </c>
      <c r="G65" s="299">
        <v>868</v>
      </c>
      <c r="H65" s="751">
        <v>42221</v>
      </c>
      <c r="I65" s="299">
        <v>800</v>
      </c>
      <c r="J65" s="299">
        <v>50815</v>
      </c>
      <c r="K65" s="301">
        <v>0.35416666666666669</v>
      </c>
      <c r="L65" s="299">
        <v>50815</v>
      </c>
      <c r="M65" s="299">
        <v>1050</v>
      </c>
      <c r="N65" s="299" t="s">
        <v>62</v>
      </c>
      <c r="O65" s="299">
        <v>0</v>
      </c>
      <c r="P65" s="299">
        <v>0</v>
      </c>
      <c r="Q65" s="299">
        <v>0</v>
      </c>
      <c r="R65" s="299">
        <v>0</v>
      </c>
      <c r="S65" s="299">
        <v>0</v>
      </c>
      <c r="T65" s="299">
        <v>1</v>
      </c>
      <c r="U65" s="299">
        <v>0</v>
      </c>
      <c r="V65" s="299">
        <v>0</v>
      </c>
      <c r="W65" s="299">
        <v>0</v>
      </c>
      <c r="X65" s="299">
        <v>0</v>
      </c>
      <c r="Y65" s="278">
        <f t="shared" si="0"/>
        <v>1</v>
      </c>
      <c r="Z65" s="278">
        <f t="shared" si="0"/>
        <v>0</v>
      </c>
      <c r="AA65" s="278">
        <f t="shared" si="0"/>
        <v>0</v>
      </c>
      <c r="AB65" s="299">
        <v>0</v>
      </c>
      <c r="AC65" s="299">
        <v>0</v>
      </c>
      <c r="AD65" s="278">
        <f t="shared" si="1"/>
        <v>1</v>
      </c>
      <c r="AE65" s="281" t="s">
        <v>2166</v>
      </c>
      <c r="AF65" s="281" t="s">
        <v>117</v>
      </c>
      <c r="AG65" s="281" t="s">
        <v>72</v>
      </c>
      <c r="AH65" s="281" t="s">
        <v>1521</v>
      </c>
      <c r="AI65" s="281" t="s">
        <v>1503</v>
      </c>
      <c r="AJ65" s="300">
        <v>100000</v>
      </c>
      <c r="AK65" s="281" t="s">
        <v>305</v>
      </c>
    </row>
    <row r="66" spans="1:37" s="283" customFormat="1" x14ac:dyDescent="0.35">
      <c r="A66" s="276">
        <v>54100515</v>
      </c>
      <c r="B66" s="289" t="s">
        <v>208</v>
      </c>
      <c r="C66" s="289" t="s">
        <v>208</v>
      </c>
      <c r="D66" s="289" t="s">
        <v>2167</v>
      </c>
      <c r="E66" s="298" t="s">
        <v>2168</v>
      </c>
      <c r="F66" s="298" t="s">
        <v>1806</v>
      </c>
      <c r="G66" s="299">
        <v>613</v>
      </c>
      <c r="H66" s="751">
        <v>42221</v>
      </c>
      <c r="I66" s="299">
        <v>1315</v>
      </c>
      <c r="J66" s="299"/>
      <c r="K66" s="299"/>
      <c r="L66" s="299">
        <v>50815</v>
      </c>
      <c r="M66" s="299">
        <v>1500</v>
      </c>
      <c r="N66" s="299" t="s">
        <v>62</v>
      </c>
      <c r="O66" s="299">
        <v>0.5</v>
      </c>
      <c r="P66" s="299">
        <v>0</v>
      </c>
      <c r="Q66" s="299">
        <v>0</v>
      </c>
      <c r="R66" s="299">
        <v>0</v>
      </c>
      <c r="S66" s="299">
        <v>0</v>
      </c>
      <c r="T66" s="299">
        <v>0</v>
      </c>
      <c r="U66" s="299">
        <v>0</v>
      </c>
      <c r="V66" s="299">
        <v>0</v>
      </c>
      <c r="W66" s="299">
        <v>0</v>
      </c>
      <c r="X66" s="299">
        <v>0</v>
      </c>
      <c r="Y66" s="278">
        <f t="shared" si="0"/>
        <v>0.5</v>
      </c>
      <c r="Z66" s="278">
        <f t="shared" si="0"/>
        <v>0</v>
      </c>
      <c r="AA66" s="278">
        <f t="shared" si="0"/>
        <v>0</v>
      </c>
      <c r="AB66" s="299">
        <v>0</v>
      </c>
      <c r="AC66" s="299">
        <v>0</v>
      </c>
      <c r="AD66" s="278">
        <f t="shared" si="1"/>
        <v>0.5</v>
      </c>
      <c r="AE66" s="281" t="s">
        <v>2169</v>
      </c>
      <c r="AF66" s="281" t="s">
        <v>175</v>
      </c>
      <c r="AG66" s="281" t="s">
        <v>57</v>
      </c>
      <c r="AH66" s="281" t="s">
        <v>1417</v>
      </c>
      <c r="AI66" s="281"/>
      <c r="AJ66" s="300">
        <v>50000</v>
      </c>
      <c r="AK66" s="281" t="s">
        <v>305</v>
      </c>
    </row>
    <row r="67" spans="1:37" s="283" customFormat="1" x14ac:dyDescent="0.35">
      <c r="A67" s="276">
        <v>55101515</v>
      </c>
      <c r="B67" s="289" t="s">
        <v>2170</v>
      </c>
      <c r="C67" s="289" t="s">
        <v>2170</v>
      </c>
      <c r="D67" s="289" t="s">
        <v>2171</v>
      </c>
      <c r="E67" s="298" t="s">
        <v>2172</v>
      </c>
      <c r="F67" s="298" t="s">
        <v>2173</v>
      </c>
      <c r="G67" s="299">
        <v>914</v>
      </c>
      <c r="H67" s="751">
        <v>42223</v>
      </c>
      <c r="I67" s="299">
        <v>1515</v>
      </c>
      <c r="J67" s="299">
        <v>70815</v>
      </c>
      <c r="K67" s="299">
        <v>1530</v>
      </c>
      <c r="L67" s="299">
        <v>70815</v>
      </c>
      <c r="M67" s="299">
        <v>1630</v>
      </c>
      <c r="N67" s="299" t="s">
        <v>62</v>
      </c>
      <c r="O67" s="299">
        <v>0.04</v>
      </c>
      <c r="P67" s="299">
        <v>0</v>
      </c>
      <c r="Q67" s="299">
        <v>0</v>
      </c>
      <c r="R67" s="299">
        <v>0</v>
      </c>
      <c r="S67" s="299">
        <v>0</v>
      </c>
      <c r="T67" s="299">
        <v>0</v>
      </c>
      <c r="U67" s="299">
        <v>0</v>
      </c>
      <c r="V67" s="299">
        <v>0</v>
      </c>
      <c r="W67" s="299">
        <v>0</v>
      </c>
      <c r="X67" s="299">
        <v>0</v>
      </c>
      <c r="Y67" s="278">
        <f t="shared" si="0"/>
        <v>0.04</v>
      </c>
      <c r="Z67" s="278">
        <f t="shared" si="0"/>
        <v>0</v>
      </c>
      <c r="AA67" s="278">
        <f t="shared" si="0"/>
        <v>0</v>
      </c>
      <c r="AB67" s="299">
        <v>0</v>
      </c>
      <c r="AC67" s="299">
        <v>0</v>
      </c>
      <c r="AD67" s="278">
        <f t="shared" si="1"/>
        <v>0.04</v>
      </c>
      <c r="AE67" s="281" t="s">
        <v>2174</v>
      </c>
      <c r="AF67" s="281" t="s">
        <v>117</v>
      </c>
      <c r="AG67" s="281" t="s">
        <v>72</v>
      </c>
      <c r="AH67" s="281" t="s">
        <v>2175</v>
      </c>
      <c r="AI67" s="281" t="s">
        <v>2176</v>
      </c>
      <c r="AJ67" s="300">
        <v>2000</v>
      </c>
      <c r="AK67" s="281" t="s">
        <v>305</v>
      </c>
    </row>
    <row r="68" spans="1:37" s="283" customFormat="1" x14ac:dyDescent="0.35">
      <c r="A68" s="276">
        <v>56101215</v>
      </c>
      <c r="B68" s="289" t="s">
        <v>83</v>
      </c>
      <c r="C68" s="289" t="s">
        <v>83</v>
      </c>
      <c r="D68" s="289" t="s">
        <v>2177</v>
      </c>
      <c r="E68" s="298" t="s">
        <v>2178</v>
      </c>
      <c r="F68" s="298" t="s">
        <v>2179</v>
      </c>
      <c r="G68" s="299">
        <v>1200</v>
      </c>
      <c r="H68" s="751">
        <v>42223</v>
      </c>
      <c r="I68" s="299">
        <v>1745</v>
      </c>
      <c r="J68" s="299">
        <v>70815</v>
      </c>
      <c r="K68" s="299">
        <v>1755</v>
      </c>
      <c r="L68" s="299">
        <v>70815</v>
      </c>
      <c r="M68" s="299">
        <v>1950</v>
      </c>
      <c r="N68" s="299" t="s">
        <v>1352</v>
      </c>
      <c r="O68" s="299">
        <v>0</v>
      </c>
      <c r="P68" s="299">
        <v>1</v>
      </c>
      <c r="Q68" s="299">
        <v>0</v>
      </c>
      <c r="R68" s="299">
        <v>0</v>
      </c>
      <c r="S68" s="299">
        <v>0</v>
      </c>
      <c r="T68" s="299">
        <v>0</v>
      </c>
      <c r="U68" s="299">
        <v>0</v>
      </c>
      <c r="V68" s="299">
        <v>0</v>
      </c>
      <c r="W68" s="299">
        <v>0</v>
      </c>
      <c r="X68" s="299">
        <v>0</v>
      </c>
      <c r="Y68" s="278">
        <f t="shared" si="0"/>
        <v>0</v>
      </c>
      <c r="Z68" s="278">
        <f t="shared" si="0"/>
        <v>1</v>
      </c>
      <c r="AA68" s="278">
        <f t="shared" si="0"/>
        <v>0</v>
      </c>
      <c r="AB68" s="299">
        <v>0</v>
      </c>
      <c r="AC68" s="299">
        <v>0</v>
      </c>
      <c r="AD68" s="278">
        <f t="shared" si="1"/>
        <v>1</v>
      </c>
      <c r="AE68" s="281" t="s">
        <v>117</v>
      </c>
      <c r="AF68" s="281" t="s">
        <v>117</v>
      </c>
      <c r="AG68" s="281" t="s">
        <v>57</v>
      </c>
      <c r="AH68" s="281" t="s">
        <v>1417</v>
      </c>
      <c r="AI68" s="281" t="s">
        <v>73</v>
      </c>
      <c r="AJ68" s="300">
        <v>204500</v>
      </c>
      <c r="AK68" s="281" t="s">
        <v>305</v>
      </c>
    </row>
    <row r="69" spans="1:37" s="283" customFormat="1" x14ac:dyDescent="0.35">
      <c r="A69" s="276">
        <v>57103415</v>
      </c>
      <c r="B69" s="289" t="s">
        <v>49</v>
      </c>
      <c r="C69" s="289" t="s">
        <v>150</v>
      </c>
      <c r="D69" s="289" t="s">
        <v>2180</v>
      </c>
      <c r="E69" s="276" t="s">
        <v>2181</v>
      </c>
      <c r="F69" s="276" t="s">
        <v>2182</v>
      </c>
      <c r="G69" s="278">
        <v>526</v>
      </c>
      <c r="H69" s="751">
        <v>42224</v>
      </c>
      <c r="I69" s="299">
        <v>2200</v>
      </c>
      <c r="J69" s="299">
        <v>80815</v>
      </c>
      <c r="K69" s="299">
        <v>2210</v>
      </c>
      <c r="L69" s="299">
        <v>80815</v>
      </c>
      <c r="M69" s="299">
        <v>2330</v>
      </c>
      <c r="N69" s="299" t="s">
        <v>62</v>
      </c>
      <c r="O69" s="299">
        <v>1</v>
      </c>
      <c r="P69" s="299">
        <v>0</v>
      </c>
      <c r="Q69" s="299">
        <v>1</v>
      </c>
      <c r="R69" s="299">
        <v>0</v>
      </c>
      <c r="S69" s="299">
        <v>0</v>
      </c>
      <c r="T69" s="299">
        <v>0</v>
      </c>
      <c r="U69" s="299">
        <v>0</v>
      </c>
      <c r="V69" s="299">
        <v>0</v>
      </c>
      <c r="W69" s="299">
        <v>0</v>
      </c>
      <c r="X69" s="299">
        <v>0</v>
      </c>
      <c r="Y69" s="278">
        <f t="shared" si="0"/>
        <v>1</v>
      </c>
      <c r="Z69" s="278">
        <f t="shared" si="0"/>
        <v>0</v>
      </c>
      <c r="AA69" s="278">
        <f t="shared" si="0"/>
        <v>1</v>
      </c>
      <c r="AB69" s="299">
        <v>0</v>
      </c>
      <c r="AC69" s="299">
        <v>0</v>
      </c>
      <c r="AD69" s="278">
        <f t="shared" si="1"/>
        <v>2</v>
      </c>
      <c r="AE69" s="276" t="s">
        <v>66</v>
      </c>
      <c r="AF69" s="276" t="s">
        <v>117</v>
      </c>
      <c r="AG69" s="276" t="s">
        <v>57</v>
      </c>
      <c r="AH69" s="281" t="s">
        <v>2183</v>
      </c>
      <c r="AI69" s="281" t="s">
        <v>2184</v>
      </c>
      <c r="AJ69" s="300">
        <v>27380</v>
      </c>
      <c r="AK69" s="281" t="s">
        <v>305</v>
      </c>
    </row>
    <row r="70" spans="1:37" s="283" customFormat="1" x14ac:dyDescent="0.35">
      <c r="A70" s="288">
        <v>58101415</v>
      </c>
      <c r="B70" s="289" t="s">
        <v>198</v>
      </c>
      <c r="C70" s="289" t="s">
        <v>1691</v>
      </c>
      <c r="D70" s="289" t="s">
        <v>2185</v>
      </c>
      <c r="E70" s="298" t="s">
        <v>2186</v>
      </c>
      <c r="F70" s="298" t="s">
        <v>2187</v>
      </c>
      <c r="G70" s="299">
        <v>363</v>
      </c>
      <c r="H70" s="751">
        <v>42226</v>
      </c>
      <c r="I70" s="299">
        <v>1920</v>
      </c>
      <c r="J70" s="299">
        <v>100815</v>
      </c>
      <c r="K70" s="299">
        <v>1940</v>
      </c>
      <c r="L70" s="299">
        <v>100815</v>
      </c>
      <c r="M70" s="299">
        <v>2030</v>
      </c>
      <c r="N70" s="299" t="s">
        <v>62</v>
      </c>
      <c r="O70" s="299">
        <v>0</v>
      </c>
      <c r="P70" s="299">
        <v>0</v>
      </c>
      <c r="Q70" s="299">
        <v>0</v>
      </c>
      <c r="R70" s="299">
        <v>0</v>
      </c>
      <c r="S70" s="299">
        <v>0</v>
      </c>
      <c r="T70" s="299">
        <v>1</v>
      </c>
      <c r="U70" s="299">
        <v>0</v>
      </c>
      <c r="V70" s="299">
        <v>0</v>
      </c>
      <c r="W70" s="299">
        <v>0</v>
      </c>
      <c r="X70" s="299">
        <v>0</v>
      </c>
      <c r="Y70" s="278">
        <f t="shared" si="0"/>
        <v>1</v>
      </c>
      <c r="Z70" s="278">
        <f t="shared" si="0"/>
        <v>0</v>
      </c>
      <c r="AA70" s="278">
        <f t="shared" si="0"/>
        <v>0</v>
      </c>
      <c r="AB70" s="299">
        <v>0</v>
      </c>
      <c r="AC70" s="299">
        <v>0</v>
      </c>
      <c r="AD70" s="278">
        <f t="shared" si="1"/>
        <v>1</v>
      </c>
      <c r="AE70" s="281" t="s">
        <v>2169</v>
      </c>
      <c r="AF70" s="281" t="s">
        <v>117</v>
      </c>
      <c r="AG70" s="281" t="s">
        <v>493</v>
      </c>
      <c r="AH70" s="281" t="s">
        <v>2188</v>
      </c>
      <c r="AI70" s="281" t="s">
        <v>73</v>
      </c>
      <c r="AJ70" s="300">
        <v>100000</v>
      </c>
      <c r="AK70" s="281" t="s">
        <v>305</v>
      </c>
    </row>
    <row r="71" spans="1:37" s="283" customFormat="1" x14ac:dyDescent="0.35">
      <c r="A71" s="276">
        <v>59102015</v>
      </c>
      <c r="B71" s="289" t="s">
        <v>1391</v>
      </c>
      <c r="C71" s="289" t="s">
        <v>1391</v>
      </c>
      <c r="D71" s="289" t="s">
        <v>1631</v>
      </c>
      <c r="E71" s="298" t="s">
        <v>2189</v>
      </c>
      <c r="F71" s="298" t="s">
        <v>2190</v>
      </c>
      <c r="G71" s="299">
        <v>755</v>
      </c>
      <c r="H71" s="751">
        <v>42227</v>
      </c>
      <c r="I71" s="299">
        <v>1240</v>
      </c>
      <c r="J71" s="299"/>
      <c r="K71" s="299"/>
      <c r="L71" s="299">
        <v>110815</v>
      </c>
      <c r="M71" s="299">
        <v>1730</v>
      </c>
      <c r="N71" s="299" t="s">
        <v>41</v>
      </c>
      <c r="O71" s="299">
        <v>1.5</v>
      </c>
      <c r="P71" s="299">
        <v>1.5</v>
      </c>
      <c r="Q71" s="299">
        <v>3</v>
      </c>
      <c r="R71" s="299">
        <v>0</v>
      </c>
      <c r="S71" s="299">
        <v>0</v>
      </c>
      <c r="T71" s="299">
        <v>0</v>
      </c>
      <c r="U71" s="299">
        <v>0</v>
      </c>
      <c r="V71" s="299">
        <v>0</v>
      </c>
      <c r="W71" s="299">
        <v>0</v>
      </c>
      <c r="X71" s="299">
        <v>0</v>
      </c>
      <c r="Y71" s="278">
        <f t="shared" si="0"/>
        <v>1.5</v>
      </c>
      <c r="Z71" s="278">
        <f t="shared" si="0"/>
        <v>1.5</v>
      </c>
      <c r="AA71" s="278">
        <f t="shared" si="0"/>
        <v>3</v>
      </c>
      <c r="AB71" s="299">
        <v>0</v>
      </c>
      <c r="AC71" s="299">
        <v>0</v>
      </c>
      <c r="AD71" s="278">
        <f t="shared" si="1"/>
        <v>6</v>
      </c>
      <c r="AE71" s="281" t="s">
        <v>2169</v>
      </c>
      <c r="AF71" s="281" t="s">
        <v>175</v>
      </c>
      <c r="AG71" s="281" t="s">
        <v>72</v>
      </c>
      <c r="AH71" s="281" t="s">
        <v>2191</v>
      </c>
      <c r="AI71" s="281"/>
      <c r="AJ71" s="300"/>
      <c r="AK71" s="281" t="s">
        <v>305</v>
      </c>
    </row>
    <row r="72" spans="1:37" s="283" customFormat="1" x14ac:dyDescent="0.35">
      <c r="A72" s="276">
        <v>60100515</v>
      </c>
      <c r="B72" s="289" t="s">
        <v>208</v>
      </c>
      <c r="C72" s="289" t="s">
        <v>208</v>
      </c>
      <c r="D72" s="289" t="s">
        <v>2006</v>
      </c>
      <c r="E72" s="298" t="s">
        <v>2192</v>
      </c>
      <c r="F72" s="298" t="s">
        <v>2193</v>
      </c>
      <c r="G72" s="299">
        <v>743</v>
      </c>
      <c r="H72" s="751">
        <v>42227</v>
      </c>
      <c r="I72" s="299">
        <v>1420</v>
      </c>
      <c r="J72" s="299"/>
      <c r="K72" s="299"/>
      <c r="L72" s="299">
        <v>110815</v>
      </c>
      <c r="M72" s="299">
        <v>1630</v>
      </c>
      <c r="N72" s="299" t="s">
        <v>165</v>
      </c>
      <c r="O72" s="299">
        <v>1.5</v>
      </c>
      <c r="P72" s="299">
        <v>0</v>
      </c>
      <c r="Q72" s="299">
        <v>0</v>
      </c>
      <c r="R72" s="299">
        <v>0</v>
      </c>
      <c r="S72" s="299">
        <v>0</v>
      </c>
      <c r="T72" s="299">
        <v>0</v>
      </c>
      <c r="U72" s="299">
        <v>0</v>
      </c>
      <c r="V72" s="299">
        <v>0</v>
      </c>
      <c r="W72" s="299">
        <v>0</v>
      </c>
      <c r="X72" s="299">
        <v>0</v>
      </c>
      <c r="Y72" s="278">
        <f t="shared" si="0"/>
        <v>1.5</v>
      </c>
      <c r="Z72" s="278">
        <f t="shared" si="0"/>
        <v>0</v>
      </c>
      <c r="AA72" s="278">
        <f t="shared" si="0"/>
        <v>0</v>
      </c>
      <c r="AB72" s="299">
        <v>0</v>
      </c>
      <c r="AC72" s="299">
        <v>0</v>
      </c>
      <c r="AD72" s="278">
        <f t="shared" si="1"/>
        <v>1.5</v>
      </c>
      <c r="AE72" s="281" t="s">
        <v>2169</v>
      </c>
      <c r="AF72" s="281" t="s">
        <v>175</v>
      </c>
      <c r="AG72" s="281" t="s">
        <v>57</v>
      </c>
      <c r="AH72" s="281" t="s">
        <v>1460</v>
      </c>
      <c r="AI72" s="281"/>
      <c r="AJ72" s="300">
        <v>75000</v>
      </c>
      <c r="AK72" s="281" t="s">
        <v>305</v>
      </c>
    </row>
    <row r="73" spans="1:37" s="283" customFormat="1" x14ac:dyDescent="0.35">
      <c r="A73" s="276">
        <v>61101315</v>
      </c>
      <c r="B73" s="289" t="s">
        <v>198</v>
      </c>
      <c r="C73" s="289" t="s">
        <v>198</v>
      </c>
      <c r="D73" s="289" t="s">
        <v>2006</v>
      </c>
      <c r="E73" s="298" t="s">
        <v>2194</v>
      </c>
      <c r="F73" s="298" t="s">
        <v>2195</v>
      </c>
      <c r="G73" s="299">
        <v>626</v>
      </c>
      <c r="H73" s="751">
        <v>42227</v>
      </c>
      <c r="I73" s="299">
        <v>1430</v>
      </c>
      <c r="J73" s="299"/>
      <c r="K73" s="299"/>
      <c r="L73" s="299">
        <v>110815</v>
      </c>
      <c r="M73" s="299">
        <v>1910</v>
      </c>
      <c r="N73" s="299" t="s">
        <v>1517</v>
      </c>
      <c r="O73" s="299">
        <v>0</v>
      </c>
      <c r="P73" s="299">
        <v>2</v>
      </c>
      <c r="Q73" s="299">
        <v>0</v>
      </c>
      <c r="R73" s="299">
        <v>0</v>
      </c>
      <c r="S73" s="299">
        <v>0</v>
      </c>
      <c r="T73" s="299">
        <v>0</v>
      </c>
      <c r="U73" s="299">
        <v>0</v>
      </c>
      <c r="V73" s="299">
        <v>0</v>
      </c>
      <c r="W73" s="299">
        <v>0</v>
      </c>
      <c r="X73" s="299">
        <v>0</v>
      </c>
      <c r="Y73" s="278">
        <f t="shared" si="0"/>
        <v>0</v>
      </c>
      <c r="Z73" s="278">
        <f t="shared" si="0"/>
        <v>2</v>
      </c>
      <c r="AA73" s="278">
        <f t="shared" si="0"/>
        <v>0</v>
      </c>
      <c r="AB73" s="299">
        <v>0</v>
      </c>
      <c r="AC73" s="299">
        <v>0</v>
      </c>
      <c r="AD73" s="278">
        <f t="shared" si="1"/>
        <v>2</v>
      </c>
      <c r="AE73" s="281" t="s">
        <v>2169</v>
      </c>
      <c r="AF73" s="281" t="s">
        <v>175</v>
      </c>
      <c r="AG73" s="281" t="s">
        <v>57</v>
      </c>
      <c r="AH73" s="281" t="s">
        <v>1417</v>
      </c>
      <c r="AI73" s="281"/>
      <c r="AJ73" s="300">
        <v>100000</v>
      </c>
      <c r="AK73" s="281" t="s">
        <v>305</v>
      </c>
    </row>
    <row r="74" spans="1:37" s="283" customFormat="1" x14ac:dyDescent="0.35">
      <c r="A74" s="276">
        <v>62101215</v>
      </c>
      <c r="B74" s="289" t="s">
        <v>83</v>
      </c>
      <c r="C74" s="289" t="s">
        <v>83</v>
      </c>
      <c r="D74" s="289" t="s">
        <v>2177</v>
      </c>
      <c r="E74" s="298" t="s">
        <v>2196</v>
      </c>
      <c r="F74" s="298" t="s">
        <v>2197</v>
      </c>
      <c r="G74" s="299">
        <v>770</v>
      </c>
      <c r="H74" s="751">
        <v>42228</v>
      </c>
      <c r="I74" s="299">
        <v>1610</v>
      </c>
      <c r="J74" s="299">
        <v>120815</v>
      </c>
      <c r="K74" s="299">
        <v>1625</v>
      </c>
      <c r="L74" s="299">
        <v>130815</v>
      </c>
      <c r="M74" s="299">
        <v>730</v>
      </c>
      <c r="N74" s="299" t="s">
        <v>62</v>
      </c>
      <c r="O74" s="299">
        <v>3</v>
      </c>
      <c r="P74" s="299">
        <v>0</v>
      </c>
      <c r="Q74" s="299">
        <v>0</v>
      </c>
      <c r="R74" s="299">
        <v>0</v>
      </c>
      <c r="S74" s="299">
        <v>0</v>
      </c>
      <c r="T74" s="299">
        <v>0</v>
      </c>
      <c r="U74" s="299">
        <v>0</v>
      </c>
      <c r="V74" s="299">
        <v>0</v>
      </c>
      <c r="W74" s="299">
        <v>0</v>
      </c>
      <c r="X74" s="299">
        <v>0</v>
      </c>
      <c r="Y74" s="278">
        <f t="shared" si="0"/>
        <v>3</v>
      </c>
      <c r="Z74" s="278">
        <f t="shared" si="0"/>
        <v>0</v>
      </c>
      <c r="AA74" s="278">
        <f t="shared" si="0"/>
        <v>0</v>
      </c>
      <c r="AB74" s="299">
        <v>0</v>
      </c>
      <c r="AC74" s="299">
        <v>0</v>
      </c>
      <c r="AD74" s="278">
        <f t="shared" si="1"/>
        <v>3</v>
      </c>
      <c r="AE74" s="281" t="s">
        <v>117</v>
      </c>
      <c r="AF74" s="281" t="s">
        <v>117</v>
      </c>
      <c r="AG74" s="281" t="s">
        <v>57</v>
      </c>
      <c r="AH74" s="281" t="s">
        <v>2086</v>
      </c>
      <c r="AI74" s="281" t="s">
        <v>73</v>
      </c>
      <c r="AJ74" s="300">
        <v>604500</v>
      </c>
      <c r="AK74" s="281" t="s">
        <v>305</v>
      </c>
    </row>
    <row r="75" spans="1:37" s="283" customFormat="1" x14ac:dyDescent="0.35">
      <c r="A75" s="276">
        <v>63100315</v>
      </c>
      <c r="B75" s="289" t="s">
        <v>198</v>
      </c>
      <c r="C75" s="289" t="s">
        <v>1523</v>
      </c>
      <c r="D75" s="289" t="s">
        <v>2198</v>
      </c>
      <c r="E75" s="298" t="s">
        <v>2199</v>
      </c>
      <c r="F75" s="298" t="s">
        <v>2200</v>
      </c>
      <c r="G75" s="299">
        <v>472</v>
      </c>
      <c r="H75" s="751">
        <v>42228</v>
      </c>
      <c r="I75" s="299">
        <v>1625</v>
      </c>
      <c r="J75" s="299"/>
      <c r="K75" s="299"/>
      <c r="L75" s="299">
        <v>120815</v>
      </c>
      <c r="M75" s="299">
        <v>1930</v>
      </c>
      <c r="N75" s="299" t="s">
        <v>62</v>
      </c>
      <c r="O75" s="299">
        <v>0</v>
      </c>
      <c r="P75" s="299">
        <v>0</v>
      </c>
      <c r="Q75" s="299">
        <v>0</v>
      </c>
      <c r="R75" s="299">
        <v>0</v>
      </c>
      <c r="S75" s="299">
        <v>0</v>
      </c>
      <c r="T75" s="299">
        <v>4</v>
      </c>
      <c r="U75" s="299">
        <v>0</v>
      </c>
      <c r="V75" s="299">
        <v>0</v>
      </c>
      <c r="W75" s="299"/>
      <c r="X75" s="299" t="s">
        <v>2201</v>
      </c>
      <c r="Y75" s="278">
        <f t="shared" si="0"/>
        <v>4</v>
      </c>
      <c r="Z75" s="278">
        <f t="shared" si="0"/>
        <v>0</v>
      </c>
      <c r="AA75" s="278">
        <f t="shared" si="0"/>
        <v>0</v>
      </c>
      <c r="AB75" s="299">
        <v>0</v>
      </c>
      <c r="AC75" s="299" t="s">
        <v>2201</v>
      </c>
      <c r="AD75" s="278">
        <f t="shared" si="1"/>
        <v>4</v>
      </c>
      <c r="AE75" s="281" t="s">
        <v>2169</v>
      </c>
      <c r="AF75" s="281" t="s">
        <v>175</v>
      </c>
      <c r="AG75" s="281" t="s">
        <v>72</v>
      </c>
      <c r="AH75" s="281" t="s">
        <v>2202</v>
      </c>
      <c r="AI75" s="281" t="s">
        <v>73</v>
      </c>
      <c r="AJ75" s="300">
        <v>400000</v>
      </c>
      <c r="AK75" s="281" t="s">
        <v>305</v>
      </c>
    </row>
    <row r="76" spans="1:37" s="283" customFormat="1" x14ac:dyDescent="0.35">
      <c r="A76" s="276">
        <v>64103315</v>
      </c>
      <c r="B76" s="289" t="s">
        <v>242</v>
      </c>
      <c r="C76" s="289" t="s">
        <v>101</v>
      </c>
      <c r="D76" s="291" t="s">
        <v>1371</v>
      </c>
      <c r="E76" s="276" t="s">
        <v>2203</v>
      </c>
      <c r="F76" s="276" t="s">
        <v>2204</v>
      </c>
      <c r="G76" s="278">
        <v>800</v>
      </c>
      <c r="H76" s="751">
        <v>42228</v>
      </c>
      <c r="I76" s="299">
        <v>2000</v>
      </c>
      <c r="J76" s="299">
        <v>120815</v>
      </c>
      <c r="K76" s="299">
        <v>2020</v>
      </c>
      <c r="L76" s="299">
        <v>120815</v>
      </c>
      <c r="M76" s="299">
        <v>2050</v>
      </c>
      <c r="N76" s="299" t="s">
        <v>41</v>
      </c>
      <c r="O76" s="299">
        <v>0</v>
      </c>
      <c r="P76" s="299">
        <v>0</v>
      </c>
      <c r="Q76" s="299">
        <v>0.01</v>
      </c>
      <c r="R76" s="299">
        <v>0</v>
      </c>
      <c r="S76" s="299">
        <v>0</v>
      </c>
      <c r="T76" s="299">
        <v>0</v>
      </c>
      <c r="U76" s="299">
        <v>0</v>
      </c>
      <c r="V76" s="299">
        <v>0</v>
      </c>
      <c r="W76" s="299">
        <v>0</v>
      </c>
      <c r="X76" s="299">
        <v>0</v>
      </c>
      <c r="Y76" s="278">
        <f t="shared" si="0"/>
        <v>0</v>
      </c>
      <c r="Z76" s="278">
        <f t="shared" si="0"/>
        <v>0</v>
      </c>
      <c r="AA76" s="278">
        <f t="shared" si="0"/>
        <v>0.01</v>
      </c>
      <c r="AB76" s="299">
        <v>0</v>
      </c>
      <c r="AC76" s="299">
        <v>0</v>
      </c>
      <c r="AD76" s="278">
        <f t="shared" si="1"/>
        <v>0.01</v>
      </c>
      <c r="AE76" s="281" t="s">
        <v>188</v>
      </c>
      <c r="AF76" s="281" t="s">
        <v>117</v>
      </c>
      <c r="AG76" s="281" t="s">
        <v>72</v>
      </c>
      <c r="AH76" s="276" t="s">
        <v>2205</v>
      </c>
      <c r="AI76" s="281" t="s">
        <v>1503</v>
      </c>
      <c r="AJ76" s="300">
        <v>10000</v>
      </c>
      <c r="AK76" s="281" t="s">
        <v>305</v>
      </c>
    </row>
    <row r="77" spans="1:37" s="283" customFormat="1" ht="15" thickBot="1" x14ac:dyDescent="0.4">
      <c r="A77" s="276">
        <v>65101315</v>
      </c>
      <c r="B77" s="289" t="s">
        <v>198</v>
      </c>
      <c r="C77" s="289" t="s">
        <v>198</v>
      </c>
      <c r="D77" s="289" t="s">
        <v>2206</v>
      </c>
      <c r="E77" s="298" t="s">
        <v>2207</v>
      </c>
      <c r="F77" s="298" t="s">
        <v>2208</v>
      </c>
      <c r="G77" s="299">
        <v>567</v>
      </c>
      <c r="H77" s="750">
        <v>42229</v>
      </c>
      <c r="I77" s="284">
        <v>1330</v>
      </c>
      <c r="J77" s="294"/>
      <c r="K77" s="294"/>
      <c r="L77" s="284">
        <v>130815</v>
      </c>
      <c r="M77" s="284">
        <v>1920</v>
      </c>
      <c r="N77" s="302" t="s">
        <v>1517</v>
      </c>
      <c r="O77" s="299">
        <v>0</v>
      </c>
      <c r="P77" s="299">
        <v>4</v>
      </c>
      <c r="Q77" s="299">
        <v>0</v>
      </c>
      <c r="R77" s="299">
        <v>0</v>
      </c>
      <c r="S77" s="299">
        <v>0</v>
      </c>
      <c r="T77" s="299">
        <v>0</v>
      </c>
      <c r="U77" s="299">
        <v>0</v>
      </c>
      <c r="V77" s="299">
        <v>0</v>
      </c>
      <c r="W77" s="299">
        <v>0</v>
      </c>
      <c r="X77" s="299">
        <v>0</v>
      </c>
      <c r="Y77" s="278">
        <f t="shared" si="0"/>
        <v>0</v>
      </c>
      <c r="Z77" s="278">
        <f t="shared" si="0"/>
        <v>4</v>
      </c>
      <c r="AA77" s="278">
        <f t="shared" si="0"/>
        <v>0</v>
      </c>
      <c r="AB77" s="299">
        <v>0</v>
      </c>
      <c r="AC77" s="299">
        <v>0</v>
      </c>
      <c r="AD77" s="278">
        <f t="shared" si="1"/>
        <v>4</v>
      </c>
      <c r="AE77" s="281" t="s">
        <v>2169</v>
      </c>
      <c r="AF77" s="281" t="s">
        <v>175</v>
      </c>
      <c r="AG77" s="281" t="s">
        <v>57</v>
      </c>
      <c r="AH77" s="281" t="s">
        <v>1521</v>
      </c>
      <c r="AI77" s="281"/>
      <c r="AJ77" s="300">
        <v>200000</v>
      </c>
      <c r="AK77" s="281" t="s">
        <v>305</v>
      </c>
    </row>
    <row r="78" spans="1:37" s="283" customFormat="1" ht="15" thickBot="1" x14ac:dyDescent="0.4">
      <c r="A78" s="296">
        <v>66101515</v>
      </c>
      <c r="B78" s="289" t="s">
        <v>2170</v>
      </c>
      <c r="C78" s="289" t="s">
        <v>2170</v>
      </c>
      <c r="D78" s="289" t="s">
        <v>2209</v>
      </c>
      <c r="E78" s="298" t="s">
        <v>2210</v>
      </c>
      <c r="F78" s="298" t="s">
        <v>2211</v>
      </c>
      <c r="G78" s="299">
        <v>721</v>
      </c>
      <c r="H78" s="750">
        <v>42229</v>
      </c>
      <c r="I78" s="284">
        <v>1835</v>
      </c>
      <c r="J78" s="284">
        <v>130815</v>
      </c>
      <c r="K78" s="284">
        <v>1855</v>
      </c>
      <c r="L78" s="284">
        <v>140815</v>
      </c>
      <c r="M78" s="284">
        <v>930</v>
      </c>
      <c r="N78" s="302" t="s">
        <v>62</v>
      </c>
      <c r="O78" s="299">
        <v>1</v>
      </c>
      <c r="P78" s="299">
        <v>0</v>
      </c>
      <c r="Q78" s="299">
        <v>0</v>
      </c>
      <c r="R78" s="299">
        <v>0</v>
      </c>
      <c r="S78" s="299">
        <v>0</v>
      </c>
      <c r="T78" s="299">
        <v>2</v>
      </c>
      <c r="U78" s="299">
        <v>0</v>
      </c>
      <c r="V78" s="299">
        <v>0</v>
      </c>
      <c r="W78" s="299">
        <v>0</v>
      </c>
      <c r="X78" s="299">
        <v>0</v>
      </c>
      <c r="Y78" s="278">
        <f t="shared" ref="Y78:AA99" si="3">T78+O78</f>
        <v>3</v>
      </c>
      <c r="Z78" s="278">
        <f t="shared" si="3"/>
        <v>0</v>
      </c>
      <c r="AA78" s="278">
        <f t="shared" si="3"/>
        <v>0</v>
      </c>
      <c r="AB78" s="299">
        <v>0</v>
      </c>
      <c r="AC78" s="299">
        <v>0</v>
      </c>
      <c r="AD78" s="278">
        <f t="shared" ref="AD78:AD99" si="4">Y78+Z78+AA78+AB78</f>
        <v>3</v>
      </c>
      <c r="AE78" s="281" t="s">
        <v>2212</v>
      </c>
      <c r="AF78" s="281" t="s">
        <v>117</v>
      </c>
      <c r="AG78" s="281" t="s">
        <v>72</v>
      </c>
      <c r="AH78" s="281" t="s">
        <v>2213</v>
      </c>
      <c r="AI78" s="281" t="s">
        <v>1503</v>
      </c>
      <c r="AJ78" s="300">
        <v>150000</v>
      </c>
      <c r="AK78" s="281" t="s">
        <v>305</v>
      </c>
    </row>
    <row r="79" spans="1:37" s="283" customFormat="1" x14ac:dyDescent="0.35">
      <c r="A79" s="276">
        <v>67103315</v>
      </c>
      <c r="B79" s="289" t="s">
        <v>101</v>
      </c>
      <c r="C79" s="289" t="s">
        <v>101</v>
      </c>
      <c r="D79" s="289" t="s">
        <v>2214</v>
      </c>
      <c r="E79" s="298" t="s">
        <v>2215</v>
      </c>
      <c r="F79" s="298" t="s">
        <v>2216</v>
      </c>
      <c r="G79" s="299">
        <v>866</v>
      </c>
      <c r="H79" s="750">
        <v>42231</v>
      </c>
      <c r="I79" s="284">
        <v>1745</v>
      </c>
      <c r="J79" s="299">
        <v>150815</v>
      </c>
      <c r="K79" s="299">
        <v>1800</v>
      </c>
      <c r="L79" s="284">
        <v>150815</v>
      </c>
      <c r="M79" s="284">
        <v>1850</v>
      </c>
      <c r="N79" s="303" t="s">
        <v>62</v>
      </c>
      <c r="O79" s="299">
        <v>0.5</v>
      </c>
      <c r="P79" s="299">
        <v>0</v>
      </c>
      <c r="Q79" s="299">
        <v>0</v>
      </c>
      <c r="R79" s="299">
        <v>0</v>
      </c>
      <c r="S79" s="299">
        <v>0</v>
      </c>
      <c r="T79" s="299">
        <v>0</v>
      </c>
      <c r="U79" s="299">
        <v>0</v>
      </c>
      <c r="V79" s="299">
        <v>0</v>
      </c>
      <c r="W79" s="299">
        <v>0</v>
      </c>
      <c r="X79" s="299">
        <v>0</v>
      </c>
      <c r="Y79" s="278">
        <f t="shared" si="3"/>
        <v>0.5</v>
      </c>
      <c r="Z79" s="278">
        <f t="shared" si="3"/>
        <v>0</v>
      </c>
      <c r="AA79" s="278">
        <f t="shared" si="3"/>
        <v>0</v>
      </c>
      <c r="AB79" s="299">
        <v>0</v>
      </c>
      <c r="AC79" s="299">
        <v>0</v>
      </c>
      <c r="AD79" s="278">
        <f t="shared" si="4"/>
        <v>0.5</v>
      </c>
      <c r="AE79" s="281" t="s">
        <v>66</v>
      </c>
      <c r="AF79" s="281" t="s">
        <v>117</v>
      </c>
      <c r="AG79" s="281" t="s">
        <v>554</v>
      </c>
      <c r="AH79" s="276" t="s">
        <v>2217</v>
      </c>
      <c r="AI79" s="281" t="s">
        <v>1503</v>
      </c>
      <c r="AJ79" s="300">
        <v>50000</v>
      </c>
      <c r="AK79" s="281" t="s">
        <v>305</v>
      </c>
    </row>
    <row r="80" spans="1:37" s="283" customFormat="1" x14ac:dyDescent="0.35">
      <c r="A80" s="276">
        <v>68101215</v>
      </c>
      <c r="B80" s="289" t="s">
        <v>83</v>
      </c>
      <c r="C80" s="289" t="s">
        <v>83</v>
      </c>
      <c r="D80" s="289" t="s">
        <v>1604</v>
      </c>
      <c r="E80" s="298" t="s">
        <v>2218</v>
      </c>
      <c r="F80" s="298" t="s">
        <v>2219</v>
      </c>
      <c r="G80" s="299">
        <v>1330</v>
      </c>
      <c r="H80" s="750">
        <v>42231</v>
      </c>
      <c r="I80" s="284">
        <v>2145</v>
      </c>
      <c r="J80" s="294">
        <v>150815</v>
      </c>
      <c r="K80" s="294">
        <v>2155</v>
      </c>
      <c r="L80" s="284">
        <v>150815</v>
      </c>
      <c r="M80" s="284">
        <v>2240</v>
      </c>
      <c r="N80" s="303" t="s">
        <v>1352</v>
      </c>
      <c r="O80" s="299">
        <v>0</v>
      </c>
      <c r="P80" s="299">
        <v>0.15</v>
      </c>
      <c r="Q80" s="299">
        <v>0</v>
      </c>
      <c r="R80" s="299">
        <v>0</v>
      </c>
      <c r="S80" s="299">
        <v>0</v>
      </c>
      <c r="T80" s="299">
        <v>0</v>
      </c>
      <c r="U80" s="299">
        <v>0</v>
      </c>
      <c r="V80" s="299">
        <v>0</v>
      </c>
      <c r="W80" s="299">
        <v>0</v>
      </c>
      <c r="X80" s="299">
        <v>0</v>
      </c>
      <c r="Y80" s="278">
        <f t="shared" si="3"/>
        <v>0</v>
      </c>
      <c r="Z80" s="278">
        <f t="shared" si="3"/>
        <v>0.15</v>
      </c>
      <c r="AA80" s="278">
        <f t="shared" si="3"/>
        <v>0</v>
      </c>
      <c r="AB80" s="299">
        <v>0</v>
      </c>
      <c r="AC80" s="299">
        <v>0</v>
      </c>
      <c r="AD80" s="278">
        <f t="shared" si="4"/>
        <v>0.15</v>
      </c>
      <c r="AE80" s="281" t="s">
        <v>117</v>
      </c>
      <c r="AF80" s="281" t="s">
        <v>117</v>
      </c>
      <c r="AG80" s="281" t="s">
        <v>57</v>
      </c>
      <c r="AH80" s="281" t="s">
        <v>2220</v>
      </c>
      <c r="AI80" s="281" t="s">
        <v>73</v>
      </c>
      <c r="AJ80" s="300">
        <v>32400</v>
      </c>
      <c r="AK80" s="281" t="s">
        <v>305</v>
      </c>
    </row>
    <row r="81" spans="1:37" s="283" customFormat="1" x14ac:dyDescent="0.35">
      <c r="A81" s="276">
        <v>69101515</v>
      </c>
      <c r="B81" s="289" t="s">
        <v>2170</v>
      </c>
      <c r="C81" s="289" t="s">
        <v>2170</v>
      </c>
      <c r="D81" s="289" t="s">
        <v>2221</v>
      </c>
      <c r="E81" s="298" t="s">
        <v>2222</v>
      </c>
      <c r="F81" s="298" t="s">
        <v>2223</v>
      </c>
      <c r="G81" s="299">
        <v>656</v>
      </c>
      <c r="H81" s="750">
        <v>42233</v>
      </c>
      <c r="I81" s="284">
        <v>1200</v>
      </c>
      <c r="J81" s="284">
        <v>170815</v>
      </c>
      <c r="K81" s="284">
        <v>1215</v>
      </c>
      <c r="L81" s="284">
        <v>170815</v>
      </c>
      <c r="M81" s="284">
        <v>1500</v>
      </c>
      <c r="N81" s="299" t="s">
        <v>62</v>
      </c>
      <c r="O81" s="299">
        <v>0</v>
      </c>
      <c r="P81" s="299">
        <v>0</v>
      </c>
      <c r="Q81" s="299">
        <v>0</v>
      </c>
      <c r="R81" s="299">
        <v>0</v>
      </c>
      <c r="S81" s="299">
        <v>0</v>
      </c>
      <c r="T81" s="299">
        <v>0.5</v>
      </c>
      <c r="U81" s="299">
        <v>0</v>
      </c>
      <c r="V81" s="299">
        <v>0</v>
      </c>
      <c r="W81" s="299">
        <v>0</v>
      </c>
      <c r="X81" s="299">
        <v>0</v>
      </c>
      <c r="Y81" s="278">
        <f t="shared" si="3"/>
        <v>0.5</v>
      </c>
      <c r="Z81" s="278">
        <f t="shared" si="3"/>
        <v>0</v>
      </c>
      <c r="AA81" s="278">
        <f t="shared" si="3"/>
        <v>0</v>
      </c>
      <c r="AB81" s="299">
        <v>0</v>
      </c>
      <c r="AC81" s="299">
        <v>0</v>
      </c>
      <c r="AD81" s="278">
        <f t="shared" si="4"/>
        <v>0.5</v>
      </c>
      <c r="AE81" s="281" t="s">
        <v>2212</v>
      </c>
      <c r="AF81" s="281" t="s">
        <v>117</v>
      </c>
      <c r="AG81" s="281" t="s">
        <v>72</v>
      </c>
      <c r="AH81" s="281" t="s">
        <v>2224</v>
      </c>
      <c r="AI81" s="281" t="s">
        <v>1503</v>
      </c>
      <c r="AJ81" s="300">
        <v>25000</v>
      </c>
      <c r="AK81" s="281" t="s">
        <v>305</v>
      </c>
    </row>
    <row r="82" spans="1:37" s="283" customFormat="1" x14ac:dyDescent="0.35">
      <c r="A82" s="276">
        <v>70101515</v>
      </c>
      <c r="B82" s="289" t="s">
        <v>2170</v>
      </c>
      <c r="C82" s="289" t="s">
        <v>2170</v>
      </c>
      <c r="D82" s="289" t="s">
        <v>2225</v>
      </c>
      <c r="E82" s="298" t="s">
        <v>2226</v>
      </c>
      <c r="F82" s="298" t="s">
        <v>2227</v>
      </c>
      <c r="G82" s="299">
        <v>726</v>
      </c>
      <c r="H82" s="750">
        <v>42233</v>
      </c>
      <c r="I82" s="299">
        <v>1210</v>
      </c>
      <c r="J82" s="284">
        <v>170815</v>
      </c>
      <c r="K82" s="299">
        <v>1225</v>
      </c>
      <c r="L82" s="284">
        <v>170815</v>
      </c>
      <c r="M82" s="299">
        <v>1300</v>
      </c>
      <c r="N82" s="299" t="s">
        <v>62</v>
      </c>
      <c r="O82" s="299">
        <v>0.35</v>
      </c>
      <c r="P82" s="299">
        <v>0</v>
      </c>
      <c r="Q82" s="299">
        <v>0</v>
      </c>
      <c r="R82" s="299">
        <v>0</v>
      </c>
      <c r="S82" s="299">
        <v>0</v>
      </c>
      <c r="T82" s="299">
        <v>0</v>
      </c>
      <c r="U82" s="299">
        <v>0</v>
      </c>
      <c r="V82" s="299">
        <v>0</v>
      </c>
      <c r="W82" s="299">
        <v>0</v>
      </c>
      <c r="X82" s="299">
        <v>0</v>
      </c>
      <c r="Y82" s="278">
        <f t="shared" si="3"/>
        <v>0.35</v>
      </c>
      <c r="Z82" s="278">
        <f t="shared" si="3"/>
        <v>0</v>
      </c>
      <c r="AA82" s="278">
        <f t="shared" si="3"/>
        <v>0</v>
      </c>
      <c r="AB82" s="299">
        <v>0</v>
      </c>
      <c r="AC82" s="299">
        <v>0</v>
      </c>
      <c r="AD82" s="278">
        <f t="shared" si="4"/>
        <v>0.35</v>
      </c>
      <c r="AE82" s="281" t="s">
        <v>2212</v>
      </c>
      <c r="AF82" s="281" t="s">
        <v>117</v>
      </c>
      <c r="AG82" s="281" t="s">
        <v>72</v>
      </c>
      <c r="AH82" s="281" t="s">
        <v>2224</v>
      </c>
      <c r="AI82" s="281" t="s">
        <v>65</v>
      </c>
      <c r="AJ82" s="300">
        <v>17500</v>
      </c>
      <c r="AK82" s="281" t="s">
        <v>305</v>
      </c>
    </row>
    <row r="83" spans="1:37" s="283" customFormat="1" x14ac:dyDescent="0.35">
      <c r="A83" s="276">
        <v>71101515</v>
      </c>
      <c r="B83" s="289" t="s">
        <v>2170</v>
      </c>
      <c r="C83" s="289" t="s">
        <v>2170</v>
      </c>
      <c r="D83" s="289" t="s">
        <v>2228</v>
      </c>
      <c r="E83" s="298" t="s">
        <v>2229</v>
      </c>
      <c r="F83" s="298" t="s">
        <v>2230</v>
      </c>
      <c r="G83" s="299">
        <v>768</v>
      </c>
      <c r="H83" s="750">
        <v>42233</v>
      </c>
      <c r="I83" s="299">
        <v>1230</v>
      </c>
      <c r="J83" s="284">
        <v>170815</v>
      </c>
      <c r="K83" s="299">
        <v>1240</v>
      </c>
      <c r="L83" s="284">
        <v>190815</v>
      </c>
      <c r="M83" s="299">
        <v>1030</v>
      </c>
      <c r="N83" s="299" t="s">
        <v>62</v>
      </c>
      <c r="O83" s="299">
        <v>2</v>
      </c>
      <c r="P83" s="299">
        <v>0</v>
      </c>
      <c r="Q83" s="299">
        <v>0</v>
      </c>
      <c r="R83" s="299">
        <v>0</v>
      </c>
      <c r="S83" s="299">
        <v>0</v>
      </c>
      <c r="T83" s="299">
        <v>8</v>
      </c>
      <c r="U83" s="299">
        <v>0</v>
      </c>
      <c r="V83" s="299">
        <v>0</v>
      </c>
      <c r="W83" s="299">
        <v>0</v>
      </c>
      <c r="X83" s="299">
        <v>0</v>
      </c>
      <c r="Y83" s="278">
        <f t="shared" si="3"/>
        <v>10</v>
      </c>
      <c r="Z83" s="278">
        <f t="shared" si="3"/>
        <v>0</v>
      </c>
      <c r="AA83" s="278">
        <f t="shared" si="3"/>
        <v>0</v>
      </c>
      <c r="AB83" s="299">
        <v>0</v>
      </c>
      <c r="AC83" s="299">
        <v>0</v>
      </c>
      <c r="AD83" s="278">
        <f t="shared" si="4"/>
        <v>10</v>
      </c>
      <c r="AE83" s="281" t="s">
        <v>2212</v>
      </c>
      <c r="AF83" s="281" t="s">
        <v>117</v>
      </c>
      <c r="AG83" s="281" t="s">
        <v>72</v>
      </c>
      <c r="AH83" s="281" t="s">
        <v>2231</v>
      </c>
      <c r="AI83" s="281" t="s">
        <v>1411</v>
      </c>
      <c r="AJ83" s="300">
        <v>500000</v>
      </c>
      <c r="AK83" s="281" t="s">
        <v>305</v>
      </c>
    </row>
    <row r="84" spans="1:37" s="283" customFormat="1" x14ac:dyDescent="0.35">
      <c r="A84" s="276">
        <v>72101315</v>
      </c>
      <c r="B84" s="289" t="s">
        <v>198</v>
      </c>
      <c r="C84" s="289" t="s">
        <v>198</v>
      </c>
      <c r="D84" s="289" t="s">
        <v>2232</v>
      </c>
      <c r="E84" s="298" t="s">
        <v>2233</v>
      </c>
      <c r="F84" s="298" t="s">
        <v>2234</v>
      </c>
      <c r="G84" s="299">
        <v>287</v>
      </c>
      <c r="H84" s="750">
        <v>42233</v>
      </c>
      <c r="I84" s="299">
        <v>1300</v>
      </c>
      <c r="J84" s="284"/>
      <c r="K84" s="299"/>
      <c r="L84" s="299">
        <v>170815</v>
      </c>
      <c r="M84" s="299">
        <v>1730</v>
      </c>
      <c r="N84" s="303" t="s">
        <v>1352</v>
      </c>
      <c r="O84" s="299">
        <v>0.5</v>
      </c>
      <c r="P84" s="299">
        <v>1</v>
      </c>
      <c r="Q84" s="299">
        <v>0</v>
      </c>
      <c r="R84" s="299">
        <v>0</v>
      </c>
      <c r="S84" s="299">
        <v>0</v>
      </c>
      <c r="T84" s="299">
        <v>0</v>
      </c>
      <c r="U84" s="299">
        <v>0.5</v>
      </c>
      <c r="V84" s="299">
        <v>0</v>
      </c>
      <c r="W84" s="299">
        <v>0</v>
      </c>
      <c r="X84" s="299">
        <v>0</v>
      </c>
      <c r="Y84" s="278">
        <f t="shared" si="3"/>
        <v>0.5</v>
      </c>
      <c r="Z84" s="278">
        <f t="shared" si="3"/>
        <v>1.5</v>
      </c>
      <c r="AA84" s="278">
        <f t="shared" si="3"/>
        <v>0</v>
      </c>
      <c r="AB84" s="299">
        <v>0</v>
      </c>
      <c r="AC84" s="299">
        <v>0</v>
      </c>
      <c r="AD84" s="278">
        <f t="shared" si="4"/>
        <v>2</v>
      </c>
      <c r="AE84" s="281" t="s">
        <v>2169</v>
      </c>
      <c r="AF84" s="281" t="s">
        <v>175</v>
      </c>
      <c r="AG84" s="281" t="s">
        <v>57</v>
      </c>
      <c r="AH84" s="281" t="s">
        <v>1487</v>
      </c>
      <c r="AI84" s="281"/>
      <c r="AJ84" s="300">
        <v>100000</v>
      </c>
      <c r="AK84" s="281" t="s">
        <v>305</v>
      </c>
    </row>
    <row r="85" spans="1:37" s="283" customFormat="1" x14ac:dyDescent="0.35">
      <c r="A85" s="276">
        <v>73103415</v>
      </c>
      <c r="B85" s="289" t="s">
        <v>49</v>
      </c>
      <c r="C85" s="289" t="s">
        <v>150</v>
      </c>
      <c r="D85" s="289" t="s">
        <v>1858</v>
      </c>
      <c r="E85" s="298" t="s">
        <v>2235</v>
      </c>
      <c r="F85" s="298" t="s">
        <v>2236</v>
      </c>
      <c r="G85" s="299">
        <v>528</v>
      </c>
      <c r="H85" s="750">
        <v>42233</v>
      </c>
      <c r="I85" s="299">
        <v>1600</v>
      </c>
      <c r="J85" s="284">
        <v>170815</v>
      </c>
      <c r="K85" s="299">
        <v>1610</v>
      </c>
      <c r="L85" s="299">
        <v>170815</v>
      </c>
      <c r="M85" s="299">
        <v>1850</v>
      </c>
      <c r="N85" s="299" t="s">
        <v>62</v>
      </c>
      <c r="O85" s="299">
        <v>1.5</v>
      </c>
      <c r="P85" s="299">
        <v>1</v>
      </c>
      <c r="Q85" s="299">
        <v>0</v>
      </c>
      <c r="R85" s="299">
        <v>0</v>
      </c>
      <c r="S85" s="299">
        <v>0</v>
      </c>
      <c r="T85" s="299">
        <v>0</v>
      </c>
      <c r="U85" s="299">
        <v>0</v>
      </c>
      <c r="V85" s="299">
        <v>0</v>
      </c>
      <c r="W85" s="299">
        <v>0</v>
      </c>
      <c r="X85" s="299">
        <v>0</v>
      </c>
      <c r="Y85" s="278">
        <f t="shared" si="3"/>
        <v>1.5</v>
      </c>
      <c r="Z85" s="278">
        <f t="shared" si="3"/>
        <v>1</v>
      </c>
      <c r="AA85" s="278">
        <f t="shared" si="3"/>
        <v>0</v>
      </c>
      <c r="AB85" s="299">
        <v>0</v>
      </c>
      <c r="AC85" s="299">
        <v>0</v>
      </c>
      <c r="AD85" s="278">
        <f t="shared" si="4"/>
        <v>2.5</v>
      </c>
      <c r="AE85" s="281" t="s">
        <v>2237</v>
      </c>
      <c r="AF85" s="281" t="s">
        <v>117</v>
      </c>
      <c r="AG85" s="281" t="s">
        <v>554</v>
      </c>
      <c r="AH85" s="281" t="s">
        <v>2238</v>
      </c>
      <c r="AI85" s="281" t="s">
        <v>1503</v>
      </c>
      <c r="AJ85" s="300">
        <v>48750</v>
      </c>
      <c r="AK85" s="281" t="s">
        <v>305</v>
      </c>
    </row>
    <row r="86" spans="1:37" s="283" customFormat="1" x14ac:dyDescent="0.35">
      <c r="A86" s="276">
        <v>74103315</v>
      </c>
      <c r="B86" s="289" t="s">
        <v>242</v>
      </c>
      <c r="C86" s="289" t="s">
        <v>186</v>
      </c>
      <c r="D86" s="289" t="s">
        <v>2239</v>
      </c>
      <c r="E86" s="298" t="s">
        <v>2240</v>
      </c>
      <c r="F86" s="298" t="s">
        <v>2241</v>
      </c>
      <c r="G86" s="299">
        <v>922</v>
      </c>
      <c r="H86" s="750">
        <v>42233</v>
      </c>
      <c r="I86" s="299">
        <v>2005</v>
      </c>
      <c r="J86" s="284">
        <v>170815</v>
      </c>
      <c r="K86" s="299">
        <v>2020</v>
      </c>
      <c r="L86" s="299">
        <v>170815</v>
      </c>
      <c r="M86" s="299">
        <v>2140</v>
      </c>
      <c r="N86" s="299" t="s">
        <v>62</v>
      </c>
      <c r="O86" s="299">
        <v>0.05</v>
      </c>
      <c r="P86" s="299">
        <v>0</v>
      </c>
      <c r="Q86" s="299">
        <v>0</v>
      </c>
      <c r="R86" s="299">
        <v>0</v>
      </c>
      <c r="S86" s="299">
        <v>0</v>
      </c>
      <c r="T86" s="299">
        <v>0</v>
      </c>
      <c r="U86" s="299">
        <v>0</v>
      </c>
      <c r="V86" s="299">
        <v>0</v>
      </c>
      <c r="W86" s="299">
        <v>0</v>
      </c>
      <c r="X86" s="299">
        <v>0</v>
      </c>
      <c r="Y86" s="278">
        <f t="shared" si="3"/>
        <v>0.05</v>
      </c>
      <c r="Z86" s="278">
        <f t="shared" si="3"/>
        <v>0</v>
      </c>
      <c r="AA86" s="278">
        <f t="shared" si="3"/>
        <v>0</v>
      </c>
      <c r="AB86" s="299">
        <v>0</v>
      </c>
      <c r="AC86" s="299">
        <v>0</v>
      </c>
      <c r="AD86" s="278">
        <f t="shared" si="4"/>
        <v>0.05</v>
      </c>
      <c r="AE86" s="281" t="s">
        <v>66</v>
      </c>
      <c r="AF86" s="281" t="s">
        <v>117</v>
      </c>
      <c r="AG86" s="281" t="s">
        <v>554</v>
      </c>
      <c r="AH86" s="276" t="s">
        <v>2242</v>
      </c>
      <c r="AI86" s="281" t="s">
        <v>1503</v>
      </c>
      <c r="AJ86" s="300">
        <v>50000</v>
      </c>
      <c r="AK86" s="281" t="s">
        <v>305</v>
      </c>
    </row>
    <row r="87" spans="1:37" s="283" customFormat="1" x14ac:dyDescent="0.35">
      <c r="A87" s="276">
        <v>75101315</v>
      </c>
      <c r="B87" s="286" t="s">
        <v>198</v>
      </c>
      <c r="C87" s="286" t="s">
        <v>198</v>
      </c>
      <c r="D87" s="286" t="s">
        <v>2243</v>
      </c>
      <c r="E87" s="298" t="s">
        <v>2244</v>
      </c>
      <c r="F87" s="298" t="s">
        <v>2245</v>
      </c>
      <c r="G87" s="299">
        <v>318</v>
      </c>
      <c r="H87" s="751">
        <v>42236</v>
      </c>
      <c r="I87" s="299">
        <v>1430</v>
      </c>
      <c r="J87" s="299"/>
      <c r="K87" s="299"/>
      <c r="L87" s="299">
        <v>200815</v>
      </c>
      <c r="M87" s="299">
        <v>1630</v>
      </c>
      <c r="N87" s="299" t="s">
        <v>41</v>
      </c>
      <c r="O87" s="299">
        <v>0</v>
      </c>
      <c r="P87" s="299">
        <v>0</v>
      </c>
      <c r="Q87" s="299">
        <v>1.5</v>
      </c>
      <c r="R87" s="299">
        <v>0</v>
      </c>
      <c r="S87" s="299">
        <v>0</v>
      </c>
      <c r="T87" s="299">
        <v>0</v>
      </c>
      <c r="U87" s="299">
        <v>0</v>
      </c>
      <c r="V87" s="299">
        <v>0</v>
      </c>
      <c r="W87" s="299">
        <v>0</v>
      </c>
      <c r="X87" s="299">
        <v>0</v>
      </c>
      <c r="Y87" s="278">
        <f t="shared" si="3"/>
        <v>0</v>
      </c>
      <c r="Z87" s="278">
        <f t="shared" si="3"/>
        <v>0</v>
      </c>
      <c r="AA87" s="278">
        <f t="shared" si="3"/>
        <v>1.5</v>
      </c>
      <c r="AB87" s="299">
        <v>0</v>
      </c>
      <c r="AC87" s="299">
        <v>0</v>
      </c>
      <c r="AD87" s="278">
        <f t="shared" si="4"/>
        <v>1.5</v>
      </c>
      <c r="AE87" s="281" t="s">
        <v>2169</v>
      </c>
      <c r="AF87" s="281" t="s">
        <v>175</v>
      </c>
      <c r="AG87" s="281" t="s">
        <v>57</v>
      </c>
      <c r="AH87" s="281" t="s">
        <v>1500</v>
      </c>
      <c r="AI87" s="281"/>
      <c r="AJ87" s="300">
        <v>15000</v>
      </c>
      <c r="AK87" s="281" t="s">
        <v>305</v>
      </c>
    </row>
    <row r="88" spans="1:37" s="283" customFormat="1" x14ac:dyDescent="0.35">
      <c r="A88" s="297">
        <v>76101815</v>
      </c>
      <c r="B88" s="289" t="s">
        <v>49</v>
      </c>
      <c r="C88" s="289" t="s">
        <v>49</v>
      </c>
      <c r="D88" s="289" t="s">
        <v>2083</v>
      </c>
      <c r="E88" s="298" t="s">
        <v>2246</v>
      </c>
      <c r="F88" s="298" t="s">
        <v>2247</v>
      </c>
      <c r="G88" s="299">
        <v>554</v>
      </c>
      <c r="H88" s="751">
        <v>42239</v>
      </c>
      <c r="I88" s="299">
        <v>1310</v>
      </c>
      <c r="J88" s="299">
        <v>230815</v>
      </c>
      <c r="K88" s="299">
        <v>1320</v>
      </c>
      <c r="L88" s="299">
        <v>230815</v>
      </c>
      <c r="M88" s="299">
        <v>1550</v>
      </c>
      <c r="N88" s="299" t="s">
        <v>62</v>
      </c>
      <c r="O88" s="299">
        <v>0.5</v>
      </c>
      <c r="P88" s="299">
        <v>0</v>
      </c>
      <c r="Q88" s="299">
        <v>0</v>
      </c>
      <c r="R88" s="299">
        <v>0</v>
      </c>
      <c r="S88" s="299">
        <v>0</v>
      </c>
      <c r="T88" s="299">
        <v>0</v>
      </c>
      <c r="U88" s="299">
        <v>0</v>
      </c>
      <c r="V88" s="299">
        <v>0</v>
      </c>
      <c r="W88" s="299">
        <v>0</v>
      </c>
      <c r="X88" s="299">
        <v>0</v>
      </c>
      <c r="Y88" s="278">
        <f t="shared" si="3"/>
        <v>0.5</v>
      </c>
      <c r="Z88" s="278">
        <f t="shared" si="3"/>
        <v>0</v>
      </c>
      <c r="AA88" s="278">
        <f t="shared" si="3"/>
        <v>0</v>
      </c>
      <c r="AB88" s="299">
        <v>0</v>
      </c>
      <c r="AC88" s="299">
        <v>0</v>
      </c>
      <c r="AD88" s="278">
        <f t="shared" si="4"/>
        <v>0.5</v>
      </c>
      <c r="AE88" s="281" t="s">
        <v>2248</v>
      </c>
      <c r="AF88" s="281" t="s">
        <v>117</v>
      </c>
      <c r="AG88" s="281" t="s">
        <v>57</v>
      </c>
      <c r="AH88" s="281" t="s">
        <v>2249</v>
      </c>
      <c r="AI88" s="281" t="s">
        <v>73</v>
      </c>
      <c r="AJ88" s="300">
        <v>101500</v>
      </c>
      <c r="AK88" s="281" t="s">
        <v>305</v>
      </c>
    </row>
    <row r="89" spans="1:37" s="283" customFormat="1" x14ac:dyDescent="0.35">
      <c r="A89" s="281">
        <v>77101515</v>
      </c>
      <c r="B89" s="298" t="s">
        <v>2170</v>
      </c>
      <c r="C89" s="298" t="s">
        <v>2170</v>
      </c>
      <c r="D89" s="298" t="s">
        <v>2250</v>
      </c>
      <c r="E89" s="298" t="s">
        <v>2251</v>
      </c>
      <c r="F89" s="298" t="s">
        <v>2252</v>
      </c>
      <c r="G89" s="299">
        <v>790</v>
      </c>
      <c r="H89" s="751">
        <v>42239</v>
      </c>
      <c r="I89" s="299">
        <v>1620</v>
      </c>
      <c r="J89" s="299">
        <v>230815</v>
      </c>
      <c r="K89" s="299">
        <v>1635</v>
      </c>
      <c r="L89" s="299">
        <v>230815</v>
      </c>
      <c r="M89" s="299">
        <v>2000</v>
      </c>
      <c r="N89" s="299" t="s">
        <v>62</v>
      </c>
      <c r="O89" s="299">
        <v>0</v>
      </c>
      <c r="P89" s="299">
        <v>0</v>
      </c>
      <c r="Q89" s="299">
        <v>0</v>
      </c>
      <c r="R89" s="299">
        <v>0</v>
      </c>
      <c r="S89" s="299">
        <v>0</v>
      </c>
      <c r="T89" s="299">
        <v>2</v>
      </c>
      <c r="U89" s="299">
        <v>0</v>
      </c>
      <c r="V89" s="299">
        <v>0</v>
      </c>
      <c r="W89" s="299">
        <v>0</v>
      </c>
      <c r="X89" s="299">
        <v>0</v>
      </c>
      <c r="Y89" s="278">
        <f t="shared" si="3"/>
        <v>2</v>
      </c>
      <c r="Z89" s="278">
        <f t="shared" si="3"/>
        <v>0</v>
      </c>
      <c r="AA89" s="278">
        <f t="shared" si="3"/>
        <v>0</v>
      </c>
      <c r="AB89" s="299">
        <v>0</v>
      </c>
      <c r="AC89" s="299">
        <v>0</v>
      </c>
      <c r="AD89" s="278">
        <f t="shared" si="4"/>
        <v>2</v>
      </c>
      <c r="AE89" s="281" t="s">
        <v>2212</v>
      </c>
      <c r="AF89" s="281" t="s">
        <v>117</v>
      </c>
      <c r="AG89" s="281" t="s">
        <v>72</v>
      </c>
      <c r="AH89" s="281" t="s">
        <v>2224</v>
      </c>
      <c r="AI89" s="281" t="s">
        <v>1503</v>
      </c>
      <c r="AJ89" s="300">
        <v>100000</v>
      </c>
      <c r="AK89" s="281" t="s">
        <v>305</v>
      </c>
    </row>
    <row r="90" spans="1:37" s="283" customFormat="1" x14ac:dyDescent="0.35">
      <c r="A90" s="281">
        <v>78103415</v>
      </c>
      <c r="B90" s="289" t="s">
        <v>49</v>
      </c>
      <c r="C90" s="289" t="s">
        <v>150</v>
      </c>
      <c r="D90" s="289" t="s">
        <v>1858</v>
      </c>
      <c r="E90" s="298" t="s">
        <v>2235</v>
      </c>
      <c r="F90" s="298" t="s">
        <v>2236</v>
      </c>
      <c r="G90" s="299">
        <v>528</v>
      </c>
      <c r="H90" s="751">
        <v>42243</v>
      </c>
      <c r="I90" s="299">
        <v>1455</v>
      </c>
      <c r="J90" s="299">
        <v>270815</v>
      </c>
      <c r="K90" s="299">
        <v>1505</v>
      </c>
      <c r="L90" s="299">
        <v>270815</v>
      </c>
      <c r="M90" s="299">
        <v>1730</v>
      </c>
      <c r="N90" s="299" t="s">
        <v>62</v>
      </c>
      <c r="O90" s="299">
        <v>0.5</v>
      </c>
      <c r="P90" s="299">
        <v>0</v>
      </c>
      <c r="Q90" s="299">
        <v>0.5</v>
      </c>
      <c r="R90" s="299">
        <v>0</v>
      </c>
      <c r="S90" s="299">
        <v>0</v>
      </c>
      <c r="T90" s="299">
        <v>0</v>
      </c>
      <c r="U90" s="299">
        <v>0</v>
      </c>
      <c r="V90" s="299">
        <v>0</v>
      </c>
      <c r="W90" s="299">
        <v>0</v>
      </c>
      <c r="X90" s="299">
        <v>0</v>
      </c>
      <c r="Y90" s="278">
        <f t="shared" si="3"/>
        <v>0.5</v>
      </c>
      <c r="Z90" s="278">
        <f t="shared" si="3"/>
        <v>0</v>
      </c>
      <c r="AA90" s="278">
        <f t="shared" si="3"/>
        <v>0.5</v>
      </c>
      <c r="AB90" s="299">
        <v>0</v>
      </c>
      <c r="AC90" s="299">
        <v>0</v>
      </c>
      <c r="AD90" s="278">
        <f t="shared" si="4"/>
        <v>1</v>
      </c>
      <c r="AE90" s="276" t="s">
        <v>66</v>
      </c>
      <c r="AF90" s="276" t="s">
        <v>117</v>
      </c>
      <c r="AG90" s="276" t="s">
        <v>57</v>
      </c>
      <c r="AH90" s="281"/>
      <c r="AI90" s="281" t="s">
        <v>73</v>
      </c>
      <c r="AJ90" s="300">
        <v>21380</v>
      </c>
      <c r="AK90" s="281" t="s">
        <v>305</v>
      </c>
    </row>
    <row r="91" spans="1:37" s="283" customFormat="1" x14ac:dyDescent="0.35">
      <c r="A91" s="281">
        <v>79100515</v>
      </c>
      <c r="B91" s="298" t="s">
        <v>208</v>
      </c>
      <c r="C91" s="298" t="s">
        <v>208</v>
      </c>
      <c r="D91" s="298" t="s">
        <v>2253</v>
      </c>
      <c r="E91" s="298" t="s">
        <v>2254</v>
      </c>
      <c r="F91" s="298" t="s">
        <v>2255</v>
      </c>
      <c r="G91" s="299">
        <v>546</v>
      </c>
      <c r="H91" s="751">
        <v>42245</v>
      </c>
      <c r="I91" s="299">
        <v>1130</v>
      </c>
      <c r="J91" s="299">
        <v>290815</v>
      </c>
      <c r="K91" s="299">
        <v>1145</v>
      </c>
      <c r="L91" s="299">
        <v>290815</v>
      </c>
      <c r="M91" s="299">
        <v>1320</v>
      </c>
      <c r="N91" s="299" t="s">
        <v>62</v>
      </c>
      <c r="O91" s="299">
        <v>0</v>
      </c>
      <c r="P91" s="299">
        <v>0</v>
      </c>
      <c r="Q91" s="299">
        <v>0</v>
      </c>
      <c r="R91" s="299">
        <v>0</v>
      </c>
      <c r="S91" s="299">
        <v>0</v>
      </c>
      <c r="T91" s="299">
        <v>2.5</v>
      </c>
      <c r="U91" s="299">
        <v>0</v>
      </c>
      <c r="V91" s="299">
        <v>0</v>
      </c>
      <c r="W91" s="299">
        <v>0</v>
      </c>
      <c r="X91" s="299">
        <v>0</v>
      </c>
      <c r="Y91" s="278">
        <f t="shared" si="3"/>
        <v>2.5</v>
      </c>
      <c r="Z91" s="278">
        <f t="shared" si="3"/>
        <v>0</v>
      </c>
      <c r="AA91" s="278">
        <f t="shared" si="3"/>
        <v>0</v>
      </c>
      <c r="AB91" s="299">
        <v>0</v>
      </c>
      <c r="AC91" s="299">
        <v>0</v>
      </c>
      <c r="AD91" s="278">
        <f t="shared" si="4"/>
        <v>2.5</v>
      </c>
      <c r="AE91" s="281" t="s">
        <v>2103</v>
      </c>
      <c r="AF91" s="281" t="s">
        <v>117</v>
      </c>
      <c r="AG91" s="281" t="s">
        <v>57</v>
      </c>
      <c r="AH91" s="281" t="s">
        <v>2256</v>
      </c>
      <c r="AI91" s="281" t="s">
        <v>73</v>
      </c>
      <c r="AJ91" s="300">
        <v>250000</v>
      </c>
      <c r="AK91" s="281" t="s">
        <v>305</v>
      </c>
    </row>
    <row r="92" spans="1:37" s="283" customFormat="1" x14ac:dyDescent="0.35">
      <c r="A92" s="281">
        <v>80103315</v>
      </c>
      <c r="B92" s="298" t="s">
        <v>242</v>
      </c>
      <c r="C92" s="298" t="s">
        <v>186</v>
      </c>
      <c r="D92" s="298" t="s">
        <v>2257</v>
      </c>
      <c r="E92" s="298" t="s">
        <v>2258</v>
      </c>
      <c r="F92" s="298" t="s">
        <v>2259</v>
      </c>
      <c r="G92" s="299">
        <v>1445</v>
      </c>
      <c r="H92" s="751">
        <v>42245</v>
      </c>
      <c r="I92" s="299">
        <v>1250</v>
      </c>
      <c r="J92" s="299">
        <v>290815</v>
      </c>
      <c r="K92" s="299">
        <v>1305</v>
      </c>
      <c r="L92" s="299">
        <v>290815</v>
      </c>
      <c r="M92" s="299">
        <v>1345</v>
      </c>
      <c r="N92" s="299" t="s">
        <v>1352</v>
      </c>
      <c r="O92" s="299">
        <v>0</v>
      </c>
      <c r="P92" s="299">
        <v>0.7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X92" s="299">
        <v>0</v>
      </c>
      <c r="Y92" s="278">
        <f t="shared" si="3"/>
        <v>0</v>
      </c>
      <c r="Z92" s="278">
        <f t="shared" si="3"/>
        <v>0.7</v>
      </c>
      <c r="AA92" s="278">
        <f t="shared" si="3"/>
        <v>0</v>
      </c>
      <c r="AB92" s="299">
        <v>0</v>
      </c>
      <c r="AC92" s="299">
        <v>0</v>
      </c>
      <c r="AD92" s="278">
        <f t="shared" si="4"/>
        <v>0.7</v>
      </c>
      <c r="AE92" s="281" t="s">
        <v>188</v>
      </c>
      <c r="AF92" s="281" t="s">
        <v>117</v>
      </c>
      <c r="AG92" s="281" t="s">
        <v>72</v>
      </c>
      <c r="AH92" s="276" t="s">
        <v>2260</v>
      </c>
      <c r="AI92" s="281" t="s">
        <v>2143</v>
      </c>
      <c r="AJ92" s="300">
        <v>7000</v>
      </c>
      <c r="AK92" s="281" t="s">
        <v>305</v>
      </c>
    </row>
    <row r="93" spans="1:37" s="283" customFormat="1" x14ac:dyDescent="0.35">
      <c r="A93" s="281">
        <v>81101515</v>
      </c>
      <c r="B93" s="298" t="s">
        <v>2170</v>
      </c>
      <c r="C93" s="298" t="s">
        <v>2170</v>
      </c>
      <c r="D93" s="298" t="s">
        <v>2261</v>
      </c>
      <c r="E93" s="298" t="s">
        <v>2262</v>
      </c>
      <c r="F93" s="298" t="s">
        <v>2263</v>
      </c>
      <c r="G93" s="299">
        <v>908</v>
      </c>
      <c r="H93" s="751">
        <v>42245</v>
      </c>
      <c r="I93" s="299">
        <v>1420</v>
      </c>
      <c r="J93" s="299">
        <v>290815</v>
      </c>
      <c r="K93" s="299">
        <v>1440</v>
      </c>
      <c r="L93" s="299">
        <v>290815</v>
      </c>
      <c r="M93" s="299">
        <v>1500</v>
      </c>
      <c r="N93" s="299" t="s">
        <v>62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1.4999999999999999E-2</v>
      </c>
      <c r="U93" s="299">
        <v>0</v>
      </c>
      <c r="V93" s="299">
        <v>0</v>
      </c>
      <c r="W93" s="299">
        <v>0</v>
      </c>
      <c r="X93" s="299">
        <v>0</v>
      </c>
      <c r="Y93" s="278">
        <f t="shared" si="3"/>
        <v>1.4999999999999999E-2</v>
      </c>
      <c r="Z93" s="278">
        <f t="shared" si="3"/>
        <v>0</v>
      </c>
      <c r="AA93" s="278">
        <f t="shared" si="3"/>
        <v>0</v>
      </c>
      <c r="AB93" s="299">
        <v>0</v>
      </c>
      <c r="AC93" s="299">
        <v>0</v>
      </c>
      <c r="AD93" s="278">
        <f t="shared" si="4"/>
        <v>1.4999999999999999E-2</v>
      </c>
      <c r="AE93" s="281" t="s">
        <v>2212</v>
      </c>
      <c r="AF93" s="281" t="s">
        <v>117</v>
      </c>
      <c r="AG93" s="281" t="s">
        <v>72</v>
      </c>
      <c r="AH93" s="281" t="s">
        <v>2264</v>
      </c>
      <c r="AI93" s="281" t="s">
        <v>1671</v>
      </c>
      <c r="AJ93" s="300">
        <v>750</v>
      </c>
      <c r="AK93" s="281" t="s">
        <v>305</v>
      </c>
    </row>
    <row r="94" spans="1:37" s="283" customFormat="1" x14ac:dyDescent="0.35">
      <c r="A94" s="288">
        <v>82100115</v>
      </c>
      <c r="B94" s="289" t="s">
        <v>145</v>
      </c>
      <c r="C94" s="289" t="s">
        <v>145</v>
      </c>
      <c r="D94" s="289" t="s">
        <v>2108</v>
      </c>
      <c r="E94" s="304" t="s">
        <v>2265</v>
      </c>
      <c r="F94" s="304" t="s">
        <v>2266</v>
      </c>
      <c r="G94" s="305">
        <v>567</v>
      </c>
      <c r="H94" s="751">
        <v>42259</v>
      </c>
      <c r="I94" s="299">
        <v>1120</v>
      </c>
      <c r="J94" s="299">
        <v>120915</v>
      </c>
      <c r="K94" s="299">
        <v>1130</v>
      </c>
      <c r="L94" s="299">
        <v>120915</v>
      </c>
      <c r="M94" s="299">
        <v>1315</v>
      </c>
      <c r="N94" s="299" t="s">
        <v>41</v>
      </c>
      <c r="O94" s="299">
        <v>0</v>
      </c>
      <c r="P94" s="299">
        <v>0</v>
      </c>
      <c r="Q94" s="299">
        <v>7.0000000000000007E-2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X94" s="299">
        <v>0</v>
      </c>
      <c r="Y94" s="278">
        <f t="shared" si="3"/>
        <v>0</v>
      </c>
      <c r="Z94" s="278">
        <f t="shared" si="3"/>
        <v>0</v>
      </c>
      <c r="AA94" s="278">
        <f t="shared" si="3"/>
        <v>7.0000000000000007E-2</v>
      </c>
      <c r="AB94" s="299">
        <v>0</v>
      </c>
      <c r="AC94" s="299">
        <v>0</v>
      </c>
      <c r="AD94" s="278">
        <f t="shared" si="4"/>
        <v>7.0000000000000007E-2</v>
      </c>
      <c r="AE94" s="281" t="s">
        <v>2248</v>
      </c>
      <c r="AF94" s="281" t="s">
        <v>117</v>
      </c>
      <c r="AG94" s="281" t="s">
        <v>57</v>
      </c>
      <c r="AH94" s="281" t="s">
        <v>2267</v>
      </c>
      <c r="AI94" s="281" t="s">
        <v>1709</v>
      </c>
      <c r="AJ94" s="300">
        <v>14000</v>
      </c>
      <c r="AK94" s="281" t="s">
        <v>305</v>
      </c>
    </row>
    <row r="95" spans="1:37" s="283" customFormat="1" x14ac:dyDescent="0.35">
      <c r="A95" s="276">
        <v>83101315</v>
      </c>
      <c r="B95" s="289" t="s">
        <v>198</v>
      </c>
      <c r="C95" s="289" t="s">
        <v>199</v>
      </c>
      <c r="D95" s="289" t="s">
        <v>2105</v>
      </c>
      <c r="E95" s="304" t="s">
        <v>1973</v>
      </c>
      <c r="F95" s="304" t="s">
        <v>2268</v>
      </c>
      <c r="G95" s="305">
        <v>741</v>
      </c>
      <c r="H95" s="751">
        <v>42260</v>
      </c>
      <c r="I95" s="299">
        <v>1345</v>
      </c>
      <c r="J95" s="299"/>
      <c r="K95" s="299"/>
      <c r="L95" s="299">
        <v>130915</v>
      </c>
      <c r="M95" s="299">
        <v>1725</v>
      </c>
      <c r="N95" s="299" t="s">
        <v>165</v>
      </c>
      <c r="O95" s="299">
        <v>1.5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X95" s="299">
        <v>0</v>
      </c>
      <c r="Y95" s="278">
        <f t="shared" si="3"/>
        <v>1.5</v>
      </c>
      <c r="Z95" s="278">
        <f t="shared" si="3"/>
        <v>0</v>
      </c>
      <c r="AA95" s="278">
        <f t="shared" si="3"/>
        <v>0</v>
      </c>
      <c r="AB95" s="299">
        <v>0</v>
      </c>
      <c r="AC95" s="299">
        <v>0</v>
      </c>
      <c r="AD95" s="278">
        <f t="shared" si="4"/>
        <v>1.5</v>
      </c>
      <c r="AE95" s="281" t="s">
        <v>2169</v>
      </c>
      <c r="AF95" s="281" t="s">
        <v>175</v>
      </c>
      <c r="AG95" s="281" t="s">
        <v>57</v>
      </c>
      <c r="AH95" s="281" t="s">
        <v>1496</v>
      </c>
      <c r="AI95" s="281" t="s">
        <v>73</v>
      </c>
      <c r="AJ95" s="300">
        <v>150000</v>
      </c>
      <c r="AK95" s="281" t="s">
        <v>305</v>
      </c>
    </row>
    <row r="96" spans="1:37" s="283" customFormat="1" x14ac:dyDescent="0.35">
      <c r="A96" s="276">
        <v>84103015</v>
      </c>
      <c r="B96" s="289" t="s">
        <v>2170</v>
      </c>
      <c r="C96" s="289" t="s">
        <v>205</v>
      </c>
      <c r="D96" s="289" t="s">
        <v>2269</v>
      </c>
      <c r="E96" s="304" t="s">
        <v>2270</v>
      </c>
      <c r="F96" s="304" t="s">
        <v>2271</v>
      </c>
      <c r="G96" s="305">
        <v>647</v>
      </c>
      <c r="H96" s="751">
        <v>42262</v>
      </c>
      <c r="I96" s="299">
        <v>1300</v>
      </c>
      <c r="J96" s="299">
        <v>150915</v>
      </c>
      <c r="K96" s="294">
        <v>1315</v>
      </c>
      <c r="L96" s="299">
        <v>150915</v>
      </c>
      <c r="M96" s="299">
        <v>1700</v>
      </c>
      <c r="N96" s="299" t="s">
        <v>62</v>
      </c>
      <c r="O96" s="299">
        <v>1.5</v>
      </c>
      <c r="P96" s="299">
        <v>0.5</v>
      </c>
      <c r="Q96" s="299">
        <v>0</v>
      </c>
      <c r="R96" s="299">
        <v>0</v>
      </c>
      <c r="S96" s="299">
        <v>0</v>
      </c>
      <c r="T96" s="299">
        <v>0</v>
      </c>
      <c r="U96" s="299">
        <v>0</v>
      </c>
      <c r="V96" s="299">
        <v>0</v>
      </c>
      <c r="W96" s="299">
        <v>0</v>
      </c>
      <c r="X96" s="299">
        <v>0</v>
      </c>
      <c r="Y96" s="278">
        <f t="shared" si="3"/>
        <v>1.5</v>
      </c>
      <c r="Z96" s="278">
        <f t="shared" si="3"/>
        <v>0.5</v>
      </c>
      <c r="AA96" s="278">
        <f t="shared" si="3"/>
        <v>0</v>
      </c>
      <c r="AB96" s="299">
        <v>0</v>
      </c>
      <c r="AC96" s="299">
        <v>0</v>
      </c>
      <c r="AD96" s="278">
        <f t="shared" si="4"/>
        <v>2</v>
      </c>
      <c r="AE96" s="281" t="s">
        <v>2272</v>
      </c>
      <c r="AF96" s="281" t="s">
        <v>117</v>
      </c>
      <c r="AG96" s="281" t="s">
        <v>72</v>
      </c>
      <c r="AH96" s="281" t="s">
        <v>2273</v>
      </c>
      <c r="AI96" s="281" t="s">
        <v>1503</v>
      </c>
      <c r="AJ96" s="300">
        <v>183000</v>
      </c>
      <c r="AK96" s="281" t="s">
        <v>305</v>
      </c>
    </row>
    <row r="97" spans="1:37" s="283" customFormat="1" x14ac:dyDescent="0.35">
      <c r="A97" s="276">
        <v>85102315</v>
      </c>
      <c r="B97" s="289" t="s">
        <v>68</v>
      </c>
      <c r="C97" s="289" t="s">
        <v>68</v>
      </c>
      <c r="D97" s="289" t="s">
        <v>2274</v>
      </c>
      <c r="E97" s="304" t="s">
        <v>2275</v>
      </c>
      <c r="F97" s="304" t="s">
        <v>2276</v>
      </c>
      <c r="G97" s="305">
        <v>850</v>
      </c>
      <c r="H97" s="751">
        <v>42263</v>
      </c>
      <c r="I97" s="299">
        <v>1745</v>
      </c>
      <c r="J97" s="299">
        <v>160915</v>
      </c>
      <c r="K97" s="294">
        <v>1755</v>
      </c>
      <c r="L97" s="299">
        <v>160915</v>
      </c>
      <c r="M97" s="299">
        <v>2205</v>
      </c>
      <c r="N97" s="299" t="s">
        <v>62</v>
      </c>
      <c r="O97" s="299">
        <v>1</v>
      </c>
      <c r="P97" s="299">
        <v>0.5</v>
      </c>
      <c r="Q97" s="299">
        <v>0</v>
      </c>
      <c r="R97" s="299">
        <v>0</v>
      </c>
      <c r="S97" s="299">
        <v>0</v>
      </c>
      <c r="T97" s="299">
        <v>0</v>
      </c>
      <c r="U97" s="299">
        <v>0</v>
      </c>
      <c r="V97" s="299">
        <v>0</v>
      </c>
      <c r="W97" s="299">
        <v>0</v>
      </c>
      <c r="X97" s="299">
        <v>0</v>
      </c>
      <c r="Y97" s="278">
        <f t="shared" si="3"/>
        <v>1</v>
      </c>
      <c r="Z97" s="278">
        <f t="shared" si="3"/>
        <v>0.5</v>
      </c>
      <c r="AA97" s="278">
        <f t="shared" si="3"/>
        <v>0</v>
      </c>
      <c r="AB97" s="299">
        <v>0</v>
      </c>
      <c r="AC97" s="299">
        <v>0</v>
      </c>
      <c r="AD97" s="278">
        <f t="shared" si="4"/>
        <v>1.5</v>
      </c>
      <c r="AE97" s="281" t="s">
        <v>2277</v>
      </c>
      <c r="AF97" s="281" t="s">
        <v>117</v>
      </c>
      <c r="AG97" s="281" t="s">
        <v>57</v>
      </c>
      <c r="AH97" s="281"/>
      <c r="AI97" s="281" t="s">
        <v>73</v>
      </c>
      <c r="AJ97" s="300">
        <v>3750</v>
      </c>
      <c r="AK97" s="281" t="s">
        <v>305</v>
      </c>
    </row>
    <row r="98" spans="1:37" s="283" customFormat="1" ht="15" thickBot="1" x14ac:dyDescent="0.4">
      <c r="A98" s="276">
        <v>86100515</v>
      </c>
      <c r="B98" s="289" t="s">
        <v>208</v>
      </c>
      <c r="C98" s="289" t="s">
        <v>208</v>
      </c>
      <c r="D98" s="289" t="s">
        <v>2006</v>
      </c>
      <c r="E98" s="304" t="s">
        <v>2278</v>
      </c>
      <c r="F98" s="304" t="s">
        <v>2279</v>
      </c>
      <c r="G98" s="305">
        <v>573</v>
      </c>
      <c r="H98" s="751">
        <v>42269</v>
      </c>
      <c r="I98" s="299">
        <v>1300</v>
      </c>
      <c r="J98" s="299"/>
      <c r="K98" s="294"/>
      <c r="L98" s="299">
        <v>220915</v>
      </c>
      <c r="M98" s="299">
        <v>1930</v>
      </c>
      <c r="N98" s="302" t="s">
        <v>1517</v>
      </c>
      <c r="O98" s="299">
        <v>0</v>
      </c>
      <c r="P98" s="299">
        <v>2</v>
      </c>
      <c r="Q98" s="299">
        <v>0</v>
      </c>
      <c r="R98" s="299">
        <v>0</v>
      </c>
      <c r="S98" s="299">
        <v>0</v>
      </c>
      <c r="T98" s="299">
        <v>0</v>
      </c>
      <c r="U98" s="299">
        <v>0</v>
      </c>
      <c r="V98" s="299">
        <v>0</v>
      </c>
      <c r="W98" s="299">
        <v>0</v>
      </c>
      <c r="X98" s="299">
        <v>0</v>
      </c>
      <c r="Y98" s="278">
        <f t="shared" si="3"/>
        <v>0</v>
      </c>
      <c r="Z98" s="278">
        <f t="shared" si="3"/>
        <v>2</v>
      </c>
      <c r="AA98" s="278">
        <f t="shared" si="3"/>
        <v>0</v>
      </c>
      <c r="AB98" s="299">
        <v>0</v>
      </c>
      <c r="AC98" s="299">
        <v>0</v>
      </c>
      <c r="AD98" s="278">
        <f t="shared" si="4"/>
        <v>2</v>
      </c>
      <c r="AE98" s="281" t="s">
        <v>2169</v>
      </c>
      <c r="AF98" s="281" t="s">
        <v>175</v>
      </c>
      <c r="AG98" s="281" t="s">
        <v>57</v>
      </c>
      <c r="AH98" s="281" t="s">
        <v>1500</v>
      </c>
      <c r="AI98" s="281"/>
      <c r="AJ98" s="300">
        <v>100000</v>
      </c>
      <c r="AK98" s="281" t="s">
        <v>305</v>
      </c>
    </row>
    <row r="99" spans="1:37" s="283" customFormat="1" x14ac:dyDescent="0.35">
      <c r="A99" s="276">
        <v>87100515</v>
      </c>
      <c r="B99" s="289" t="s">
        <v>208</v>
      </c>
      <c r="C99" s="289" t="s">
        <v>208</v>
      </c>
      <c r="D99" s="289" t="s">
        <v>2006</v>
      </c>
      <c r="E99" s="304" t="s">
        <v>2192</v>
      </c>
      <c r="F99" s="304" t="s">
        <v>2280</v>
      </c>
      <c r="G99" s="305">
        <v>870</v>
      </c>
      <c r="H99" s="751" t="s">
        <v>2899</v>
      </c>
      <c r="I99" s="299">
        <v>1550</v>
      </c>
      <c r="J99" s="299"/>
      <c r="K99" s="294"/>
      <c r="L99" s="299">
        <v>31015</v>
      </c>
      <c r="M99" s="299">
        <v>1720</v>
      </c>
      <c r="N99" s="306" t="s">
        <v>1517</v>
      </c>
      <c r="O99" s="299">
        <v>0</v>
      </c>
      <c r="P99" s="299">
        <v>2</v>
      </c>
      <c r="Q99" s="299">
        <v>0</v>
      </c>
      <c r="R99" s="299">
        <v>0</v>
      </c>
      <c r="S99" s="299">
        <v>0</v>
      </c>
      <c r="T99" s="299">
        <v>0</v>
      </c>
      <c r="U99" s="299">
        <v>0</v>
      </c>
      <c r="V99" s="299">
        <v>0</v>
      </c>
      <c r="W99" s="299">
        <v>0</v>
      </c>
      <c r="X99" s="299">
        <v>0</v>
      </c>
      <c r="Y99" s="278">
        <f t="shared" si="3"/>
        <v>0</v>
      </c>
      <c r="Z99" s="278">
        <f t="shared" si="3"/>
        <v>2</v>
      </c>
      <c r="AA99" s="278">
        <f t="shared" si="3"/>
        <v>0</v>
      </c>
      <c r="AB99" s="299">
        <v>0</v>
      </c>
      <c r="AC99" s="299">
        <v>0</v>
      </c>
      <c r="AD99" s="278">
        <f t="shared" si="4"/>
        <v>2</v>
      </c>
      <c r="AE99" s="281" t="s">
        <v>2004</v>
      </c>
      <c r="AF99" s="281" t="s">
        <v>175</v>
      </c>
      <c r="AG99" s="281" t="s">
        <v>57</v>
      </c>
      <c r="AH99" s="281" t="s">
        <v>1500</v>
      </c>
      <c r="AI99" s="281"/>
      <c r="AJ99" s="300">
        <v>100000</v>
      </c>
      <c r="AK99" s="281" t="s">
        <v>305</v>
      </c>
    </row>
    <row r="100" spans="1:37" x14ac:dyDescent="0.35">
      <c r="A100" s="679" t="s">
        <v>44</v>
      </c>
      <c r="B100" s="680"/>
      <c r="C100" s="680"/>
      <c r="D100" s="680"/>
      <c r="E100" s="680"/>
      <c r="F100" s="680"/>
      <c r="G100" s="680"/>
      <c r="H100" s="680"/>
      <c r="I100" s="680"/>
      <c r="J100" s="680"/>
      <c r="K100" s="680"/>
      <c r="L100" s="680"/>
      <c r="M100" s="680"/>
      <c r="N100" s="681"/>
      <c r="O100" s="602">
        <f>SUM(O13:O99)</f>
        <v>30.360000000000003</v>
      </c>
      <c r="P100" s="602">
        <f t="shared" ref="P100:AK100" si="5">SUM(P13:P99)</f>
        <v>60.35</v>
      </c>
      <c r="Q100" s="602">
        <f t="shared" si="5"/>
        <v>14.72</v>
      </c>
      <c r="R100" s="602">
        <f t="shared" si="5"/>
        <v>0</v>
      </c>
      <c r="S100" s="602">
        <f t="shared" si="5"/>
        <v>0</v>
      </c>
      <c r="T100" s="602">
        <f t="shared" si="5"/>
        <v>39.515000000000001</v>
      </c>
      <c r="U100" s="602">
        <f t="shared" si="5"/>
        <v>1</v>
      </c>
      <c r="V100" s="602">
        <f t="shared" si="5"/>
        <v>7.5</v>
      </c>
      <c r="W100" s="602"/>
      <c r="X100" s="307" t="s">
        <v>2281</v>
      </c>
      <c r="Y100" s="602">
        <f t="shared" si="5"/>
        <v>69.875</v>
      </c>
      <c r="Z100" s="602">
        <f t="shared" si="5"/>
        <v>61.35</v>
      </c>
      <c r="AA100" s="602">
        <f t="shared" si="5"/>
        <v>22.220000000000002</v>
      </c>
      <c r="AB100" s="602"/>
      <c r="AC100" s="307" t="s">
        <v>2281</v>
      </c>
      <c r="AD100" s="602">
        <f t="shared" si="5"/>
        <v>153.44499999999999</v>
      </c>
      <c r="AE100" s="602"/>
      <c r="AF100" s="602"/>
      <c r="AG100" s="602"/>
      <c r="AH100" s="602"/>
      <c r="AI100" s="602"/>
      <c r="AJ100" s="602">
        <f t="shared" si="5"/>
        <v>13114880</v>
      </c>
      <c r="AK100" s="602">
        <f t="shared" si="5"/>
        <v>0</v>
      </c>
    </row>
  </sheetData>
  <mergeCells count="23">
    <mergeCell ref="T11:X11"/>
    <mergeCell ref="Y11:AD11"/>
    <mergeCell ref="A100:N100"/>
    <mergeCell ref="J10:K10"/>
    <mergeCell ref="L10:M10"/>
    <mergeCell ref="O10:AD10"/>
    <mergeCell ref="H11:H12"/>
    <mergeCell ref="I11:I12"/>
    <mergeCell ref="J11:J12"/>
    <mergeCell ref="K11:K12"/>
    <mergeCell ref="L11:L12"/>
    <mergeCell ref="M11:M12"/>
    <mergeCell ref="O11:S11"/>
    <mergeCell ref="A10:A12"/>
    <mergeCell ref="B10:B12"/>
    <mergeCell ref="C10:C12"/>
    <mergeCell ref="E10:G10"/>
    <mergeCell ref="H10:I10"/>
    <mergeCell ref="A1:AI1"/>
    <mergeCell ref="A4:AI4"/>
    <mergeCell ref="AF7:AI7"/>
    <mergeCell ref="AF8:AI8"/>
    <mergeCell ref="A9:AI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2"/>
  <sheetViews>
    <sheetView topLeftCell="D7" zoomScale="150" zoomScaleNormal="150" workbookViewId="0">
      <selection activeCell="H13" sqref="H13:I91"/>
    </sheetView>
  </sheetViews>
  <sheetFormatPr baseColWidth="10" defaultColWidth="11.453125" defaultRowHeight="14.5" x14ac:dyDescent="0.35"/>
  <cols>
    <col min="4" max="4" width="44.81640625" customWidth="1"/>
    <col min="5" max="5" width="14.453125" customWidth="1"/>
    <col min="6" max="6" width="13.81640625" customWidth="1"/>
    <col min="34" max="34" width="25" customWidth="1"/>
    <col min="35" max="35" width="25.81640625" customWidth="1"/>
    <col min="36" max="36" width="15.453125" customWidth="1"/>
  </cols>
  <sheetData>
    <row r="1" spans="1:37" ht="15.5" x14ac:dyDescent="0.35">
      <c r="A1" s="671" t="s">
        <v>0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</row>
    <row r="2" spans="1:37" ht="15.5" x14ac:dyDescent="0.35">
      <c r="A2" s="259" t="s">
        <v>1994</v>
      </c>
      <c r="B2" s="259"/>
      <c r="C2" s="259"/>
      <c r="D2" s="259"/>
      <c r="E2" s="259"/>
      <c r="F2" s="259"/>
      <c r="G2" s="259"/>
      <c r="H2" s="259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"/>
      <c r="AK2" s="59"/>
    </row>
    <row r="3" spans="1:37" ht="15.5" x14ac:dyDescent="0.35">
      <c r="A3" s="259" t="s">
        <v>290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59"/>
      <c r="AK3" s="59"/>
    </row>
    <row r="4" spans="1:37" ht="15.5" x14ac:dyDescent="0.35">
      <c r="A4" s="671" t="s">
        <v>291</v>
      </c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  <c r="AB4" s="671"/>
      <c r="AC4" s="671"/>
      <c r="AD4" s="671"/>
      <c r="AE4" s="671"/>
      <c r="AF4" s="671"/>
      <c r="AG4" s="671"/>
      <c r="AH4" s="671"/>
      <c r="AI4" s="671"/>
      <c r="AJ4" s="59"/>
      <c r="AK4" s="59"/>
    </row>
    <row r="5" spans="1:37" ht="15.5" x14ac:dyDescent="0.35">
      <c r="A5" s="579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139"/>
      <c r="O5" s="579"/>
      <c r="P5" s="579"/>
      <c r="Q5" s="579"/>
      <c r="R5" s="579"/>
      <c r="S5" s="579"/>
      <c r="T5" s="579"/>
      <c r="U5" s="579"/>
      <c r="V5" s="579"/>
      <c r="W5" s="579"/>
      <c r="X5" s="579"/>
      <c r="Y5" s="579"/>
      <c r="Z5" s="579"/>
      <c r="AA5" s="579"/>
      <c r="AB5" s="579"/>
      <c r="AC5" s="579"/>
      <c r="AD5" s="579"/>
      <c r="AE5" s="579"/>
      <c r="AF5" s="579"/>
      <c r="AG5" s="579"/>
      <c r="AH5" s="579"/>
      <c r="AI5" s="579"/>
      <c r="AJ5" s="59"/>
      <c r="AK5" s="59"/>
    </row>
    <row r="6" spans="1:37" ht="15" thickBot="1" x14ac:dyDescent="0.4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62"/>
      <c r="O6" s="59"/>
      <c r="P6" s="59"/>
      <c r="Q6" s="59"/>
      <c r="R6" s="59"/>
      <c r="S6" s="59"/>
      <c r="T6" s="59"/>
      <c r="U6" s="59"/>
      <c r="V6" s="59"/>
      <c r="W6" s="59"/>
      <c r="X6" s="59"/>
      <c r="Y6" s="61"/>
      <c r="Z6" s="61"/>
      <c r="AA6" s="61"/>
      <c r="AB6" s="61"/>
      <c r="AC6" s="61"/>
      <c r="AD6" s="61"/>
      <c r="AE6" s="61"/>
      <c r="AF6" s="59"/>
      <c r="AG6" s="59"/>
      <c r="AH6" s="59"/>
      <c r="AI6" s="59"/>
      <c r="AJ6" s="59"/>
      <c r="AK6" s="59"/>
    </row>
    <row r="7" spans="1:37" ht="16" thickBot="1" x14ac:dyDescent="0.4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72" t="s">
        <v>2282</v>
      </c>
      <c r="AG7" s="673"/>
      <c r="AH7" s="673"/>
      <c r="AI7" s="674"/>
      <c r="AJ7" s="59"/>
      <c r="AK7" s="59"/>
    </row>
    <row r="8" spans="1:37" ht="16" thickBot="1" x14ac:dyDescent="0.4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75" t="s">
        <v>2283</v>
      </c>
      <c r="AG8" s="676"/>
      <c r="AH8" s="677"/>
      <c r="AI8" s="678"/>
      <c r="AJ8" s="59"/>
      <c r="AK8" s="59"/>
    </row>
    <row r="9" spans="1:37" ht="15" thickBot="1" x14ac:dyDescent="0.4">
      <c r="A9" s="613"/>
      <c r="B9" s="613"/>
      <c r="C9" s="613"/>
      <c r="D9" s="613"/>
      <c r="E9" s="613"/>
      <c r="F9" s="613"/>
      <c r="G9" s="613"/>
      <c r="H9" s="613"/>
      <c r="I9" s="613"/>
      <c r="J9" s="613"/>
      <c r="K9" s="613"/>
      <c r="L9" s="613"/>
      <c r="M9" s="613"/>
      <c r="N9" s="613"/>
      <c r="O9" s="613"/>
      <c r="P9" s="613"/>
      <c r="Q9" s="613"/>
      <c r="R9" s="613"/>
      <c r="S9" s="613"/>
      <c r="T9" s="613"/>
      <c r="U9" s="613"/>
      <c r="V9" s="613"/>
      <c r="W9" s="613"/>
      <c r="X9" s="613"/>
      <c r="Y9" s="613"/>
      <c r="Z9" s="613"/>
      <c r="AA9" s="613"/>
      <c r="AB9" s="613"/>
      <c r="AC9" s="613"/>
      <c r="AD9" s="613"/>
      <c r="AE9" s="613"/>
      <c r="AF9" s="613"/>
      <c r="AG9" s="613"/>
      <c r="AH9" s="614"/>
      <c r="AI9" s="615"/>
      <c r="AJ9" s="59"/>
      <c r="AK9" s="59"/>
    </row>
    <row r="10" spans="1:37" ht="15" thickBot="1" x14ac:dyDescent="0.4">
      <c r="A10" s="670" t="s">
        <v>4</v>
      </c>
      <c r="B10" s="683" t="s">
        <v>5</v>
      </c>
      <c r="C10" s="670" t="s">
        <v>6</v>
      </c>
      <c r="D10" s="596" t="s">
        <v>1322</v>
      </c>
      <c r="E10" s="667" t="s">
        <v>8</v>
      </c>
      <c r="F10" s="668"/>
      <c r="G10" s="669"/>
      <c r="H10" s="670" t="s">
        <v>9</v>
      </c>
      <c r="I10" s="670"/>
      <c r="J10" s="670" t="s">
        <v>10</v>
      </c>
      <c r="K10" s="670"/>
      <c r="L10" s="670" t="s">
        <v>11</v>
      </c>
      <c r="M10" s="670"/>
      <c r="N10" s="405" t="s">
        <v>12</v>
      </c>
      <c r="O10" s="670" t="s">
        <v>13</v>
      </c>
      <c r="P10" s="670"/>
      <c r="Q10" s="670"/>
      <c r="R10" s="670"/>
      <c r="S10" s="670"/>
      <c r="T10" s="670"/>
      <c r="U10" s="670"/>
      <c r="V10" s="670"/>
      <c r="W10" s="670"/>
      <c r="X10" s="670"/>
      <c r="Y10" s="670"/>
      <c r="Z10" s="670"/>
      <c r="AA10" s="670"/>
      <c r="AB10" s="670"/>
      <c r="AC10" s="670"/>
      <c r="AD10" s="670"/>
      <c r="AE10" s="596"/>
      <c r="AF10" s="596"/>
      <c r="AG10" s="260"/>
      <c r="AH10" s="261" t="s">
        <v>14</v>
      </c>
      <c r="AI10" s="262" t="s">
        <v>15</v>
      </c>
      <c r="AJ10" s="599" t="s">
        <v>16</v>
      </c>
      <c r="AK10" s="596" t="s">
        <v>17</v>
      </c>
    </row>
    <row r="11" spans="1:37" ht="15" thickBot="1" x14ac:dyDescent="0.4">
      <c r="A11" s="682"/>
      <c r="B11" s="684"/>
      <c r="C11" s="682"/>
      <c r="D11" s="598" t="s">
        <v>18</v>
      </c>
      <c r="E11" s="263" t="s">
        <v>19</v>
      </c>
      <c r="F11" s="263" t="s">
        <v>20</v>
      </c>
      <c r="G11" s="264" t="s">
        <v>21</v>
      </c>
      <c r="H11" s="670" t="s">
        <v>22</v>
      </c>
      <c r="I11" s="670" t="s">
        <v>23</v>
      </c>
      <c r="J11" s="683" t="s">
        <v>22</v>
      </c>
      <c r="K11" s="670" t="s">
        <v>23</v>
      </c>
      <c r="L11" s="670" t="s">
        <v>22</v>
      </c>
      <c r="M11" s="688" t="s">
        <v>23</v>
      </c>
      <c r="N11" s="406"/>
      <c r="O11" s="683" t="s">
        <v>24</v>
      </c>
      <c r="P11" s="670"/>
      <c r="Q11" s="670"/>
      <c r="R11" s="670"/>
      <c r="S11" s="670"/>
      <c r="T11" s="670" t="s">
        <v>25</v>
      </c>
      <c r="U11" s="670"/>
      <c r="V11" s="670"/>
      <c r="W11" s="670"/>
      <c r="X11" s="670"/>
      <c r="Y11" s="670" t="s">
        <v>26</v>
      </c>
      <c r="Z11" s="670"/>
      <c r="AA11" s="670"/>
      <c r="AB11" s="670"/>
      <c r="AC11" s="670"/>
      <c r="AD11" s="670"/>
      <c r="AE11" s="598" t="s">
        <v>294</v>
      </c>
      <c r="AF11" s="598" t="s">
        <v>295</v>
      </c>
      <c r="AG11" s="265" t="s">
        <v>29</v>
      </c>
      <c r="AH11" s="266" t="s">
        <v>30</v>
      </c>
      <c r="AI11" s="267" t="s">
        <v>31</v>
      </c>
      <c r="AJ11" s="600" t="s">
        <v>32</v>
      </c>
      <c r="AK11" s="598" t="s">
        <v>296</v>
      </c>
    </row>
    <row r="12" spans="1:37" x14ac:dyDescent="0.35">
      <c r="A12" s="682"/>
      <c r="B12" s="684"/>
      <c r="C12" s="686"/>
      <c r="D12" s="598" t="s">
        <v>34</v>
      </c>
      <c r="E12" s="268" t="s">
        <v>35</v>
      </c>
      <c r="F12" s="269" t="s">
        <v>36</v>
      </c>
      <c r="G12" s="270" t="s">
        <v>37</v>
      </c>
      <c r="H12" s="682"/>
      <c r="I12" s="682"/>
      <c r="J12" s="684"/>
      <c r="K12" s="682"/>
      <c r="L12" s="682"/>
      <c r="M12" s="685"/>
      <c r="N12" s="598" t="s">
        <v>297</v>
      </c>
      <c r="O12" s="599" t="s">
        <v>39</v>
      </c>
      <c r="P12" s="596" t="s">
        <v>40</v>
      </c>
      <c r="Q12" s="271" t="s">
        <v>41</v>
      </c>
      <c r="R12" s="596" t="s">
        <v>42</v>
      </c>
      <c r="S12" s="599" t="s">
        <v>43</v>
      </c>
      <c r="T12" s="596" t="s">
        <v>39</v>
      </c>
      <c r="U12" s="596" t="s">
        <v>40</v>
      </c>
      <c r="V12" s="596" t="s">
        <v>41</v>
      </c>
      <c r="W12" s="596" t="s">
        <v>42</v>
      </c>
      <c r="X12" s="596" t="s">
        <v>43</v>
      </c>
      <c r="Y12" s="596" t="s">
        <v>39</v>
      </c>
      <c r="Z12" s="596" t="s">
        <v>40</v>
      </c>
      <c r="AA12" s="596" t="s">
        <v>41</v>
      </c>
      <c r="AB12" s="596" t="s">
        <v>42</v>
      </c>
      <c r="AC12" s="596" t="s">
        <v>43</v>
      </c>
      <c r="AD12" s="596" t="s">
        <v>44</v>
      </c>
      <c r="AE12" s="598"/>
      <c r="AF12" s="601"/>
      <c r="AG12" s="272" t="s">
        <v>298</v>
      </c>
      <c r="AH12" s="273" t="s">
        <v>46</v>
      </c>
      <c r="AI12" s="274" t="s">
        <v>299</v>
      </c>
      <c r="AJ12" s="600" t="s">
        <v>48</v>
      </c>
      <c r="AK12" s="275"/>
    </row>
    <row r="13" spans="1:37" x14ac:dyDescent="0.35">
      <c r="A13" s="276">
        <v>1100516</v>
      </c>
      <c r="B13" s="281" t="s">
        <v>208</v>
      </c>
      <c r="C13" s="281" t="s">
        <v>208</v>
      </c>
      <c r="D13" s="281" t="s">
        <v>2284</v>
      </c>
      <c r="E13" s="276" t="s">
        <v>2285</v>
      </c>
      <c r="F13" s="276" t="s">
        <v>2286</v>
      </c>
      <c r="G13" s="278">
        <v>657</v>
      </c>
      <c r="H13" s="750">
        <v>42555</v>
      </c>
      <c r="I13" s="284">
        <v>1415</v>
      </c>
      <c r="J13" s="407"/>
      <c r="K13" s="407"/>
      <c r="L13" s="284">
        <v>40716</v>
      </c>
      <c r="M13" s="279">
        <v>1630</v>
      </c>
      <c r="N13" s="278" t="s">
        <v>1517</v>
      </c>
      <c r="O13" s="278">
        <v>0</v>
      </c>
      <c r="P13" s="278">
        <v>0.5</v>
      </c>
      <c r="Q13" s="278">
        <v>0.5</v>
      </c>
      <c r="R13" s="278">
        <v>0</v>
      </c>
      <c r="S13" s="278">
        <v>0</v>
      </c>
      <c r="T13" s="278">
        <v>0</v>
      </c>
      <c r="U13" s="278">
        <v>0</v>
      </c>
      <c r="V13" s="278">
        <v>0</v>
      </c>
      <c r="W13" s="278">
        <v>0</v>
      </c>
      <c r="X13" s="278">
        <v>0</v>
      </c>
      <c r="Y13" s="278">
        <f>SUM(O13+T13)</f>
        <v>0</v>
      </c>
      <c r="Z13" s="278">
        <f>SUM(P13+U13)</f>
        <v>0.5</v>
      </c>
      <c r="AA13" s="278">
        <f>SUM(Q13+V13)</f>
        <v>0.5</v>
      </c>
      <c r="AB13" s="278">
        <f>SUM(R13+W13)</f>
        <v>0</v>
      </c>
      <c r="AC13" s="278">
        <f>SUM(S13+X13)</f>
        <v>0</v>
      </c>
      <c r="AD13" s="278">
        <f t="shared" ref="AD13:AD19" si="0">Y13+Z13+AA13+AB13</f>
        <v>1</v>
      </c>
      <c r="AE13" s="276" t="s">
        <v>175</v>
      </c>
      <c r="AF13" s="276" t="s">
        <v>117</v>
      </c>
      <c r="AG13" s="276" t="s">
        <v>57</v>
      </c>
      <c r="AH13" s="276" t="s">
        <v>1101</v>
      </c>
      <c r="AI13" s="276" t="s">
        <v>175</v>
      </c>
      <c r="AJ13" s="287">
        <v>27500</v>
      </c>
      <c r="AK13" s="276" t="s">
        <v>305</v>
      </c>
    </row>
    <row r="14" spans="1:37" x14ac:dyDescent="0.35">
      <c r="A14" s="276">
        <v>2103216</v>
      </c>
      <c r="B14" s="289" t="s">
        <v>2287</v>
      </c>
      <c r="C14" s="289" t="s">
        <v>2288</v>
      </c>
      <c r="D14" s="289" t="s">
        <v>2289</v>
      </c>
      <c r="E14" s="276" t="s">
        <v>2290</v>
      </c>
      <c r="F14" s="276" t="s">
        <v>2291</v>
      </c>
      <c r="G14" s="278">
        <v>1364</v>
      </c>
      <c r="H14" s="750">
        <v>42555</v>
      </c>
      <c r="I14" s="284">
        <v>1500</v>
      </c>
      <c r="J14" s="284">
        <v>40716</v>
      </c>
      <c r="K14" s="284">
        <v>1530</v>
      </c>
      <c r="L14" s="279">
        <v>40716</v>
      </c>
      <c r="M14" s="279">
        <v>1600</v>
      </c>
      <c r="N14" s="278" t="s">
        <v>2292</v>
      </c>
      <c r="O14" s="278">
        <v>0</v>
      </c>
      <c r="P14" s="278">
        <v>0</v>
      </c>
      <c r="Q14" s="278">
        <v>0.03</v>
      </c>
      <c r="R14" s="278">
        <v>0</v>
      </c>
      <c r="S14" s="278">
        <v>0</v>
      </c>
      <c r="T14" s="278">
        <v>0</v>
      </c>
      <c r="U14" s="278">
        <v>0</v>
      </c>
      <c r="V14" s="278">
        <v>0</v>
      </c>
      <c r="W14" s="278">
        <v>0</v>
      </c>
      <c r="X14" s="278">
        <v>0</v>
      </c>
      <c r="Y14" s="278">
        <f t="shared" ref="Y14:AC36" si="1">SUM(O14+T14)</f>
        <v>0</v>
      </c>
      <c r="Z14" s="278">
        <v>0</v>
      </c>
      <c r="AA14" s="278">
        <v>0.03</v>
      </c>
      <c r="AB14" s="278">
        <v>0</v>
      </c>
      <c r="AC14" s="278">
        <v>0</v>
      </c>
      <c r="AD14" s="278">
        <f t="shared" si="0"/>
        <v>0.03</v>
      </c>
      <c r="AE14" s="276" t="s">
        <v>2004</v>
      </c>
      <c r="AF14" s="276" t="s">
        <v>117</v>
      </c>
      <c r="AG14" s="276" t="s">
        <v>57</v>
      </c>
      <c r="AH14" s="276" t="s">
        <v>2293</v>
      </c>
      <c r="AI14" s="276" t="s">
        <v>2294</v>
      </c>
      <c r="AJ14" s="287">
        <v>15000</v>
      </c>
      <c r="AK14" s="276" t="s">
        <v>305</v>
      </c>
    </row>
    <row r="15" spans="1:37" x14ac:dyDescent="0.35">
      <c r="A15" s="276">
        <v>3102316</v>
      </c>
      <c r="B15" s="286" t="s">
        <v>68</v>
      </c>
      <c r="C15" s="286" t="s">
        <v>68</v>
      </c>
      <c r="D15" s="286" t="s">
        <v>2295</v>
      </c>
      <c r="E15" s="276" t="s">
        <v>2296</v>
      </c>
      <c r="F15" s="276" t="s">
        <v>2297</v>
      </c>
      <c r="G15" s="278">
        <v>900</v>
      </c>
      <c r="H15" s="750">
        <v>42560</v>
      </c>
      <c r="I15" s="284">
        <v>1440</v>
      </c>
      <c r="J15" s="284">
        <v>90716</v>
      </c>
      <c r="K15" s="284">
        <v>1455</v>
      </c>
      <c r="L15" s="279">
        <v>90716</v>
      </c>
      <c r="M15" s="279">
        <v>1600</v>
      </c>
      <c r="N15" s="278" t="s">
        <v>62</v>
      </c>
      <c r="O15" s="278">
        <v>0.5</v>
      </c>
      <c r="P15" s="278">
        <v>0</v>
      </c>
      <c r="Q15" s="278">
        <v>0</v>
      </c>
      <c r="R15" s="278">
        <v>0</v>
      </c>
      <c r="S15" s="278">
        <v>0</v>
      </c>
      <c r="T15" s="278">
        <v>0</v>
      </c>
      <c r="U15" s="278">
        <v>0</v>
      </c>
      <c r="V15" s="278">
        <v>0</v>
      </c>
      <c r="W15" s="278">
        <v>0</v>
      </c>
      <c r="X15" s="278">
        <v>0</v>
      </c>
      <c r="Y15" s="278">
        <f t="shared" si="1"/>
        <v>0.5</v>
      </c>
      <c r="Z15" s="278">
        <v>0</v>
      </c>
      <c r="AA15" s="278">
        <v>0</v>
      </c>
      <c r="AB15" s="278">
        <v>0</v>
      </c>
      <c r="AC15" s="278">
        <v>0</v>
      </c>
      <c r="AD15" s="278">
        <f t="shared" si="0"/>
        <v>0.5</v>
      </c>
      <c r="AE15" s="276" t="s">
        <v>188</v>
      </c>
      <c r="AF15" s="276" t="s">
        <v>117</v>
      </c>
      <c r="AG15" s="276" t="s">
        <v>2298</v>
      </c>
      <c r="AH15" s="276" t="s">
        <v>2299</v>
      </c>
      <c r="AI15" s="276" t="s">
        <v>73</v>
      </c>
      <c r="AJ15" s="287">
        <v>25000</v>
      </c>
      <c r="AK15" s="276" t="s">
        <v>305</v>
      </c>
    </row>
    <row r="16" spans="1:37" x14ac:dyDescent="0.35">
      <c r="A16" s="276">
        <v>4103216</v>
      </c>
      <c r="B16" s="289" t="s">
        <v>2287</v>
      </c>
      <c r="C16" s="289" t="s">
        <v>2287</v>
      </c>
      <c r="D16" s="289" t="s">
        <v>2300</v>
      </c>
      <c r="E16" s="276" t="s">
        <v>2301</v>
      </c>
      <c r="F16" s="276" t="s">
        <v>2302</v>
      </c>
      <c r="G16" s="278">
        <v>557</v>
      </c>
      <c r="H16" s="750">
        <v>42561</v>
      </c>
      <c r="I16" s="284">
        <v>1725</v>
      </c>
      <c r="J16" s="284">
        <v>100716</v>
      </c>
      <c r="K16" s="284">
        <v>1750</v>
      </c>
      <c r="L16" s="279">
        <v>100716</v>
      </c>
      <c r="M16" s="279">
        <v>1930</v>
      </c>
      <c r="N16" s="278" t="s">
        <v>62</v>
      </c>
      <c r="O16" s="278">
        <v>0.5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f t="shared" si="1"/>
        <v>0.5</v>
      </c>
      <c r="Z16" s="278">
        <v>0</v>
      </c>
      <c r="AA16" s="278">
        <v>0</v>
      </c>
      <c r="AB16" s="278">
        <v>0</v>
      </c>
      <c r="AC16" s="278">
        <v>0</v>
      </c>
      <c r="AD16" s="278">
        <f t="shared" si="0"/>
        <v>0.5</v>
      </c>
      <c r="AE16" s="276" t="s">
        <v>2004</v>
      </c>
      <c r="AF16" s="276" t="s">
        <v>117</v>
      </c>
      <c r="AG16" s="276" t="s">
        <v>57</v>
      </c>
      <c r="AH16" s="276" t="s">
        <v>2303</v>
      </c>
      <c r="AI16" s="276" t="s">
        <v>2304</v>
      </c>
      <c r="AJ16" s="287">
        <v>20000</v>
      </c>
      <c r="AK16" s="276" t="s">
        <v>305</v>
      </c>
    </row>
    <row r="17" spans="1:37" x14ac:dyDescent="0.35">
      <c r="A17" s="288">
        <v>5101416</v>
      </c>
      <c r="B17" s="289" t="s">
        <v>198</v>
      </c>
      <c r="C17" s="289" t="s">
        <v>198</v>
      </c>
      <c r="D17" s="281" t="s">
        <v>2305</v>
      </c>
      <c r="E17" s="276" t="s">
        <v>2306</v>
      </c>
      <c r="F17" s="276" t="s">
        <v>2307</v>
      </c>
      <c r="G17" s="278">
        <v>470</v>
      </c>
      <c r="H17" s="750">
        <v>42562</v>
      </c>
      <c r="I17" s="284">
        <v>1640</v>
      </c>
      <c r="J17" s="284">
        <v>110716</v>
      </c>
      <c r="K17" s="284">
        <v>1655</v>
      </c>
      <c r="L17" s="279">
        <v>110716</v>
      </c>
      <c r="M17" s="279">
        <v>2010</v>
      </c>
      <c r="N17" s="278" t="s">
        <v>1517</v>
      </c>
      <c r="O17" s="278">
        <v>0</v>
      </c>
      <c r="P17" s="278">
        <v>0.5</v>
      </c>
      <c r="Q17" s="278">
        <v>0</v>
      </c>
      <c r="R17" s="278">
        <v>0</v>
      </c>
      <c r="S17" s="278">
        <v>0</v>
      </c>
      <c r="T17" s="278">
        <v>0</v>
      </c>
      <c r="U17" s="278">
        <v>0</v>
      </c>
      <c r="V17" s="278">
        <v>0</v>
      </c>
      <c r="W17" s="278">
        <v>0</v>
      </c>
      <c r="X17" s="278">
        <v>0</v>
      </c>
      <c r="Y17" s="278">
        <f t="shared" si="1"/>
        <v>0</v>
      </c>
      <c r="Z17" s="278">
        <f t="shared" si="1"/>
        <v>0.5</v>
      </c>
      <c r="AA17" s="278">
        <f t="shared" si="1"/>
        <v>0</v>
      </c>
      <c r="AB17" s="278">
        <f t="shared" si="1"/>
        <v>0</v>
      </c>
      <c r="AC17" s="278">
        <f t="shared" si="1"/>
        <v>0</v>
      </c>
      <c r="AD17" s="278">
        <f t="shared" si="0"/>
        <v>0.5</v>
      </c>
      <c r="AE17" s="276" t="s">
        <v>2004</v>
      </c>
      <c r="AF17" s="276" t="s">
        <v>117</v>
      </c>
      <c r="AG17" s="276" t="s">
        <v>57</v>
      </c>
      <c r="AH17" s="276" t="s">
        <v>948</v>
      </c>
      <c r="AI17" s="276" t="s">
        <v>1709</v>
      </c>
      <c r="AJ17" s="287">
        <v>25000</v>
      </c>
      <c r="AK17" s="276" t="s">
        <v>305</v>
      </c>
    </row>
    <row r="18" spans="1:37" x14ac:dyDescent="0.35">
      <c r="A18" s="276">
        <v>6100516</v>
      </c>
      <c r="B18" s="281" t="s">
        <v>208</v>
      </c>
      <c r="C18" s="281" t="s">
        <v>208</v>
      </c>
      <c r="D18" s="281" t="s">
        <v>2284</v>
      </c>
      <c r="E18" s="276" t="s">
        <v>2308</v>
      </c>
      <c r="F18" s="276" t="s">
        <v>2309</v>
      </c>
      <c r="G18" s="278">
        <v>544</v>
      </c>
      <c r="H18" s="750">
        <v>42564</v>
      </c>
      <c r="I18" s="284">
        <v>1445</v>
      </c>
      <c r="J18" s="284">
        <v>130716</v>
      </c>
      <c r="K18" s="284">
        <v>1500</v>
      </c>
      <c r="L18" s="279">
        <v>130716</v>
      </c>
      <c r="M18" s="279">
        <v>1620</v>
      </c>
      <c r="N18" s="278" t="s">
        <v>1517</v>
      </c>
      <c r="O18" s="278">
        <v>0</v>
      </c>
      <c r="P18" s="278">
        <v>0.12</v>
      </c>
      <c r="Q18" s="278">
        <v>0</v>
      </c>
      <c r="R18" s="278">
        <v>0</v>
      </c>
      <c r="S18" s="278">
        <v>0</v>
      </c>
      <c r="T18" s="278">
        <v>0</v>
      </c>
      <c r="U18" s="278">
        <v>0</v>
      </c>
      <c r="V18" s="278">
        <v>0</v>
      </c>
      <c r="W18" s="278">
        <v>0</v>
      </c>
      <c r="X18" s="278">
        <v>0</v>
      </c>
      <c r="Y18" s="278">
        <f t="shared" si="1"/>
        <v>0</v>
      </c>
      <c r="Z18" s="278">
        <f t="shared" si="1"/>
        <v>0.12</v>
      </c>
      <c r="AA18" s="278">
        <f t="shared" si="1"/>
        <v>0</v>
      </c>
      <c r="AB18" s="278">
        <f t="shared" si="1"/>
        <v>0</v>
      </c>
      <c r="AC18" s="278">
        <f t="shared" si="1"/>
        <v>0</v>
      </c>
      <c r="AD18" s="278">
        <f t="shared" si="0"/>
        <v>0.12</v>
      </c>
      <c r="AE18" s="276" t="s">
        <v>2004</v>
      </c>
      <c r="AF18" s="276" t="s">
        <v>117</v>
      </c>
      <c r="AG18" s="276" t="s">
        <v>57</v>
      </c>
      <c r="AH18" s="276" t="s">
        <v>924</v>
      </c>
      <c r="AI18" s="276" t="s">
        <v>65</v>
      </c>
      <c r="AJ18" s="287">
        <v>6000</v>
      </c>
      <c r="AK18" s="276" t="s">
        <v>305</v>
      </c>
    </row>
    <row r="19" spans="1:37" x14ac:dyDescent="0.35">
      <c r="A19" s="276">
        <v>7101516</v>
      </c>
      <c r="B19" s="290" t="s">
        <v>2170</v>
      </c>
      <c r="C19" s="290" t="s">
        <v>205</v>
      </c>
      <c r="D19" s="290" t="s">
        <v>2310</v>
      </c>
      <c r="E19" s="276" t="s">
        <v>2311</v>
      </c>
      <c r="F19" s="276" t="s">
        <v>2312</v>
      </c>
      <c r="G19" s="278">
        <v>581</v>
      </c>
      <c r="H19" s="750">
        <v>42570</v>
      </c>
      <c r="I19" s="284">
        <v>1315</v>
      </c>
      <c r="J19" s="284">
        <v>190716</v>
      </c>
      <c r="K19" s="284">
        <v>1330</v>
      </c>
      <c r="L19" s="279">
        <v>190716</v>
      </c>
      <c r="M19" s="279">
        <v>1630</v>
      </c>
      <c r="N19" s="278" t="s">
        <v>2313</v>
      </c>
      <c r="O19" s="278">
        <v>0</v>
      </c>
      <c r="P19" s="278">
        <v>0.5</v>
      </c>
      <c r="Q19" s="278">
        <v>0</v>
      </c>
      <c r="R19" s="278">
        <v>0</v>
      </c>
      <c r="S19" s="278">
        <v>0</v>
      </c>
      <c r="T19" s="278">
        <v>0</v>
      </c>
      <c r="U19" s="278">
        <v>0</v>
      </c>
      <c r="V19" s="278">
        <v>0</v>
      </c>
      <c r="W19" s="278">
        <v>0</v>
      </c>
      <c r="X19" s="278">
        <v>0</v>
      </c>
      <c r="Y19" s="278">
        <f t="shared" si="1"/>
        <v>0</v>
      </c>
      <c r="Z19" s="278">
        <f t="shared" si="1"/>
        <v>0.5</v>
      </c>
      <c r="AA19" s="278">
        <f t="shared" si="1"/>
        <v>0</v>
      </c>
      <c r="AB19" s="278">
        <f t="shared" si="1"/>
        <v>0</v>
      </c>
      <c r="AC19" s="278">
        <f t="shared" si="1"/>
        <v>0</v>
      </c>
      <c r="AD19" s="278">
        <f t="shared" si="0"/>
        <v>0.5</v>
      </c>
      <c r="AE19" s="276" t="s">
        <v>117</v>
      </c>
      <c r="AF19" s="276" t="s">
        <v>117</v>
      </c>
      <c r="AG19" s="281" t="s">
        <v>72</v>
      </c>
      <c r="AH19" s="276" t="s">
        <v>2314</v>
      </c>
      <c r="AI19" s="276" t="s">
        <v>73</v>
      </c>
      <c r="AJ19" s="287">
        <v>60000</v>
      </c>
      <c r="AK19" s="276" t="s">
        <v>305</v>
      </c>
    </row>
    <row r="20" spans="1:37" x14ac:dyDescent="0.35">
      <c r="A20" s="276">
        <v>8101816</v>
      </c>
      <c r="B20" s="286" t="s">
        <v>49</v>
      </c>
      <c r="C20" s="286" t="s">
        <v>137</v>
      </c>
      <c r="D20" s="286" t="s">
        <v>2315</v>
      </c>
      <c r="E20" s="276" t="s">
        <v>2316</v>
      </c>
      <c r="F20" s="276" t="s">
        <v>2317</v>
      </c>
      <c r="G20" s="278">
        <v>913</v>
      </c>
      <c r="H20" s="750">
        <v>42572</v>
      </c>
      <c r="I20" s="284">
        <v>1150</v>
      </c>
      <c r="J20" s="284">
        <v>210716</v>
      </c>
      <c r="K20" s="284"/>
      <c r="L20" s="279">
        <v>210716</v>
      </c>
      <c r="M20" s="279">
        <v>1815</v>
      </c>
      <c r="N20" s="278" t="s">
        <v>62</v>
      </c>
      <c r="O20" s="278">
        <v>1</v>
      </c>
      <c r="P20" s="278">
        <v>0</v>
      </c>
      <c r="Q20" s="278">
        <v>0.5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f t="shared" si="1"/>
        <v>1</v>
      </c>
      <c r="Z20" s="278">
        <f t="shared" ref="Z20:AC36" si="2">SUM(P20+U20)</f>
        <v>0</v>
      </c>
      <c r="AA20" s="278">
        <f t="shared" si="2"/>
        <v>0.5</v>
      </c>
      <c r="AB20" s="278">
        <f t="shared" si="2"/>
        <v>0</v>
      </c>
      <c r="AC20" s="278">
        <f t="shared" si="2"/>
        <v>0</v>
      </c>
      <c r="AD20" s="278">
        <f t="shared" ref="AD20:AD35" si="3">SUM(Y20:AC20)</f>
        <v>1.5</v>
      </c>
      <c r="AE20" s="276" t="s">
        <v>2004</v>
      </c>
      <c r="AF20" s="276" t="s">
        <v>117</v>
      </c>
      <c r="AG20" s="276" t="s">
        <v>57</v>
      </c>
      <c r="AH20" s="276"/>
      <c r="AI20" s="276" t="s">
        <v>2318</v>
      </c>
      <c r="AJ20" s="282">
        <v>1000000</v>
      </c>
      <c r="AK20" s="276" t="s">
        <v>305</v>
      </c>
    </row>
    <row r="21" spans="1:37" x14ac:dyDescent="0.35">
      <c r="A21" s="288">
        <v>9101416</v>
      </c>
      <c r="B21" s="286" t="s">
        <v>198</v>
      </c>
      <c r="C21" s="286" t="s">
        <v>1961</v>
      </c>
      <c r="D21" s="286" t="s">
        <v>2319</v>
      </c>
      <c r="E21" s="276" t="s">
        <v>2320</v>
      </c>
      <c r="F21" s="276" t="s">
        <v>2321</v>
      </c>
      <c r="G21" s="278">
        <v>750</v>
      </c>
      <c r="H21" s="750">
        <v>42572</v>
      </c>
      <c r="I21" s="284">
        <v>1210</v>
      </c>
      <c r="J21" s="284">
        <v>210716</v>
      </c>
      <c r="K21" s="284">
        <v>1230</v>
      </c>
      <c r="L21" s="279">
        <v>210716</v>
      </c>
      <c r="M21" s="279">
        <v>1850</v>
      </c>
      <c r="N21" s="278" t="s">
        <v>165</v>
      </c>
      <c r="O21" s="278">
        <v>1.5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f t="shared" si="1"/>
        <v>1.5</v>
      </c>
      <c r="Z21" s="278">
        <f t="shared" si="2"/>
        <v>0</v>
      </c>
      <c r="AA21" s="278">
        <f t="shared" si="2"/>
        <v>0</v>
      </c>
      <c r="AB21" s="278">
        <f t="shared" si="2"/>
        <v>0</v>
      </c>
      <c r="AC21" s="278">
        <f t="shared" si="2"/>
        <v>0</v>
      </c>
      <c r="AD21" s="278">
        <f t="shared" si="3"/>
        <v>1.5</v>
      </c>
      <c r="AE21" s="276" t="s">
        <v>66</v>
      </c>
      <c r="AF21" s="276" t="s">
        <v>117</v>
      </c>
      <c r="AG21" s="276" t="s">
        <v>57</v>
      </c>
      <c r="AH21" s="276" t="s">
        <v>2322</v>
      </c>
      <c r="AI21" s="276" t="s">
        <v>2323</v>
      </c>
      <c r="AJ21" s="282">
        <v>150000</v>
      </c>
      <c r="AK21" s="276" t="s">
        <v>305</v>
      </c>
    </row>
    <row r="22" spans="1:37" x14ac:dyDescent="0.35">
      <c r="A22" s="276">
        <v>10102316</v>
      </c>
      <c r="B22" s="286" t="s">
        <v>68</v>
      </c>
      <c r="C22" s="286" t="s">
        <v>2324</v>
      </c>
      <c r="D22" s="286" t="s">
        <v>2325</v>
      </c>
      <c r="E22" s="276" t="s">
        <v>2326</v>
      </c>
      <c r="F22" s="276" t="s">
        <v>2327</v>
      </c>
      <c r="G22" s="278">
        <v>930</v>
      </c>
      <c r="H22" s="750">
        <v>42572</v>
      </c>
      <c r="I22" s="284">
        <v>1525</v>
      </c>
      <c r="J22" s="284">
        <v>210716</v>
      </c>
      <c r="K22" s="284">
        <v>1545</v>
      </c>
      <c r="L22" s="279">
        <v>210716</v>
      </c>
      <c r="M22" s="279">
        <v>1830</v>
      </c>
      <c r="N22" s="278" t="s">
        <v>1352</v>
      </c>
      <c r="O22" s="278">
        <v>0</v>
      </c>
      <c r="P22" s="278">
        <v>0.5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f t="shared" si="1"/>
        <v>0</v>
      </c>
      <c r="Z22" s="278">
        <f t="shared" si="2"/>
        <v>0.5</v>
      </c>
      <c r="AA22" s="278">
        <f t="shared" si="2"/>
        <v>0</v>
      </c>
      <c r="AB22" s="278">
        <f t="shared" si="2"/>
        <v>0</v>
      </c>
      <c r="AC22" s="278">
        <f t="shared" si="2"/>
        <v>0</v>
      </c>
      <c r="AD22" s="278">
        <f t="shared" si="3"/>
        <v>0.5</v>
      </c>
      <c r="AE22" s="276" t="s">
        <v>188</v>
      </c>
      <c r="AF22" s="276" t="s">
        <v>117</v>
      </c>
      <c r="AG22" s="276" t="s">
        <v>493</v>
      </c>
      <c r="AH22" s="276" t="s">
        <v>2328</v>
      </c>
      <c r="AI22" s="276" t="s">
        <v>67</v>
      </c>
      <c r="AJ22" s="282">
        <v>50000</v>
      </c>
      <c r="AK22" s="276" t="s">
        <v>305</v>
      </c>
    </row>
    <row r="23" spans="1:37" x14ac:dyDescent="0.35">
      <c r="A23" s="276">
        <v>11100516</v>
      </c>
      <c r="B23" s="281" t="s">
        <v>208</v>
      </c>
      <c r="C23" s="281" t="s">
        <v>208</v>
      </c>
      <c r="D23" s="281" t="s">
        <v>2329</v>
      </c>
      <c r="E23" s="276" t="s">
        <v>2330</v>
      </c>
      <c r="F23" s="276" t="s">
        <v>2331</v>
      </c>
      <c r="G23" s="278">
        <v>390</v>
      </c>
      <c r="H23" s="750">
        <v>42572</v>
      </c>
      <c r="I23" s="284">
        <v>1730</v>
      </c>
      <c r="J23" s="284"/>
      <c r="K23" s="284"/>
      <c r="L23" s="279">
        <v>210716</v>
      </c>
      <c r="M23" s="279">
        <v>1940</v>
      </c>
      <c r="N23" s="278" t="s">
        <v>1517</v>
      </c>
      <c r="O23" s="278">
        <v>0</v>
      </c>
      <c r="P23" s="278">
        <v>1</v>
      </c>
      <c r="Q23" s="278">
        <v>0.5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f t="shared" si="1"/>
        <v>0</v>
      </c>
      <c r="Z23" s="278">
        <f t="shared" si="2"/>
        <v>1</v>
      </c>
      <c r="AA23" s="278">
        <f t="shared" si="2"/>
        <v>0.5</v>
      </c>
      <c r="AB23" s="278">
        <f t="shared" si="2"/>
        <v>0</v>
      </c>
      <c r="AC23" s="278">
        <f t="shared" si="2"/>
        <v>0</v>
      </c>
      <c r="AD23" s="278">
        <f t="shared" si="3"/>
        <v>1.5</v>
      </c>
      <c r="AE23" s="276" t="s">
        <v>175</v>
      </c>
      <c r="AF23" s="276" t="s">
        <v>117</v>
      </c>
      <c r="AG23" s="276" t="s">
        <v>57</v>
      </c>
      <c r="AH23" s="276" t="s">
        <v>2322</v>
      </c>
      <c r="AI23" s="276" t="s">
        <v>175</v>
      </c>
      <c r="AJ23" s="282">
        <v>52500</v>
      </c>
      <c r="AK23" s="276" t="s">
        <v>305</v>
      </c>
    </row>
    <row r="24" spans="1:37" x14ac:dyDescent="0.35">
      <c r="A24" s="276">
        <v>12101516</v>
      </c>
      <c r="B24" s="290" t="s">
        <v>2170</v>
      </c>
      <c r="C24" s="290" t="s">
        <v>205</v>
      </c>
      <c r="D24" s="290" t="s">
        <v>2332</v>
      </c>
      <c r="E24" s="276" t="s">
        <v>2333</v>
      </c>
      <c r="F24" s="276" t="s">
        <v>2334</v>
      </c>
      <c r="G24" s="278">
        <v>532</v>
      </c>
      <c r="H24" s="750">
        <v>42573</v>
      </c>
      <c r="I24" s="284">
        <v>1400</v>
      </c>
      <c r="J24" s="284">
        <v>220716</v>
      </c>
      <c r="K24" s="284">
        <v>1415</v>
      </c>
      <c r="L24" s="279">
        <v>220716</v>
      </c>
      <c r="M24" s="279">
        <v>1700</v>
      </c>
      <c r="N24" s="278" t="s">
        <v>62</v>
      </c>
      <c r="O24" s="278">
        <v>0.5</v>
      </c>
      <c r="P24" s="278">
        <v>0</v>
      </c>
      <c r="Q24" s="278">
        <v>0.5</v>
      </c>
      <c r="R24" s="278">
        <v>0</v>
      </c>
      <c r="S24" s="278">
        <v>0</v>
      </c>
      <c r="T24" s="278">
        <v>0</v>
      </c>
      <c r="U24" s="278">
        <v>0</v>
      </c>
      <c r="V24" s="278">
        <v>0</v>
      </c>
      <c r="W24" s="278">
        <v>0</v>
      </c>
      <c r="X24" s="278">
        <v>0</v>
      </c>
      <c r="Y24" s="278">
        <f t="shared" si="1"/>
        <v>0.5</v>
      </c>
      <c r="Z24" s="278">
        <f t="shared" si="2"/>
        <v>0</v>
      </c>
      <c r="AA24" s="278">
        <f t="shared" si="2"/>
        <v>0.5</v>
      </c>
      <c r="AB24" s="278">
        <f t="shared" si="2"/>
        <v>0</v>
      </c>
      <c r="AC24" s="278">
        <f t="shared" si="2"/>
        <v>0</v>
      </c>
      <c r="AD24" s="278">
        <f t="shared" si="3"/>
        <v>1</v>
      </c>
      <c r="AE24" s="276" t="s">
        <v>117</v>
      </c>
      <c r="AF24" s="276" t="s">
        <v>117</v>
      </c>
      <c r="AG24" s="281" t="s">
        <v>72</v>
      </c>
      <c r="AH24" s="276" t="s">
        <v>2335</v>
      </c>
      <c r="AI24" s="276" t="s">
        <v>2336</v>
      </c>
      <c r="AJ24" s="287">
        <v>60000</v>
      </c>
      <c r="AK24" s="276" t="s">
        <v>305</v>
      </c>
    </row>
    <row r="25" spans="1:37" x14ac:dyDescent="0.35">
      <c r="A25" s="276">
        <v>13100516</v>
      </c>
      <c r="B25" s="281" t="s">
        <v>2337</v>
      </c>
      <c r="C25" s="281" t="s">
        <v>2337</v>
      </c>
      <c r="D25" s="281" t="s">
        <v>2338</v>
      </c>
      <c r="E25" s="276" t="s">
        <v>2339</v>
      </c>
      <c r="F25" s="276" t="s">
        <v>2340</v>
      </c>
      <c r="G25" s="278">
        <v>830</v>
      </c>
      <c r="H25" s="750">
        <v>42573</v>
      </c>
      <c r="I25" s="284">
        <v>1715</v>
      </c>
      <c r="J25" s="284"/>
      <c r="K25" s="284"/>
      <c r="L25" s="279">
        <v>220716</v>
      </c>
      <c r="M25" s="279">
        <v>1850</v>
      </c>
      <c r="N25" s="278" t="s">
        <v>1517</v>
      </c>
      <c r="O25" s="278">
        <v>0</v>
      </c>
      <c r="P25" s="278">
        <v>0.5</v>
      </c>
      <c r="Q25" s="278">
        <v>0</v>
      </c>
      <c r="R25" s="278">
        <v>0</v>
      </c>
      <c r="S25" s="278">
        <v>0</v>
      </c>
      <c r="T25" s="278">
        <v>0</v>
      </c>
      <c r="U25" s="278">
        <v>0</v>
      </c>
      <c r="V25" s="278">
        <v>0</v>
      </c>
      <c r="W25" s="278">
        <v>0</v>
      </c>
      <c r="X25" s="278">
        <v>0</v>
      </c>
      <c r="Y25" s="278">
        <f t="shared" si="1"/>
        <v>0</v>
      </c>
      <c r="Z25" s="278">
        <f t="shared" si="2"/>
        <v>0.5</v>
      </c>
      <c r="AA25" s="278">
        <f t="shared" si="2"/>
        <v>0</v>
      </c>
      <c r="AB25" s="278">
        <f t="shared" si="2"/>
        <v>0</v>
      </c>
      <c r="AC25" s="278">
        <f t="shared" si="2"/>
        <v>0</v>
      </c>
      <c r="AD25" s="278">
        <f t="shared" si="3"/>
        <v>0.5</v>
      </c>
      <c r="AE25" s="276" t="s">
        <v>175</v>
      </c>
      <c r="AF25" s="276" t="s">
        <v>117</v>
      </c>
      <c r="AG25" s="276" t="s">
        <v>57</v>
      </c>
      <c r="AH25" s="276" t="s">
        <v>2341</v>
      </c>
      <c r="AI25" s="276" t="s">
        <v>175</v>
      </c>
      <c r="AJ25" s="282">
        <v>25000</v>
      </c>
      <c r="AK25" s="276" t="s">
        <v>305</v>
      </c>
    </row>
    <row r="26" spans="1:37" x14ac:dyDescent="0.35">
      <c r="A26" s="276">
        <v>14101216</v>
      </c>
      <c r="B26" s="290" t="s">
        <v>83</v>
      </c>
      <c r="C26" s="290" t="s">
        <v>95</v>
      </c>
      <c r="D26" s="290" t="s">
        <v>2342</v>
      </c>
      <c r="E26" s="276" t="s">
        <v>2343</v>
      </c>
      <c r="F26" s="276" t="s">
        <v>2344</v>
      </c>
      <c r="G26" s="278">
        <v>1020</v>
      </c>
      <c r="H26" s="750">
        <v>42575</v>
      </c>
      <c r="I26" s="284">
        <v>1420</v>
      </c>
      <c r="J26" s="284">
        <v>240716</v>
      </c>
      <c r="K26" s="284">
        <v>1430</v>
      </c>
      <c r="L26" s="284">
        <v>240716</v>
      </c>
      <c r="M26" s="279">
        <v>1530</v>
      </c>
      <c r="N26" s="278" t="s">
        <v>1352</v>
      </c>
      <c r="O26" s="278">
        <v>0</v>
      </c>
      <c r="P26" s="278">
        <v>0.5</v>
      </c>
      <c r="Q26" s="278">
        <v>0</v>
      </c>
      <c r="R26" s="278">
        <v>0</v>
      </c>
      <c r="S26" s="278">
        <v>0</v>
      </c>
      <c r="T26" s="278">
        <v>0</v>
      </c>
      <c r="U26" s="278">
        <v>0</v>
      </c>
      <c r="V26" s="278">
        <v>0</v>
      </c>
      <c r="W26" s="278">
        <v>0</v>
      </c>
      <c r="X26" s="278">
        <v>0</v>
      </c>
      <c r="Y26" s="278">
        <f t="shared" si="1"/>
        <v>0</v>
      </c>
      <c r="Z26" s="278">
        <f t="shared" si="2"/>
        <v>0.5</v>
      </c>
      <c r="AA26" s="278">
        <f t="shared" si="2"/>
        <v>0</v>
      </c>
      <c r="AB26" s="278">
        <f t="shared" si="2"/>
        <v>0</v>
      </c>
      <c r="AC26" s="278">
        <f t="shared" si="2"/>
        <v>0</v>
      </c>
      <c r="AD26" s="278">
        <f t="shared" si="3"/>
        <v>0.5</v>
      </c>
      <c r="AE26" s="276" t="s">
        <v>117</v>
      </c>
      <c r="AF26" s="276" t="s">
        <v>117</v>
      </c>
      <c r="AG26" s="276" t="s">
        <v>57</v>
      </c>
      <c r="AH26" s="276"/>
      <c r="AI26" s="276" t="s">
        <v>2345</v>
      </c>
      <c r="AJ26" s="282">
        <v>121500</v>
      </c>
      <c r="AK26" s="276" t="s">
        <v>305</v>
      </c>
    </row>
    <row r="27" spans="1:37" x14ac:dyDescent="0.35">
      <c r="A27" s="276">
        <v>15100516</v>
      </c>
      <c r="B27" s="281" t="s">
        <v>208</v>
      </c>
      <c r="C27" s="281" t="s">
        <v>208</v>
      </c>
      <c r="D27" s="281" t="s">
        <v>2346</v>
      </c>
      <c r="E27" s="276" t="s">
        <v>2347</v>
      </c>
      <c r="F27" s="276" t="s">
        <v>2348</v>
      </c>
      <c r="G27" s="278">
        <v>780</v>
      </c>
      <c r="H27" s="750">
        <v>42576</v>
      </c>
      <c r="I27" s="284">
        <v>1445</v>
      </c>
      <c r="J27" s="284"/>
      <c r="K27" s="284"/>
      <c r="L27" s="284">
        <v>250716</v>
      </c>
      <c r="M27" s="279">
        <v>1615</v>
      </c>
      <c r="N27" s="278" t="s">
        <v>1517</v>
      </c>
      <c r="O27" s="278">
        <v>0</v>
      </c>
      <c r="P27" s="278">
        <v>1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278">
        <v>0</v>
      </c>
      <c r="X27" s="278">
        <v>0</v>
      </c>
      <c r="Y27" s="278">
        <f t="shared" si="1"/>
        <v>0</v>
      </c>
      <c r="Z27" s="278">
        <f t="shared" si="2"/>
        <v>1</v>
      </c>
      <c r="AA27" s="278">
        <f t="shared" si="2"/>
        <v>0</v>
      </c>
      <c r="AB27" s="278">
        <f t="shared" si="2"/>
        <v>0</v>
      </c>
      <c r="AC27" s="278">
        <f t="shared" si="2"/>
        <v>0</v>
      </c>
      <c r="AD27" s="278">
        <f t="shared" si="3"/>
        <v>1</v>
      </c>
      <c r="AE27" s="276" t="s">
        <v>175</v>
      </c>
      <c r="AF27" s="276" t="s">
        <v>117</v>
      </c>
      <c r="AG27" s="276" t="s">
        <v>57</v>
      </c>
      <c r="AH27" s="276" t="s">
        <v>2349</v>
      </c>
      <c r="AI27" s="276" t="s">
        <v>175</v>
      </c>
      <c r="AJ27" s="282">
        <v>50000</v>
      </c>
      <c r="AK27" s="276" t="s">
        <v>305</v>
      </c>
    </row>
    <row r="28" spans="1:37" x14ac:dyDescent="0.35">
      <c r="A28" s="276">
        <v>16101516</v>
      </c>
      <c r="B28" s="290" t="s">
        <v>2170</v>
      </c>
      <c r="C28" s="290" t="s">
        <v>2170</v>
      </c>
      <c r="D28" s="408" t="s">
        <v>2350</v>
      </c>
      <c r="E28" s="276" t="s">
        <v>2351</v>
      </c>
      <c r="F28" s="276" t="s">
        <v>2352</v>
      </c>
      <c r="G28" s="278">
        <v>922</v>
      </c>
      <c r="H28" s="750">
        <v>42577</v>
      </c>
      <c r="I28" s="284">
        <v>1845</v>
      </c>
      <c r="J28" s="284">
        <v>260716</v>
      </c>
      <c r="K28" s="284">
        <v>1900</v>
      </c>
      <c r="L28" s="279">
        <v>260716</v>
      </c>
      <c r="M28" s="279">
        <v>2230</v>
      </c>
      <c r="N28" s="278" t="s">
        <v>62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1</v>
      </c>
      <c r="U28" s="278">
        <v>0</v>
      </c>
      <c r="V28" s="278">
        <v>0.5</v>
      </c>
      <c r="W28" s="278">
        <v>0</v>
      </c>
      <c r="X28" s="278">
        <v>0</v>
      </c>
      <c r="Y28" s="278">
        <f t="shared" si="1"/>
        <v>1</v>
      </c>
      <c r="Z28" s="278">
        <f t="shared" si="2"/>
        <v>0</v>
      </c>
      <c r="AA28" s="278">
        <f t="shared" si="2"/>
        <v>0.5</v>
      </c>
      <c r="AB28" s="278">
        <f t="shared" si="2"/>
        <v>0</v>
      </c>
      <c r="AC28" s="278">
        <f t="shared" si="2"/>
        <v>0</v>
      </c>
      <c r="AD28" s="278">
        <f t="shared" si="3"/>
        <v>1.5</v>
      </c>
      <c r="AE28" s="276" t="s">
        <v>117</v>
      </c>
      <c r="AF28" s="276" t="s">
        <v>117</v>
      </c>
      <c r="AG28" s="281" t="s">
        <v>72</v>
      </c>
      <c r="AH28" s="276" t="s">
        <v>2314</v>
      </c>
      <c r="AI28" s="276" t="s">
        <v>73</v>
      </c>
      <c r="AJ28" s="282">
        <v>150000</v>
      </c>
      <c r="AK28" s="276" t="s">
        <v>305</v>
      </c>
    </row>
    <row r="29" spans="1:37" x14ac:dyDescent="0.35">
      <c r="A29" s="276">
        <v>17102316</v>
      </c>
      <c r="B29" s="286" t="s">
        <v>68</v>
      </c>
      <c r="C29" s="286" t="s">
        <v>68</v>
      </c>
      <c r="D29" s="289" t="s">
        <v>2353</v>
      </c>
      <c r="E29" s="276" t="s">
        <v>2354</v>
      </c>
      <c r="F29" s="276" t="s">
        <v>2355</v>
      </c>
      <c r="G29" s="278">
        <v>800</v>
      </c>
      <c r="H29" s="750">
        <v>42578</v>
      </c>
      <c r="I29" s="284">
        <v>1245</v>
      </c>
      <c r="J29" s="284">
        <v>270716</v>
      </c>
      <c r="K29" s="284">
        <v>1300</v>
      </c>
      <c r="L29" s="279">
        <v>270716</v>
      </c>
      <c r="M29" s="279">
        <v>1600</v>
      </c>
      <c r="N29" s="278" t="s">
        <v>1517</v>
      </c>
      <c r="O29" s="278">
        <v>0</v>
      </c>
      <c r="P29" s="278">
        <v>0</v>
      </c>
      <c r="Q29" s="278">
        <v>0</v>
      </c>
      <c r="R29" s="278">
        <v>0</v>
      </c>
      <c r="S29" s="278">
        <v>0</v>
      </c>
      <c r="T29" s="278">
        <v>0</v>
      </c>
      <c r="U29" s="278">
        <v>1</v>
      </c>
      <c r="V29" s="278">
        <v>0</v>
      </c>
      <c r="W29" s="278">
        <v>0</v>
      </c>
      <c r="X29" s="278">
        <v>0</v>
      </c>
      <c r="Y29" s="278">
        <f t="shared" si="1"/>
        <v>0</v>
      </c>
      <c r="Z29" s="278">
        <f t="shared" si="2"/>
        <v>1</v>
      </c>
      <c r="AA29" s="278">
        <f t="shared" si="2"/>
        <v>0</v>
      </c>
      <c r="AB29" s="278">
        <f t="shared" si="2"/>
        <v>0</v>
      </c>
      <c r="AC29" s="278">
        <f t="shared" si="2"/>
        <v>0</v>
      </c>
      <c r="AD29" s="278">
        <f t="shared" si="3"/>
        <v>1</v>
      </c>
      <c r="AE29" s="276" t="s">
        <v>188</v>
      </c>
      <c r="AF29" s="276" t="s">
        <v>117</v>
      </c>
      <c r="AG29" s="276" t="s">
        <v>493</v>
      </c>
      <c r="AH29" s="276" t="s">
        <v>2328</v>
      </c>
      <c r="AI29" s="276" t="s">
        <v>67</v>
      </c>
      <c r="AJ29" s="282">
        <v>10000</v>
      </c>
      <c r="AK29" s="276" t="s">
        <v>305</v>
      </c>
    </row>
    <row r="30" spans="1:37" x14ac:dyDescent="0.35">
      <c r="A30" s="276">
        <v>18100516</v>
      </c>
      <c r="B30" s="281" t="s">
        <v>208</v>
      </c>
      <c r="C30" s="281" t="s">
        <v>208</v>
      </c>
      <c r="D30" s="281" t="s">
        <v>2356</v>
      </c>
      <c r="E30" s="276" t="s">
        <v>2357</v>
      </c>
      <c r="F30" s="276" t="s">
        <v>2358</v>
      </c>
      <c r="G30" s="278">
        <v>790</v>
      </c>
      <c r="H30" s="750">
        <v>42578</v>
      </c>
      <c r="I30" s="284">
        <v>1545</v>
      </c>
      <c r="J30" s="284"/>
      <c r="K30" s="284"/>
      <c r="L30" s="279">
        <v>270716</v>
      </c>
      <c r="M30" s="279">
        <v>1800</v>
      </c>
      <c r="N30" s="278" t="s">
        <v>1517</v>
      </c>
      <c r="O30" s="278">
        <v>0</v>
      </c>
      <c r="P30" s="278">
        <v>0.5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f t="shared" si="1"/>
        <v>0</v>
      </c>
      <c r="Z30" s="278">
        <f t="shared" si="2"/>
        <v>0.5</v>
      </c>
      <c r="AA30" s="278">
        <f t="shared" si="2"/>
        <v>0</v>
      </c>
      <c r="AB30" s="278">
        <f t="shared" si="2"/>
        <v>0</v>
      </c>
      <c r="AC30" s="278">
        <f t="shared" si="2"/>
        <v>0</v>
      </c>
      <c r="AD30" s="278">
        <f t="shared" si="3"/>
        <v>0.5</v>
      </c>
      <c r="AE30" s="276" t="s">
        <v>175</v>
      </c>
      <c r="AF30" s="276" t="s">
        <v>117</v>
      </c>
      <c r="AG30" s="276" t="s">
        <v>57</v>
      </c>
      <c r="AH30" s="276" t="s">
        <v>948</v>
      </c>
      <c r="AI30" s="276" t="s">
        <v>175</v>
      </c>
      <c r="AJ30" s="282">
        <v>25000</v>
      </c>
      <c r="AK30" s="276" t="s">
        <v>305</v>
      </c>
    </row>
    <row r="31" spans="1:37" x14ac:dyDescent="0.35">
      <c r="A31" s="276">
        <v>19100516</v>
      </c>
      <c r="B31" s="281" t="s">
        <v>208</v>
      </c>
      <c r="C31" s="281" t="s">
        <v>208</v>
      </c>
      <c r="D31" s="281" t="s">
        <v>2359</v>
      </c>
      <c r="E31" s="276" t="s">
        <v>2360</v>
      </c>
      <c r="F31" s="276" t="s">
        <v>2361</v>
      </c>
      <c r="G31" s="278">
        <v>885</v>
      </c>
      <c r="H31" s="750">
        <v>42579</v>
      </c>
      <c r="I31" s="284">
        <v>1400</v>
      </c>
      <c r="J31" s="284"/>
      <c r="K31" s="284"/>
      <c r="L31" s="279">
        <v>280716</v>
      </c>
      <c r="M31" s="279">
        <v>1830</v>
      </c>
      <c r="N31" s="278" t="s">
        <v>1517</v>
      </c>
      <c r="O31" s="278">
        <v>0</v>
      </c>
      <c r="P31" s="278">
        <v>0.5</v>
      </c>
      <c r="Q31" s="278">
        <v>0</v>
      </c>
      <c r="R31" s="278">
        <v>0</v>
      </c>
      <c r="S31" s="278">
        <v>0</v>
      </c>
      <c r="T31" s="278">
        <v>0</v>
      </c>
      <c r="U31" s="278">
        <v>0</v>
      </c>
      <c r="V31" s="278">
        <v>0</v>
      </c>
      <c r="W31" s="278">
        <v>0</v>
      </c>
      <c r="X31" s="278">
        <v>0</v>
      </c>
      <c r="Y31" s="278">
        <f t="shared" si="1"/>
        <v>0</v>
      </c>
      <c r="Z31" s="278">
        <f t="shared" si="2"/>
        <v>0.5</v>
      </c>
      <c r="AA31" s="278">
        <f t="shared" si="2"/>
        <v>0</v>
      </c>
      <c r="AB31" s="278">
        <f t="shared" si="2"/>
        <v>0</v>
      </c>
      <c r="AC31" s="278">
        <f t="shared" si="2"/>
        <v>0</v>
      </c>
      <c r="AD31" s="278">
        <f t="shared" si="3"/>
        <v>0.5</v>
      </c>
      <c r="AE31" s="276" t="s">
        <v>175</v>
      </c>
      <c r="AF31" s="276" t="s">
        <v>117</v>
      </c>
      <c r="AG31" s="276" t="s">
        <v>57</v>
      </c>
      <c r="AH31" s="276" t="s">
        <v>948</v>
      </c>
      <c r="AI31" s="276" t="s">
        <v>175</v>
      </c>
      <c r="AJ31" s="282">
        <v>25000</v>
      </c>
      <c r="AK31" s="276" t="s">
        <v>305</v>
      </c>
    </row>
    <row r="32" spans="1:37" x14ac:dyDescent="0.35">
      <c r="A32" s="276">
        <v>20101216</v>
      </c>
      <c r="B32" s="290" t="s">
        <v>83</v>
      </c>
      <c r="C32" s="290" t="s">
        <v>83</v>
      </c>
      <c r="D32" s="290" t="s">
        <v>2362</v>
      </c>
      <c r="E32" s="276" t="s">
        <v>2363</v>
      </c>
      <c r="F32" s="276" t="s">
        <v>2364</v>
      </c>
      <c r="G32" s="278">
        <v>1028</v>
      </c>
      <c r="H32" s="750">
        <v>42579</v>
      </c>
      <c r="I32" s="284">
        <v>1500</v>
      </c>
      <c r="J32" s="284">
        <v>280716</v>
      </c>
      <c r="K32" s="284">
        <v>1510</v>
      </c>
      <c r="L32" s="279">
        <v>280716</v>
      </c>
      <c r="M32" s="279">
        <v>1730</v>
      </c>
      <c r="N32" s="278" t="s">
        <v>1352</v>
      </c>
      <c r="O32" s="278">
        <v>0</v>
      </c>
      <c r="P32" s="278">
        <v>1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f t="shared" si="1"/>
        <v>0</v>
      </c>
      <c r="Z32" s="278">
        <f t="shared" si="2"/>
        <v>1</v>
      </c>
      <c r="AA32" s="278">
        <f t="shared" si="2"/>
        <v>0</v>
      </c>
      <c r="AB32" s="278">
        <f t="shared" si="2"/>
        <v>0</v>
      </c>
      <c r="AC32" s="278">
        <f t="shared" si="2"/>
        <v>0</v>
      </c>
      <c r="AD32" s="278">
        <f t="shared" si="3"/>
        <v>1</v>
      </c>
      <c r="AE32" s="276" t="s">
        <v>117</v>
      </c>
      <c r="AF32" s="276" t="s">
        <v>117</v>
      </c>
      <c r="AG32" s="276" t="s">
        <v>57</v>
      </c>
      <c r="AH32" s="276" t="s">
        <v>2365</v>
      </c>
      <c r="AI32" s="276" t="s">
        <v>2345</v>
      </c>
      <c r="AJ32" s="282">
        <v>244500</v>
      </c>
      <c r="AK32" s="276" t="s">
        <v>305</v>
      </c>
    </row>
    <row r="33" spans="1:37" x14ac:dyDescent="0.35">
      <c r="A33" s="276">
        <v>21100516</v>
      </c>
      <c r="B33" s="281" t="s">
        <v>208</v>
      </c>
      <c r="C33" s="281" t="s">
        <v>208</v>
      </c>
      <c r="D33" s="281" t="s">
        <v>2366</v>
      </c>
      <c r="E33" s="276" t="s">
        <v>2367</v>
      </c>
      <c r="F33" s="276" t="s">
        <v>2368</v>
      </c>
      <c r="G33" s="278">
        <v>670</v>
      </c>
      <c r="H33" s="750">
        <v>42580</v>
      </c>
      <c r="I33" s="284">
        <v>1355</v>
      </c>
      <c r="J33" s="284"/>
      <c r="K33" s="284"/>
      <c r="L33" s="279">
        <v>290716</v>
      </c>
      <c r="M33" s="409">
        <v>0</v>
      </c>
      <c r="N33" s="278" t="s">
        <v>1517</v>
      </c>
      <c r="O33" s="278">
        <v>0</v>
      </c>
      <c r="P33" s="278">
        <v>5</v>
      </c>
      <c r="Q33" s="278">
        <v>0</v>
      </c>
      <c r="R33" s="278">
        <v>0</v>
      </c>
      <c r="S33" s="278">
        <v>0</v>
      </c>
      <c r="T33" s="278">
        <v>0</v>
      </c>
      <c r="U33" s="278">
        <v>0</v>
      </c>
      <c r="V33" s="278">
        <v>0</v>
      </c>
      <c r="W33" s="278">
        <v>0</v>
      </c>
      <c r="X33" s="278">
        <v>0</v>
      </c>
      <c r="Y33" s="278">
        <f t="shared" si="1"/>
        <v>0</v>
      </c>
      <c r="Z33" s="278">
        <f t="shared" si="2"/>
        <v>5</v>
      </c>
      <c r="AA33" s="278">
        <f t="shared" si="2"/>
        <v>0</v>
      </c>
      <c r="AB33" s="278">
        <f t="shared" si="2"/>
        <v>0</v>
      </c>
      <c r="AC33" s="278">
        <f t="shared" si="2"/>
        <v>0</v>
      </c>
      <c r="AD33" s="278">
        <f t="shared" si="3"/>
        <v>5</v>
      </c>
      <c r="AE33" s="276" t="s">
        <v>175</v>
      </c>
      <c r="AF33" s="276" t="s">
        <v>117</v>
      </c>
      <c r="AG33" s="276" t="s">
        <v>57</v>
      </c>
      <c r="AH33" s="276" t="s">
        <v>2369</v>
      </c>
      <c r="AI33" s="276" t="s">
        <v>175</v>
      </c>
      <c r="AJ33" s="282">
        <v>250000</v>
      </c>
      <c r="AK33" s="276" t="s">
        <v>305</v>
      </c>
    </row>
    <row r="34" spans="1:37" x14ac:dyDescent="0.35">
      <c r="A34" s="276">
        <v>22101216</v>
      </c>
      <c r="B34" s="290" t="s">
        <v>83</v>
      </c>
      <c r="C34" s="290" t="s">
        <v>83</v>
      </c>
      <c r="D34" s="290" t="s">
        <v>2342</v>
      </c>
      <c r="E34" s="276" t="s">
        <v>2370</v>
      </c>
      <c r="F34" s="276" t="s">
        <v>2371</v>
      </c>
      <c r="G34" s="278">
        <v>1020</v>
      </c>
      <c r="H34" s="752">
        <v>42581</v>
      </c>
      <c r="I34" s="410">
        <v>1120</v>
      </c>
      <c r="J34" s="410">
        <v>300716</v>
      </c>
      <c r="K34" s="410">
        <v>1125</v>
      </c>
      <c r="L34" s="411">
        <v>300716</v>
      </c>
      <c r="M34" s="411">
        <v>1350</v>
      </c>
      <c r="N34" s="412" t="s">
        <v>1352</v>
      </c>
      <c r="O34" s="412">
        <v>0</v>
      </c>
      <c r="P34" s="412">
        <v>0.5</v>
      </c>
      <c r="Q34" s="412"/>
      <c r="R34" s="412">
        <v>0</v>
      </c>
      <c r="S34" s="412">
        <v>0</v>
      </c>
      <c r="T34" s="412">
        <v>0</v>
      </c>
      <c r="U34" s="412">
        <v>0</v>
      </c>
      <c r="V34" s="412">
        <v>0</v>
      </c>
      <c r="W34" s="412">
        <v>0</v>
      </c>
      <c r="X34" s="412">
        <v>0</v>
      </c>
      <c r="Y34" s="412">
        <f t="shared" si="1"/>
        <v>0</v>
      </c>
      <c r="Z34" s="412">
        <f t="shared" si="2"/>
        <v>0.5</v>
      </c>
      <c r="AA34" s="412">
        <f t="shared" si="2"/>
        <v>0</v>
      </c>
      <c r="AB34" s="412">
        <f t="shared" si="2"/>
        <v>0</v>
      </c>
      <c r="AC34" s="412">
        <f t="shared" si="2"/>
        <v>0</v>
      </c>
      <c r="AD34" s="412">
        <f t="shared" si="3"/>
        <v>0.5</v>
      </c>
      <c r="AE34" s="413" t="s">
        <v>117</v>
      </c>
      <c r="AF34" s="413" t="s">
        <v>117</v>
      </c>
      <c r="AG34" s="413" t="s">
        <v>57</v>
      </c>
      <c r="AH34" s="276" t="s">
        <v>2372</v>
      </c>
      <c r="AI34" s="413" t="s">
        <v>2345</v>
      </c>
      <c r="AJ34" s="414">
        <v>121500</v>
      </c>
      <c r="AK34" s="276" t="s">
        <v>305</v>
      </c>
    </row>
    <row r="35" spans="1:37" x14ac:dyDescent="0.35">
      <c r="A35" s="276">
        <v>23100516</v>
      </c>
      <c r="B35" s="281" t="s">
        <v>208</v>
      </c>
      <c r="C35" s="281" t="s">
        <v>208</v>
      </c>
      <c r="D35" s="281" t="s">
        <v>2329</v>
      </c>
      <c r="E35" s="276" t="s">
        <v>2373</v>
      </c>
      <c r="F35" s="276" t="s">
        <v>2374</v>
      </c>
      <c r="G35" s="278">
        <v>380</v>
      </c>
      <c r="H35" s="750">
        <v>42581</v>
      </c>
      <c r="I35" s="284">
        <v>1500</v>
      </c>
      <c r="J35" s="284">
        <v>300716</v>
      </c>
      <c r="K35" s="284">
        <v>1520</v>
      </c>
      <c r="L35" s="279">
        <v>300716</v>
      </c>
      <c r="M35" s="415">
        <v>1730</v>
      </c>
      <c r="N35" s="278" t="s">
        <v>1517</v>
      </c>
      <c r="O35" s="278">
        <v>0</v>
      </c>
      <c r="P35" s="278">
        <v>1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f t="shared" si="1"/>
        <v>0</v>
      </c>
      <c r="Z35" s="278">
        <f t="shared" si="2"/>
        <v>1</v>
      </c>
      <c r="AA35" s="278">
        <f t="shared" si="2"/>
        <v>0</v>
      </c>
      <c r="AB35" s="278">
        <f t="shared" si="2"/>
        <v>0</v>
      </c>
      <c r="AC35" s="278">
        <f t="shared" si="2"/>
        <v>0</v>
      </c>
      <c r="AD35" s="278">
        <f t="shared" si="3"/>
        <v>1</v>
      </c>
      <c r="AE35" s="276" t="s">
        <v>2004</v>
      </c>
      <c r="AF35" s="276" t="s">
        <v>117</v>
      </c>
      <c r="AG35" s="276" t="s">
        <v>57</v>
      </c>
      <c r="AH35" s="276" t="s">
        <v>2375</v>
      </c>
      <c r="AI35" s="276" t="s">
        <v>73</v>
      </c>
      <c r="AJ35" s="282">
        <v>50000</v>
      </c>
      <c r="AK35" s="276" t="s">
        <v>305</v>
      </c>
    </row>
    <row r="36" spans="1:37" x14ac:dyDescent="0.35">
      <c r="A36" s="276">
        <v>24104316</v>
      </c>
      <c r="B36" s="289" t="s">
        <v>101</v>
      </c>
      <c r="C36" s="289" t="s">
        <v>186</v>
      </c>
      <c r="D36" s="289" t="s">
        <v>2376</v>
      </c>
      <c r="E36" s="276" t="s">
        <v>2377</v>
      </c>
      <c r="F36" s="276" t="s">
        <v>2378</v>
      </c>
      <c r="G36" s="278">
        <v>800</v>
      </c>
      <c r="H36" s="750">
        <v>42582</v>
      </c>
      <c r="I36" s="279">
        <v>700</v>
      </c>
      <c r="J36" s="284">
        <v>310716</v>
      </c>
      <c r="K36" s="284">
        <v>715</v>
      </c>
      <c r="L36" s="284">
        <v>310716</v>
      </c>
      <c r="M36" s="279">
        <v>1515</v>
      </c>
      <c r="N36" s="278" t="s">
        <v>62</v>
      </c>
      <c r="O36" s="278">
        <v>2</v>
      </c>
      <c r="P36" s="278">
        <v>0</v>
      </c>
      <c r="Q36" s="278">
        <v>0.5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f t="shared" si="1"/>
        <v>2</v>
      </c>
      <c r="Z36" s="278">
        <f t="shared" si="2"/>
        <v>0</v>
      </c>
      <c r="AA36" s="278">
        <f t="shared" si="2"/>
        <v>0.5</v>
      </c>
      <c r="AB36" s="278">
        <f t="shared" si="2"/>
        <v>0</v>
      </c>
      <c r="AC36" s="278">
        <f t="shared" si="2"/>
        <v>0</v>
      </c>
      <c r="AD36" s="278">
        <v>2.5</v>
      </c>
      <c r="AE36" s="276" t="s">
        <v>188</v>
      </c>
      <c r="AF36" s="276" t="s">
        <v>117</v>
      </c>
      <c r="AG36" s="276" t="s">
        <v>554</v>
      </c>
      <c r="AH36" s="276" t="s">
        <v>2379</v>
      </c>
      <c r="AI36" s="276" t="s">
        <v>67</v>
      </c>
      <c r="AJ36" s="282">
        <v>200000</v>
      </c>
      <c r="AK36" s="276" t="s">
        <v>2068</v>
      </c>
    </row>
    <row r="37" spans="1:37" x14ac:dyDescent="0.35">
      <c r="A37" s="276">
        <v>25100516</v>
      </c>
      <c r="B37" s="281" t="s">
        <v>208</v>
      </c>
      <c r="C37" s="281" t="s">
        <v>208</v>
      </c>
      <c r="D37" s="281" t="s">
        <v>2329</v>
      </c>
      <c r="E37" s="276" t="s">
        <v>2380</v>
      </c>
      <c r="F37" s="276" t="s">
        <v>2381</v>
      </c>
      <c r="G37" s="278">
        <v>370</v>
      </c>
      <c r="H37" s="750">
        <v>42582</v>
      </c>
      <c r="I37" s="284">
        <v>1215</v>
      </c>
      <c r="J37" s="284">
        <v>310716</v>
      </c>
      <c r="K37" s="284">
        <v>1230</v>
      </c>
      <c r="L37" s="284">
        <v>310716</v>
      </c>
      <c r="M37" s="415">
        <v>1520</v>
      </c>
      <c r="N37" s="278" t="s">
        <v>1517</v>
      </c>
      <c r="O37" s="278">
        <v>0</v>
      </c>
      <c r="P37" s="278">
        <v>0.5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f t="shared" ref="Y37:AC38" si="4">SUM(O37+T37)</f>
        <v>0</v>
      </c>
      <c r="Z37" s="278">
        <f t="shared" si="4"/>
        <v>0.5</v>
      </c>
      <c r="AA37" s="278">
        <f t="shared" si="4"/>
        <v>0</v>
      </c>
      <c r="AB37" s="278">
        <f t="shared" si="4"/>
        <v>0</v>
      </c>
      <c r="AC37" s="278">
        <f t="shared" si="4"/>
        <v>0</v>
      </c>
      <c r="AD37" s="278">
        <f>SUM(Y37:AC37)</f>
        <v>0.5</v>
      </c>
      <c r="AE37" s="276" t="s">
        <v>2004</v>
      </c>
      <c r="AF37" s="276" t="s">
        <v>117</v>
      </c>
      <c r="AG37" s="276" t="s">
        <v>57</v>
      </c>
      <c r="AH37" s="276" t="s">
        <v>2322</v>
      </c>
      <c r="AI37" s="276" t="s">
        <v>73</v>
      </c>
      <c r="AJ37" s="282">
        <v>25000</v>
      </c>
      <c r="AK37" s="276" t="s">
        <v>305</v>
      </c>
    </row>
    <row r="38" spans="1:37" x14ac:dyDescent="0.35">
      <c r="A38" s="276">
        <v>26101216</v>
      </c>
      <c r="B38" s="289" t="s">
        <v>83</v>
      </c>
      <c r="C38" s="289" t="s">
        <v>95</v>
      </c>
      <c r="D38" s="289" t="s">
        <v>2382</v>
      </c>
      <c r="E38" s="276" t="s">
        <v>2383</v>
      </c>
      <c r="F38" s="276" t="s">
        <v>2384</v>
      </c>
      <c r="G38" s="278">
        <v>975</v>
      </c>
      <c r="H38" s="750">
        <v>42582</v>
      </c>
      <c r="I38" s="284">
        <v>1400</v>
      </c>
      <c r="J38" s="284">
        <v>310716</v>
      </c>
      <c r="K38" s="284">
        <v>1410</v>
      </c>
      <c r="L38" s="284">
        <v>310716</v>
      </c>
      <c r="M38" s="284">
        <v>2000</v>
      </c>
      <c r="N38" s="278" t="s">
        <v>1352</v>
      </c>
      <c r="O38" s="278">
        <v>0</v>
      </c>
      <c r="P38" s="278">
        <v>1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f t="shared" si="4"/>
        <v>0</v>
      </c>
      <c r="Z38" s="278">
        <f t="shared" si="4"/>
        <v>1</v>
      </c>
      <c r="AA38" s="278">
        <f t="shared" si="4"/>
        <v>0</v>
      </c>
      <c r="AB38" s="278">
        <f t="shared" si="4"/>
        <v>0</v>
      </c>
      <c r="AC38" s="278">
        <f t="shared" si="4"/>
        <v>0</v>
      </c>
      <c r="AD38" s="278">
        <f>SUM(Y38:AC38)</f>
        <v>1</v>
      </c>
      <c r="AE38" s="276" t="s">
        <v>117</v>
      </c>
      <c r="AF38" s="276" t="s">
        <v>117</v>
      </c>
      <c r="AG38" s="276" t="s">
        <v>57</v>
      </c>
      <c r="AH38" s="276" t="s">
        <v>2372</v>
      </c>
      <c r="AI38" s="276" t="s">
        <v>2345</v>
      </c>
      <c r="AJ38" s="282">
        <v>244500</v>
      </c>
      <c r="AK38" s="276" t="s">
        <v>305</v>
      </c>
    </row>
    <row r="39" spans="1:37" x14ac:dyDescent="0.35">
      <c r="A39" s="276">
        <v>27103216</v>
      </c>
      <c r="B39" s="289" t="s">
        <v>2287</v>
      </c>
      <c r="C39" s="289" t="s">
        <v>2288</v>
      </c>
      <c r="D39" s="289" t="s">
        <v>2289</v>
      </c>
      <c r="E39" s="276" t="s">
        <v>2385</v>
      </c>
      <c r="F39" s="276" t="s">
        <v>2386</v>
      </c>
      <c r="G39" s="278">
        <v>1247</v>
      </c>
      <c r="H39" s="750">
        <v>42582</v>
      </c>
      <c r="I39" s="284">
        <v>1840</v>
      </c>
      <c r="J39" s="284">
        <v>310716</v>
      </c>
      <c r="K39" s="284">
        <v>1920</v>
      </c>
      <c r="L39" s="279">
        <v>310716</v>
      </c>
      <c r="M39" s="279">
        <v>2230</v>
      </c>
      <c r="N39" s="278" t="s">
        <v>1352</v>
      </c>
      <c r="O39" s="278">
        <v>0</v>
      </c>
      <c r="P39" s="278">
        <v>1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f>SUM(O39+T39)</f>
        <v>0</v>
      </c>
      <c r="Z39" s="278">
        <v>1</v>
      </c>
      <c r="AA39" s="278">
        <v>0</v>
      </c>
      <c r="AB39" s="278">
        <v>0</v>
      </c>
      <c r="AC39" s="278">
        <v>0</v>
      </c>
      <c r="AD39" s="278">
        <v>1</v>
      </c>
      <c r="AE39" s="276" t="s">
        <v>2004</v>
      </c>
      <c r="AF39" s="276" t="s">
        <v>117</v>
      </c>
      <c r="AG39" s="276" t="s">
        <v>493</v>
      </c>
      <c r="AH39" s="276"/>
      <c r="AI39" s="276" t="s">
        <v>2387</v>
      </c>
      <c r="AJ39" s="282">
        <v>400000</v>
      </c>
      <c r="AK39" s="276" t="s">
        <v>305</v>
      </c>
    </row>
    <row r="40" spans="1:37" x14ac:dyDescent="0.35">
      <c r="A40" s="276">
        <v>28100116</v>
      </c>
      <c r="B40" s="289" t="s">
        <v>145</v>
      </c>
      <c r="C40" s="289" t="s">
        <v>1475</v>
      </c>
      <c r="D40" s="289" t="s">
        <v>2388</v>
      </c>
      <c r="E40" s="276" t="s">
        <v>2389</v>
      </c>
      <c r="F40" s="276" t="s">
        <v>2390</v>
      </c>
      <c r="G40" s="278">
        <v>271</v>
      </c>
      <c r="H40" s="751">
        <v>42583</v>
      </c>
      <c r="I40" s="299">
        <v>1500</v>
      </c>
      <c r="J40" s="416">
        <v>10816</v>
      </c>
      <c r="K40" s="416">
        <v>1510</v>
      </c>
      <c r="L40" s="299">
        <v>10816</v>
      </c>
      <c r="M40" s="299">
        <v>1800</v>
      </c>
      <c r="N40" s="299" t="s">
        <v>1517</v>
      </c>
      <c r="O40" s="299">
        <v>0</v>
      </c>
      <c r="P40" s="299">
        <v>0.04</v>
      </c>
      <c r="Q40" s="299">
        <v>0</v>
      </c>
      <c r="R40" s="299">
        <v>0</v>
      </c>
      <c r="S40" s="299">
        <v>0</v>
      </c>
      <c r="T40" s="299">
        <v>0</v>
      </c>
      <c r="U40" s="299">
        <v>0</v>
      </c>
      <c r="V40" s="299">
        <v>0</v>
      </c>
      <c r="W40" s="299">
        <v>0</v>
      </c>
      <c r="X40" s="299">
        <v>0</v>
      </c>
      <c r="Y40" s="278">
        <v>0</v>
      </c>
      <c r="Z40" s="278">
        <v>0.04</v>
      </c>
      <c r="AA40" s="278">
        <v>0</v>
      </c>
      <c r="AB40" s="299">
        <v>0</v>
      </c>
      <c r="AC40" s="299">
        <v>0</v>
      </c>
      <c r="AD40" s="278">
        <v>0.04</v>
      </c>
      <c r="AE40" s="281" t="s">
        <v>117</v>
      </c>
      <c r="AF40" s="281" t="s">
        <v>117</v>
      </c>
      <c r="AG40" s="281" t="s">
        <v>57</v>
      </c>
      <c r="AH40" s="281" t="s">
        <v>2391</v>
      </c>
      <c r="AI40" s="276" t="s">
        <v>73</v>
      </c>
      <c r="AJ40" s="300">
        <v>9600</v>
      </c>
      <c r="AK40" s="281" t="s">
        <v>305</v>
      </c>
    </row>
    <row r="41" spans="1:37" x14ac:dyDescent="0.35">
      <c r="A41" s="276">
        <v>29102316</v>
      </c>
      <c r="B41" s="286" t="s">
        <v>68</v>
      </c>
      <c r="C41" s="286" t="s">
        <v>68</v>
      </c>
      <c r="D41" s="408" t="s">
        <v>2392</v>
      </c>
      <c r="E41" s="276" t="s">
        <v>2393</v>
      </c>
      <c r="F41" s="276" t="s">
        <v>2394</v>
      </c>
      <c r="G41" s="278">
        <v>800</v>
      </c>
      <c r="H41" s="750">
        <v>42584</v>
      </c>
      <c r="I41" s="284">
        <v>1345</v>
      </c>
      <c r="J41" s="284">
        <v>20816</v>
      </c>
      <c r="K41" s="284">
        <v>1350</v>
      </c>
      <c r="L41" s="279">
        <v>20816</v>
      </c>
      <c r="M41" s="279">
        <v>1505</v>
      </c>
      <c r="N41" s="278" t="s">
        <v>62</v>
      </c>
      <c r="O41" s="278">
        <v>0</v>
      </c>
      <c r="P41" s="278">
        <v>0</v>
      </c>
      <c r="Q41" s="278">
        <v>0</v>
      </c>
      <c r="R41" s="278">
        <v>0</v>
      </c>
      <c r="S41" s="278">
        <v>0</v>
      </c>
      <c r="T41" s="278">
        <v>0.03</v>
      </c>
      <c r="U41" s="278">
        <v>0</v>
      </c>
      <c r="V41" s="278">
        <v>0</v>
      </c>
      <c r="W41" s="278">
        <v>0</v>
      </c>
      <c r="X41" s="278">
        <v>0</v>
      </c>
      <c r="Y41" s="278">
        <f t="shared" ref="Y41:AC42" si="5">SUM(O41+T41)</f>
        <v>0.03</v>
      </c>
      <c r="Z41" s="278">
        <f t="shared" si="5"/>
        <v>0</v>
      </c>
      <c r="AA41" s="278">
        <f t="shared" si="5"/>
        <v>0</v>
      </c>
      <c r="AB41" s="278">
        <f t="shared" si="5"/>
        <v>0</v>
      </c>
      <c r="AC41" s="278">
        <f t="shared" si="5"/>
        <v>0</v>
      </c>
      <c r="AD41" s="278">
        <f>SUM(Y41:AC41)</f>
        <v>0.03</v>
      </c>
      <c r="AE41" s="276" t="s">
        <v>188</v>
      </c>
      <c r="AF41" s="276" t="s">
        <v>117</v>
      </c>
      <c r="AG41" s="276" t="s">
        <v>57</v>
      </c>
      <c r="AH41" s="276" t="s">
        <v>2395</v>
      </c>
      <c r="AI41" s="276" t="s">
        <v>1764</v>
      </c>
      <c r="AJ41" s="282">
        <v>5200</v>
      </c>
      <c r="AK41" s="276" t="s">
        <v>305</v>
      </c>
    </row>
    <row r="42" spans="1:37" x14ac:dyDescent="0.35">
      <c r="A42" s="288">
        <v>30101816</v>
      </c>
      <c r="B42" s="286" t="s">
        <v>49</v>
      </c>
      <c r="C42" s="286" t="s">
        <v>137</v>
      </c>
      <c r="D42" s="286" t="s">
        <v>2396</v>
      </c>
      <c r="E42" s="276" t="s">
        <v>2397</v>
      </c>
      <c r="F42" s="276" t="s">
        <v>2398</v>
      </c>
      <c r="G42" s="278">
        <v>750</v>
      </c>
      <c r="H42" s="750">
        <v>42584</v>
      </c>
      <c r="I42" s="284">
        <v>1550</v>
      </c>
      <c r="J42" s="284">
        <v>20816</v>
      </c>
      <c r="K42" s="284">
        <v>1620</v>
      </c>
      <c r="L42" s="279">
        <v>20816</v>
      </c>
      <c r="M42" s="279">
        <v>2100</v>
      </c>
      <c r="N42" s="278" t="s">
        <v>62</v>
      </c>
      <c r="O42" s="278">
        <v>7</v>
      </c>
      <c r="P42" s="278">
        <v>0</v>
      </c>
      <c r="Q42" s="278">
        <v>3</v>
      </c>
      <c r="R42" s="278">
        <v>0</v>
      </c>
      <c r="S42" s="278">
        <v>0</v>
      </c>
      <c r="T42" s="278">
        <v>0</v>
      </c>
      <c r="U42" s="278">
        <v>0</v>
      </c>
      <c r="V42" s="278">
        <v>0</v>
      </c>
      <c r="W42" s="278">
        <v>0</v>
      </c>
      <c r="X42" s="278">
        <v>0</v>
      </c>
      <c r="Y42" s="278">
        <f t="shared" si="5"/>
        <v>7</v>
      </c>
      <c r="Z42" s="278">
        <f t="shared" si="5"/>
        <v>0</v>
      </c>
      <c r="AA42" s="278">
        <f t="shared" si="5"/>
        <v>3</v>
      </c>
      <c r="AB42" s="278">
        <f t="shared" si="5"/>
        <v>0</v>
      </c>
      <c r="AC42" s="278">
        <f t="shared" si="5"/>
        <v>0</v>
      </c>
      <c r="AD42" s="278">
        <f>SUM(Y42:AC42)</f>
        <v>10</v>
      </c>
      <c r="AE42" s="276" t="s">
        <v>2004</v>
      </c>
      <c r="AF42" s="276" t="s">
        <v>117</v>
      </c>
      <c r="AG42" s="276" t="s">
        <v>57</v>
      </c>
      <c r="AH42" s="276"/>
      <c r="AI42" s="276" t="s">
        <v>2399</v>
      </c>
      <c r="AJ42" s="282">
        <v>3500000</v>
      </c>
      <c r="AK42" s="276" t="s">
        <v>305</v>
      </c>
    </row>
    <row r="43" spans="1:37" x14ac:dyDescent="0.35">
      <c r="A43" s="276">
        <v>31101816</v>
      </c>
      <c r="B43" s="286" t="s">
        <v>49</v>
      </c>
      <c r="C43" s="286" t="s">
        <v>137</v>
      </c>
      <c r="D43" s="286" t="s">
        <v>2396</v>
      </c>
      <c r="E43" s="276" t="s">
        <v>2400</v>
      </c>
      <c r="F43" s="276" t="s">
        <v>2401</v>
      </c>
      <c r="G43" s="278">
        <v>647</v>
      </c>
      <c r="H43" s="751">
        <v>42585</v>
      </c>
      <c r="I43" s="299">
        <v>1320</v>
      </c>
      <c r="J43" s="299">
        <v>30816</v>
      </c>
      <c r="K43" s="299">
        <v>1430</v>
      </c>
      <c r="L43" s="299">
        <v>30816</v>
      </c>
      <c r="M43" s="299">
        <v>2015</v>
      </c>
      <c r="N43" s="278" t="s">
        <v>62</v>
      </c>
      <c r="O43" s="299">
        <v>6</v>
      </c>
      <c r="P43" s="299">
        <v>0</v>
      </c>
      <c r="Q43" s="299">
        <v>0</v>
      </c>
      <c r="R43" s="299">
        <v>0</v>
      </c>
      <c r="S43" s="299">
        <v>0</v>
      </c>
      <c r="T43" s="299">
        <v>0</v>
      </c>
      <c r="U43" s="299">
        <v>0</v>
      </c>
      <c r="V43" s="299">
        <v>0</v>
      </c>
      <c r="W43" s="299">
        <v>0</v>
      </c>
      <c r="X43" s="299">
        <v>0</v>
      </c>
      <c r="Y43" s="278">
        <v>6</v>
      </c>
      <c r="Z43" s="278">
        <v>0</v>
      </c>
      <c r="AA43" s="278">
        <v>0</v>
      </c>
      <c r="AB43" s="299">
        <v>0</v>
      </c>
      <c r="AC43" s="299">
        <v>0</v>
      </c>
      <c r="AD43" s="278">
        <v>6</v>
      </c>
      <c r="AE43" s="276" t="s">
        <v>66</v>
      </c>
      <c r="AF43" s="276" t="s">
        <v>117</v>
      </c>
      <c r="AG43" s="276" t="s">
        <v>57</v>
      </c>
      <c r="AH43" s="281" t="s">
        <v>2402</v>
      </c>
      <c r="AI43" s="276" t="s">
        <v>2403</v>
      </c>
      <c r="AJ43" s="300">
        <v>2500000</v>
      </c>
      <c r="AK43" s="281" t="s">
        <v>305</v>
      </c>
    </row>
    <row r="44" spans="1:37" x14ac:dyDescent="0.35">
      <c r="A44" s="276">
        <v>32100516</v>
      </c>
      <c r="B44" s="281" t="s">
        <v>208</v>
      </c>
      <c r="C44" s="281" t="s">
        <v>2404</v>
      </c>
      <c r="D44" s="281" t="s">
        <v>2405</v>
      </c>
      <c r="E44" s="276" t="s">
        <v>2406</v>
      </c>
      <c r="F44" s="276" t="s">
        <v>2407</v>
      </c>
      <c r="G44" s="278">
        <v>800</v>
      </c>
      <c r="H44" s="750">
        <v>42585</v>
      </c>
      <c r="I44" s="284">
        <v>1430</v>
      </c>
      <c r="J44" s="284"/>
      <c r="K44" s="284"/>
      <c r="L44" s="284">
        <v>30816</v>
      </c>
      <c r="M44" s="415">
        <v>2300</v>
      </c>
      <c r="N44" s="278" t="s">
        <v>1517</v>
      </c>
      <c r="O44" s="278">
        <v>0</v>
      </c>
      <c r="P44" s="278">
        <v>3</v>
      </c>
      <c r="Q44" s="278">
        <v>0</v>
      </c>
      <c r="R44" s="278">
        <v>0</v>
      </c>
      <c r="S44" s="278">
        <v>0</v>
      </c>
      <c r="T44" s="278">
        <v>0</v>
      </c>
      <c r="U44" s="278">
        <v>0</v>
      </c>
      <c r="V44" s="278">
        <v>0</v>
      </c>
      <c r="W44" s="278">
        <v>0</v>
      </c>
      <c r="X44" s="278">
        <v>0</v>
      </c>
      <c r="Y44" s="278">
        <f>SUM(O44+T44)</f>
        <v>0</v>
      </c>
      <c r="Z44" s="278">
        <f>SUM(P44+U44)</f>
        <v>3</v>
      </c>
      <c r="AA44" s="278">
        <f>SUM(Q44+V44)</f>
        <v>0</v>
      </c>
      <c r="AB44" s="278">
        <f>SUM(R44+W44)</f>
        <v>0</v>
      </c>
      <c r="AC44" s="278">
        <f>SUM(S44+X44)</f>
        <v>0</v>
      </c>
      <c r="AD44" s="278">
        <f>SUM(Y44:AC44)</f>
        <v>3</v>
      </c>
      <c r="AE44" s="276" t="s">
        <v>175</v>
      </c>
      <c r="AF44" s="276" t="s">
        <v>117</v>
      </c>
      <c r="AG44" s="276" t="s">
        <v>57</v>
      </c>
      <c r="AH44" s="276" t="s">
        <v>2408</v>
      </c>
      <c r="AI44" s="276" t="s">
        <v>175</v>
      </c>
      <c r="AJ44" s="282">
        <v>150000</v>
      </c>
      <c r="AK44" s="276" t="s">
        <v>305</v>
      </c>
    </row>
    <row r="45" spans="1:37" x14ac:dyDescent="0.35">
      <c r="A45" s="276">
        <v>33104316</v>
      </c>
      <c r="B45" s="289" t="s">
        <v>101</v>
      </c>
      <c r="C45" s="289" t="s">
        <v>101</v>
      </c>
      <c r="D45" s="289" t="s">
        <v>2409</v>
      </c>
      <c r="E45" s="276" t="s">
        <v>2410</v>
      </c>
      <c r="F45" s="276" t="s">
        <v>2411</v>
      </c>
      <c r="G45" s="278">
        <v>855</v>
      </c>
      <c r="H45" s="750">
        <v>42585</v>
      </c>
      <c r="I45" s="279">
        <v>1900</v>
      </c>
      <c r="J45" s="284">
        <v>30816</v>
      </c>
      <c r="K45" s="284">
        <v>1915</v>
      </c>
      <c r="L45" s="284">
        <v>30816</v>
      </c>
      <c r="M45" s="279">
        <v>2230</v>
      </c>
      <c r="N45" s="278" t="s">
        <v>62</v>
      </c>
      <c r="O45" s="278">
        <v>0.5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278">
        <v>0.5</v>
      </c>
      <c r="Z45" s="278">
        <v>0</v>
      </c>
      <c r="AA45" s="278">
        <v>0</v>
      </c>
      <c r="AB45" s="278">
        <v>0</v>
      </c>
      <c r="AC45" s="278">
        <v>0</v>
      </c>
      <c r="AD45" s="278">
        <v>0.5</v>
      </c>
      <c r="AE45" s="276" t="s">
        <v>66</v>
      </c>
      <c r="AF45" s="276" t="s">
        <v>117</v>
      </c>
      <c r="AG45" s="276" t="s">
        <v>554</v>
      </c>
      <c r="AH45" s="276" t="s">
        <v>2412</v>
      </c>
      <c r="AI45" s="276" t="s">
        <v>2318</v>
      </c>
      <c r="AJ45" s="282">
        <v>300000</v>
      </c>
      <c r="AK45" s="276" t="s">
        <v>2068</v>
      </c>
    </row>
    <row r="46" spans="1:37" x14ac:dyDescent="0.35">
      <c r="A46" s="276">
        <v>34100516</v>
      </c>
      <c r="B46" s="281" t="s">
        <v>208</v>
      </c>
      <c r="C46" s="281" t="s">
        <v>2005</v>
      </c>
      <c r="D46" s="281" t="s">
        <v>2413</v>
      </c>
      <c r="E46" s="276" t="s">
        <v>2414</v>
      </c>
      <c r="F46" s="276" t="s">
        <v>2415</v>
      </c>
      <c r="G46" s="278">
        <v>790</v>
      </c>
      <c r="H46" s="750">
        <v>42586</v>
      </c>
      <c r="I46" s="284">
        <v>1140</v>
      </c>
      <c r="J46" s="284"/>
      <c r="K46" s="284"/>
      <c r="L46" s="284">
        <v>40816</v>
      </c>
      <c r="M46" s="415">
        <v>1800</v>
      </c>
      <c r="N46" s="278" t="s">
        <v>1517</v>
      </c>
      <c r="O46" s="278">
        <v>0</v>
      </c>
      <c r="P46" s="278">
        <v>1.5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278">
        <f t="shared" ref="Y46:AC48" si="6">SUM(O46+T46)</f>
        <v>0</v>
      </c>
      <c r="Z46" s="278">
        <f t="shared" si="6"/>
        <v>1.5</v>
      </c>
      <c r="AA46" s="278">
        <f t="shared" si="6"/>
        <v>0</v>
      </c>
      <c r="AB46" s="278">
        <f t="shared" si="6"/>
        <v>0</v>
      </c>
      <c r="AC46" s="278">
        <f t="shared" si="6"/>
        <v>0</v>
      </c>
      <c r="AD46" s="278">
        <f>SUM(Y46:AC46)</f>
        <v>1.5</v>
      </c>
      <c r="AE46" s="276" t="s">
        <v>175</v>
      </c>
      <c r="AF46" s="276" t="s">
        <v>117</v>
      </c>
      <c r="AG46" s="276" t="s">
        <v>57</v>
      </c>
      <c r="AH46" s="276" t="s">
        <v>2416</v>
      </c>
      <c r="AI46" s="276" t="s">
        <v>175</v>
      </c>
      <c r="AJ46" s="282">
        <v>75000</v>
      </c>
      <c r="AK46" s="276" t="s">
        <v>305</v>
      </c>
    </row>
    <row r="47" spans="1:37" x14ac:dyDescent="0.35">
      <c r="A47" s="276">
        <v>35100516</v>
      </c>
      <c r="B47" s="281" t="s">
        <v>208</v>
      </c>
      <c r="C47" s="281" t="s">
        <v>208</v>
      </c>
      <c r="D47" s="281" t="s">
        <v>2284</v>
      </c>
      <c r="E47" s="276" t="s">
        <v>2285</v>
      </c>
      <c r="F47" s="276" t="s">
        <v>2417</v>
      </c>
      <c r="G47" s="278">
        <v>560</v>
      </c>
      <c r="H47" s="750">
        <v>42587</v>
      </c>
      <c r="I47" s="284">
        <v>1340</v>
      </c>
      <c r="J47" s="284"/>
      <c r="K47" s="284"/>
      <c r="L47" s="284">
        <v>50816</v>
      </c>
      <c r="M47" s="279">
        <v>1945</v>
      </c>
      <c r="N47" s="278" t="s">
        <v>1517</v>
      </c>
      <c r="O47" s="278">
        <v>0</v>
      </c>
      <c r="P47" s="278">
        <v>1.5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</v>
      </c>
      <c r="X47" s="278">
        <v>0</v>
      </c>
      <c r="Y47" s="278">
        <f t="shared" si="6"/>
        <v>0</v>
      </c>
      <c r="Z47" s="278">
        <f t="shared" si="6"/>
        <v>1.5</v>
      </c>
      <c r="AA47" s="278">
        <f t="shared" si="6"/>
        <v>0</v>
      </c>
      <c r="AB47" s="278">
        <f t="shared" si="6"/>
        <v>0</v>
      </c>
      <c r="AC47" s="278">
        <f t="shared" si="6"/>
        <v>0</v>
      </c>
      <c r="AD47" s="278">
        <f>SUM(Y47:AC47)</f>
        <v>1.5</v>
      </c>
      <c r="AE47" s="276" t="s">
        <v>175</v>
      </c>
      <c r="AF47" s="276" t="s">
        <v>117</v>
      </c>
      <c r="AG47" s="276" t="s">
        <v>57</v>
      </c>
      <c r="AH47" s="276" t="s">
        <v>2418</v>
      </c>
      <c r="AI47" s="276" t="s">
        <v>175</v>
      </c>
      <c r="AJ47" s="287">
        <v>75000</v>
      </c>
      <c r="AK47" s="276" t="s">
        <v>305</v>
      </c>
    </row>
    <row r="48" spans="1:37" x14ac:dyDescent="0.35">
      <c r="A48" s="276">
        <v>36100516</v>
      </c>
      <c r="B48" s="281" t="s">
        <v>208</v>
      </c>
      <c r="C48" s="281" t="s">
        <v>208</v>
      </c>
      <c r="D48" s="281" t="s">
        <v>2419</v>
      </c>
      <c r="E48" s="276" t="s">
        <v>2420</v>
      </c>
      <c r="F48" s="276" t="s">
        <v>2421</v>
      </c>
      <c r="G48" s="278">
        <v>435</v>
      </c>
      <c r="H48" s="750">
        <v>42587</v>
      </c>
      <c r="I48" s="284">
        <v>1630</v>
      </c>
      <c r="J48" s="284"/>
      <c r="K48" s="284"/>
      <c r="L48" s="284">
        <v>50816</v>
      </c>
      <c r="M48" s="279">
        <v>1930</v>
      </c>
      <c r="N48" s="278" t="s">
        <v>1517</v>
      </c>
      <c r="O48" s="278">
        <v>0</v>
      </c>
      <c r="P48" s="278">
        <v>1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278">
        <v>0</v>
      </c>
      <c r="W48" s="278">
        <v>0</v>
      </c>
      <c r="X48" s="278">
        <v>0</v>
      </c>
      <c r="Y48" s="278">
        <f t="shared" si="6"/>
        <v>0</v>
      </c>
      <c r="Z48" s="278">
        <f t="shared" si="6"/>
        <v>1</v>
      </c>
      <c r="AA48" s="278">
        <f t="shared" si="6"/>
        <v>0</v>
      </c>
      <c r="AB48" s="278">
        <f t="shared" si="6"/>
        <v>0</v>
      </c>
      <c r="AC48" s="278">
        <f t="shared" si="6"/>
        <v>0</v>
      </c>
      <c r="AD48" s="278">
        <f>SUM(Y48:AC48)</f>
        <v>1</v>
      </c>
      <c r="AE48" s="276" t="s">
        <v>175</v>
      </c>
      <c r="AF48" s="276" t="s">
        <v>117</v>
      </c>
      <c r="AG48" s="276" t="s">
        <v>57</v>
      </c>
      <c r="AH48" s="276" t="s">
        <v>2418</v>
      </c>
      <c r="AI48" s="276" t="s">
        <v>175</v>
      </c>
      <c r="AJ48" s="287">
        <v>50000</v>
      </c>
      <c r="AK48" s="276" t="s">
        <v>305</v>
      </c>
    </row>
    <row r="49" spans="1:37" x14ac:dyDescent="0.35">
      <c r="A49" s="276">
        <v>37101816</v>
      </c>
      <c r="B49" s="286" t="s">
        <v>49</v>
      </c>
      <c r="C49" s="286" t="s">
        <v>150</v>
      </c>
      <c r="D49" s="286" t="s">
        <v>2422</v>
      </c>
      <c r="E49" s="276" t="s">
        <v>2423</v>
      </c>
      <c r="F49" s="276" t="s">
        <v>2424</v>
      </c>
      <c r="G49" s="278">
        <v>845</v>
      </c>
      <c r="H49" s="750">
        <v>42587</v>
      </c>
      <c r="I49" s="299">
        <v>1725</v>
      </c>
      <c r="J49" s="284">
        <v>50816</v>
      </c>
      <c r="K49" s="299">
        <v>1750</v>
      </c>
      <c r="L49" s="284">
        <v>50816</v>
      </c>
      <c r="M49" s="299">
        <v>1925</v>
      </c>
      <c r="N49" s="278" t="s">
        <v>1352</v>
      </c>
      <c r="O49" s="299">
        <v>0</v>
      </c>
      <c r="P49" s="299">
        <v>1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X49" s="278">
        <v>0</v>
      </c>
      <c r="Y49" s="278">
        <v>0</v>
      </c>
      <c r="Z49" s="278">
        <v>1</v>
      </c>
      <c r="AA49" s="278">
        <v>0</v>
      </c>
      <c r="AB49" s="299">
        <v>0</v>
      </c>
      <c r="AC49" s="299">
        <v>0</v>
      </c>
      <c r="AD49" s="278">
        <v>1</v>
      </c>
      <c r="AE49" s="276" t="s">
        <v>2004</v>
      </c>
      <c r="AF49" s="276" t="s">
        <v>117</v>
      </c>
      <c r="AG49" s="276" t="s">
        <v>57</v>
      </c>
      <c r="AH49" s="281"/>
      <c r="AI49" s="276" t="s">
        <v>1764</v>
      </c>
      <c r="AJ49" s="300">
        <v>550000</v>
      </c>
      <c r="AK49" s="281" t="s">
        <v>305</v>
      </c>
    </row>
    <row r="50" spans="1:37" x14ac:dyDescent="0.35">
      <c r="A50" s="276">
        <v>38103216</v>
      </c>
      <c r="B50" s="289" t="s">
        <v>2287</v>
      </c>
      <c r="C50" s="289" t="s">
        <v>107</v>
      </c>
      <c r="D50" s="289" t="s">
        <v>2425</v>
      </c>
      <c r="E50" s="276" t="s">
        <v>2426</v>
      </c>
      <c r="F50" s="276" t="s">
        <v>2427</v>
      </c>
      <c r="G50" s="278">
        <v>1020</v>
      </c>
      <c r="H50" s="751">
        <v>42591</v>
      </c>
      <c r="I50" s="299">
        <v>1000</v>
      </c>
      <c r="J50" s="299">
        <v>90816</v>
      </c>
      <c r="K50" s="299">
        <v>1030</v>
      </c>
      <c r="L50" s="299">
        <v>90816</v>
      </c>
      <c r="M50" s="299">
        <v>1450</v>
      </c>
      <c r="N50" s="278" t="s">
        <v>1352</v>
      </c>
      <c r="O50" s="299">
        <v>0</v>
      </c>
      <c r="P50" s="299">
        <v>1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X50" s="278">
        <v>0</v>
      </c>
      <c r="Y50" s="278">
        <v>0</v>
      </c>
      <c r="Z50" s="278">
        <v>1</v>
      </c>
      <c r="AA50" s="278">
        <v>0</v>
      </c>
      <c r="AB50" s="299">
        <v>0</v>
      </c>
      <c r="AC50" s="299">
        <v>0</v>
      </c>
      <c r="AD50" s="278">
        <v>1</v>
      </c>
      <c r="AE50" s="276" t="s">
        <v>2004</v>
      </c>
      <c r="AF50" s="276" t="s">
        <v>117</v>
      </c>
      <c r="AG50" s="276" t="s">
        <v>57</v>
      </c>
      <c r="AH50" s="276"/>
      <c r="AI50" s="276" t="s">
        <v>128</v>
      </c>
      <c r="AJ50" s="300">
        <v>600000</v>
      </c>
      <c r="AK50" s="281" t="s">
        <v>305</v>
      </c>
    </row>
    <row r="51" spans="1:37" x14ac:dyDescent="0.35">
      <c r="A51" s="276">
        <v>39104316</v>
      </c>
      <c r="B51" s="289" t="s">
        <v>101</v>
      </c>
      <c r="C51" s="289" t="s">
        <v>101</v>
      </c>
      <c r="D51" s="289" t="s">
        <v>2409</v>
      </c>
      <c r="E51" s="276" t="s">
        <v>2428</v>
      </c>
      <c r="F51" s="276" t="s">
        <v>2429</v>
      </c>
      <c r="G51" s="278">
        <v>900</v>
      </c>
      <c r="H51" s="751">
        <v>42591</v>
      </c>
      <c r="I51" s="279">
        <v>1415</v>
      </c>
      <c r="J51" s="299">
        <v>90816</v>
      </c>
      <c r="K51" s="284">
        <v>1430</v>
      </c>
      <c r="L51" s="299">
        <v>90816</v>
      </c>
      <c r="M51" s="279">
        <v>1830</v>
      </c>
      <c r="N51" s="278" t="s">
        <v>62</v>
      </c>
      <c r="O51" s="278">
        <v>0.5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0.5</v>
      </c>
      <c r="Z51" s="278">
        <v>0</v>
      </c>
      <c r="AA51" s="278">
        <v>0</v>
      </c>
      <c r="AB51" s="278">
        <v>0</v>
      </c>
      <c r="AC51" s="278">
        <v>0</v>
      </c>
      <c r="AD51" s="278">
        <v>0.5</v>
      </c>
      <c r="AE51" s="276" t="s">
        <v>66</v>
      </c>
      <c r="AF51" s="276" t="s">
        <v>117</v>
      </c>
      <c r="AG51" s="276" t="s">
        <v>72</v>
      </c>
      <c r="AH51" s="276" t="s">
        <v>2412</v>
      </c>
      <c r="AI51" s="276" t="s">
        <v>2430</v>
      </c>
      <c r="AJ51" s="282">
        <v>300000</v>
      </c>
      <c r="AK51" s="276" t="s">
        <v>2068</v>
      </c>
    </row>
    <row r="52" spans="1:37" ht="15" thickBot="1" x14ac:dyDescent="0.4">
      <c r="A52" s="296">
        <v>40101816</v>
      </c>
      <c r="B52" s="289" t="s">
        <v>49</v>
      </c>
      <c r="C52" s="289" t="s">
        <v>1397</v>
      </c>
      <c r="D52" s="289" t="s">
        <v>2431</v>
      </c>
      <c r="E52" s="276" t="s">
        <v>2432</v>
      </c>
      <c r="F52" s="276" t="s">
        <v>2433</v>
      </c>
      <c r="G52" s="278">
        <v>1355</v>
      </c>
      <c r="H52" s="750">
        <v>42598</v>
      </c>
      <c r="I52" s="284">
        <v>1815</v>
      </c>
      <c r="J52" s="284">
        <v>160816</v>
      </c>
      <c r="K52" s="284">
        <v>1825</v>
      </c>
      <c r="L52" s="284">
        <v>160816</v>
      </c>
      <c r="M52" s="284">
        <v>1900</v>
      </c>
      <c r="N52" s="302" t="s">
        <v>2292</v>
      </c>
      <c r="O52" s="299">
        <v>0</v>
      </c>
      <c r="P52" s="299">
        <v>0</v>
      </c>
      <c r="Q52" s="299">
        <v>0.02</v>
      </c>
      <c r="R52" s="299">
        <v>0</v>
      </c>
      <c r="S52" s="299">
        <v>0</v>
      </c>
      <c r="T52" s="299">
        <v>0</v>
      </c>
      <c r="U52" s="299">
        <v>0</v>
      </c>
      <c r="V52" s="299">
        <v>0</v>
      </c>
      <c r="W52" s="299">
        <v>0</v>
      </c>
      <c r="X52" s="299">
        <v>0</v>
      </c>
      <c r="Y52" s="278">
        <v>0</v>
      </c>
      <c r="Z52" s="278">
        <v>0</v>
      </c>
      <c r="AA52" s="278">
        <v>0.02</v>
      </c>
      <c r="AB52" s="299">
        <v>0</v>
      </c>
      <c r="AC52" s="299">
        <v>0</v>
      </c>
      <c r="AD52" s="278">
        <v>0.02</v>
      </c>
      <c r="AE52" s="281" t="s">
        <v>71</v>
      </c>
      <c r="AF52" s="281" t="s">
        <v>117</v>
      </c>
      <c r="AG52" s="281" t="s">
        <v>57</v>
      </c>
      <c r="AH52" s="281" t="s">
        <v>2434</v>
      </c>
      <c r="AI52" s="276" t="s">
        <v>2435</v>
      </c>
      <c r="AJ52" s="300">
        <v>4800</v>
      </c>
      <c r="AK52" s="281" t="s">
        <v>305</v>
      </c>
    </row>
    <row r="53" spans="1:37" ht="15" thickBot="1" x14ac:dyDescent="0.4">
      <c r="A53" s="276">
        <v>41101216</v>
      </c>
      <c r="B53" s="289" t="s">
        <v>83</v>
      </c>
      <c r="C53" s="289" t="s">
        <v>83</v>
      </c>
      <c r="D53" s="289" t="s">
        <v>2436</v>
      </c>
      <c r="E53" s="276" t="s">
        <v>2437</v>
      </c>
      <c r="F53" s="276" t="s">
        <v>2438</v>
      </c>
      <c r="G53" s="278">
        <v>660</v>
      </c>
      <c r="H53" s="750">
        <v>42599</v>
      </c>
      <c r="I53" s="284">
        <v>1220</v>
      </c>
      <c r="J53" s="299">
        <v>170816</v>
      </c>
      <c r="K53" s="299">
        <v>1230</v>
      </c>
      <c r="L53" s="284">
        <v>170816</v>
      </c>
      <c r="M53" s="284">
        <v>1345</v>
      </c>
      <c r="N53" s="302" t="s">
        <v>2292</v>
      </c>
      <c r="O53" s="299">
        <v>0</v>
      </c>
      <c r="P53" s="299">
        <v>0</v>
      </c>
      <c r="Q53" s="299">
        <v>0.04</v>
      </c>
      <c r="R53" s="299">
        <v>0</v>
      </c>
      <c r="S53" s="299">
        <v>0</v>
      </c>
      <c r="T53" s="299">
        <v>0</v>
      </c>
      <c r="U53" s="299">
        <v>0</v>
      </c>
      <c r="V53" s="299">
        <v>0</v>
      </c>
      <c r="W53" s="299">
        <v>0</v>
      </c>
      <c r="X53" s="299">
        <v>0</v>
      </c>
      <c r="Y53" s="278">
        <v>0</v>
      </c>
      <c r="Z53" s="278">
        <v>0</v>
      </c>
      <c r="AA53" s="278">
        <v>0.04</v>
      </c>
      <c r="AB53" s="299">
        <v>0</v>
      </c>
      <c r="AC53" s="299">
        <v>0</v>
      </c>
      <c r="AD53" s="278">
        <v>0.04</v>
      </c>
      <c r="AE53" s="281" t="s">
        <v>117</v>
      </c>
      <c r="AF53" s="281" t="s">
        <v>117</v>
      </c>
      <c r="AG53" s="281" t="s">
        <v>57</v>
      </c>
      <c r="AH53" s="281" t="s">
        <v>2434</v>
      </c>
      <c r="AI53" s="281" t="s">
        <v>73</v>
      </c>
      <c r="AJ53" s="300">
        <v>9600</v>
      </c>
      <c r="AK53" s="281" t="s">
        <v>305</v>
      </c>
    </row>
    <row r="54" spans="1:37" x14ac:dyDescent="0.35">
      <c r="A54" s="276">
        <v>42101416</v>
      </c>
      <c r="B54" s="289" t="s">
        <v>198</v>
      </c>
      <c r="C54" s="289" t="s">
        <v>1961</v>
      </c>
      <c r="D54" s="289" t="s">
        <v>2439</v>
      </c>
      <c r="E54" s="276" t="s">
        <v>2440</v>
      </c>
      <c r="F54" s="276" t="s">
        <v>2441</v>
      </c>
      <c r="G54" s="278">
        <v>560</v>
      </c>
      <c r="H54" s="750">
        <v>42601</v>
      </c>
      <c r="I54" s="284">
        <v>1240</v>
      </c>
      <c r="J54" s="294">
        <v>190816</v>
      </c>
      <c r="K54" s="294">
        <v>1300</v>
      </c>
      <c r="L54" s="284">
        <v>190816</v>
      </c>
      <c r="M54" s="284">
        <v>1900</v>
      </c>
      <c r="N54" s="303" t="s">
        <v>165</v>
      </c>
      <c r="O54" s="299">
        <v>0.5</v>
      </c>
      <c r="P54" s="299">
        <v>0</v>
      </c>
      <c r="Q54" s="299">
        <v>0</v>
      </c>
      <c r="R54" s="299">
        <v>0</v>
      </c>
      <c r="S54" s="299">
        <v>0</v>
      </c>
      <c r="T54" s="299">
        <v>0</v>
      </c>
      <c r="U54" s="299">
        <v>0</v>
      </c>
      <c r="V54" s="299">
        <v>0</v>
      </c>
      <c r="W54" s="299">
        <v>0</v>
      </c>
      <c r="X54" s="299">
        <v>0</v>
      </c>
      <c r="Y54" s="278">
        <f>SUM(O54+T54)</f>
        <v>0.5</v>
      </c>
      <c r="Z54" s="278">
        <f>SUM(P54+U54)</f>
        <v>0</v>
      </c>
      <c r="AA54" s="278">
        <f>SUM(Q54+V54)</f>
        <v>0</v>
      </c>
      <c r="AB54" s="299">
        <f>SUM(R54+W54)</f>
        <v>0</v>
      </c>
      <c r="AC54" s="299">
        <f>SUM(S54+X54)</f>
        <v>0</v>
      </c>
      <c r="AD54" s="278">
        <f>SUM(Y54+Z54+AA54)</f>
        <v>0.5</v>
      </c>
      <c r="AE54" s="276" t="s">
        <v>2004</v>
      </c>
      <c r="AF54" s="276" t="s">
        <v>117</v>
      </c>
      <c r="AG54" s="276" t="s">
        <v>57</v>
      </c>
      <c r="AH54" s="276" t="s">
        <v>2442</v>
      </c>
      <c r="AI54" s="281" t="s">
        <v>2443</v>
      </c>
      <c r="AJ54" s="300">
        <v>50000</v>
      </c>
      <c r="AK54" s="281" t="s">
        <v>305</v>
      </c>
    </row>
    <row r="55" spans="1:37" x14ac:dyDescent="0.35">
      <c r="A55" s="276">
        <v>43104316</v>
      </c>
      <c r="B55" s="289" t="s">
        <v>101</v>
      </c>
      <c r="C55" s="289" t="s">
        <v>186</v>
      </c>
      <c r="D55" s="289" t="s">
        <v>2444</v>
      </c>
      <c r="E55" s="407"/>
      <c r="F55" s="407"/>
      <c r="G55" s="407"/>
      <c r="H55" s="750">
        <v>42602</v>
      </c>
      <c r="I55" s="284">
        <v>1110</v>
      </c>
      <c r="J55" s="284"/>
      <c r="K55" s="284"/>
      <c r="L55" s="284">
        <v>200816</v>
      </c>
      <c r="M55" s="284">
        <v>1505</v>
      </c>
      <c r="N55" s="278" t="s">
        <v>62</v>
      </c>
      <c r="O55" s="299">
        <v>0.5</v>
      </c>
      <c r="P55" s="299">
        <v>0</v>
      </c>
      <c r="Q55" s="299">
        <v>0</v>
      </c>
      <c r="R55" s="299">
        <v>0</v>
      </c>
      <c r="S55" s="299">
        <v>0</v>
      </c>
      <c r="T55" s="299">
        <v>0</v>
      </c>
      <c r="U55" s="299">
        <v>0</v>
      </c>
      <c r="V55" s="299">
        <v>0</v>
      </c>
      <c r="W55" s="299">
        <v>0</v>
      </c>
      <c r="X55" s="299">
        <v>0</v>
      </c>
      <c r="Y55" s="278">
        <v>0.5</v>
      </c>
      <c r="Z55" s="278">
        <f>SUM(P55+U55)</f>
        <v>0</v>
      </c>
      <c r="AA55" s="278">
        <f>SUM(Q55+V55)</f>
        <v>0</v>
      </c>
      <c r="AB55" s="299">
        <f>SUM(R55+W55)</f>
        <v>0</v>
      </c>
      <c r="AC55" s="299">
        <f>SUM(S55+X55)</f>
        <v>0</v>
      </c>
      <c r="AD55" s="278">
        <f>SUM(Y55+Z55+AA55)</f>
        <v>0.5</v>
      </c>
      <c r="AE55" s="276" t="s">
        <v>66</v>
      </c>
      <c r="AF55" s="276" t="s">
        <v>117</v>
      </c>
      <c r="AG55" s="276" t="s">
        <v>72</v>
      </c>
      <c r="AH55" s="276" t="s">
        <v>2445</v>
      </c>
      <c r="AI55" s="276" t="s">
        <v>2446</v>
      </c>
      <c r="AJ55" s="300">
        <v>400000</v>
      </c>
      <c r="AK55" s="281" t="s">
        <v>305</v>
      </c>
    </row>
    <row r="56" spans="1:37" x14ac:dyDescent="0.35">
      <c r="A56" s="276">
        <v>44102316</v>
      </c>
      <c r="B56" s="286" t="s">
        <v>68</v>
      </c>
      <c r="C56" s="289" t="s">
        <v>2324</v>
      </c>
      <c r="D56" s="289" t="s">
        <v>2447</v>
      </c>
      <c r="E56" s="276" t="s">
        <v>2448</v>
      </c>
      <c r="F56" s="276" t="s">
        <v>2449</v>
      </c>
      <c r="G56" s="299">
        <v>910</v>
      </c>
      <c r="H56" s="750">
        <v>42602</v>
      </c>
      <c r="I56" s="299">
        <v>1540</v>
      </c>
      <c r="J56" s="284">
        <v>200816</v>
      </c>
      <c r="K56" s="299">
        <v>1555</v>
      </c>
      <c r="L56" s="284">
        <v>200816</v>
      </c>
      <c r="M56" s="299">
        <v>1655</v>
      </c>
      <c r="N56" s="278" t="s">
        <v>1352</v>
      </c>
      <c r="O56" s="299">
        <v>0</v>
      </c>
      <c r="P56" s="299">
        <v>0</v>
      </c>
      <c r="Q56" s="299">
        <v>0</v>
      </c>
      <c r="R56" s="299">
        <v>0</v>
      </c>
      <c r="S56" s="299">
        <v>0</v>
      </c>
      <c r="T56" s="299">
        <v>0</v>
      </c>
      <c r="U56" s="299">
        <v>0.5</v>
      </c>
      <c r="V56" s="299">
        <v>0</v>
      </c>
      <c r="W56" s="299">
        <v>0</v>
      </c>
      <c r="X56" s="299">
        <v>0</v>
      </c>
      <c r="Y56" s="278">
        <v>0</v>
      </c>
      <c r="Z56" s="278">
        <v>0.5</v>
      </c>
      <c r="AA56" s="278">
        <v>0</v>
      </c>
      <c r="AB56" s="299">
        <v>0</v>
      </c>
      <c r="AC56" s="299">
        <v>0</v>
      </c>
      <c r="AD56" s="278">
        <v>0.5</v>
      </c>
      <c r="AE56" s="276" t="s">
        <v>188</v>
      </c>
      <c r="AF56" s="276" t="s">
        <v>117</v>
      </c>
      <c r="AG56" s="276" t="s">
        <v>493</v>
      </c>
      <c r="AH56" s="276" t="s">
        <v>2412</v>
      </c>
      <c r="AI56" s="276" t="s">
        <v>73</v>
      </c>
      <c r="AJ56" s="300">
        <v>62500</v>
      </c>
      <c r="AK56" s="281" t="s">
        <v>305</v>
      </c>
    </row>
    <row r="57" spans="1:37" x14ac:dyDescent="0.35">
      <c r="A57" s="276">
        <v>45</v>
      </c>
      <c r="B57" s="289" t="s">
        <v>1423</v>
      </c>
      <c r="C57" s="289" t="s">
        <v>1424</v>
      </c>
      <c r="D57" s="289" t="s">
        <v>2450</v>
      </c>
      <c r="E57" s="298" t="s">
        <v>2451</v>
      </c>
      <c r="F57" s="298" t="s">
        <v>2452</v>
      </c>
      <c r="G57" s="299">
        <v>670</v>
      </c>
      <c r="H57" s="750">
        <v>42602</v>
      </c>
      <c r="I57" s="299">
        <v>1700</v>
      </c>
      <c r="J57" s="284">
        <v>200816</v>
      </c>
      <c r="K57" s="299">
        <v>1720</v>
      </c>
      <c r="L57" s="284">
        <v>200816</v>
      </c>
      <c r="M57" s="299">
        <v>1945</v>
      </c>
      <c r="N57" s="278" t="s">
        <v>1352</v>
      </c>
      <c r="O57" s="299">
        <v>0</v>
      </c>
      <c r="P57" s="299">
        <v>0</v>
      </c>
      <c r="Q57" s="299">
        <v>0</v>
      </c>
      <c r="R57" s="299">
        <v>0</v>
      </c>
      <c r="S57" s="299">
        <v>0</v>
      </c>
      <c r="T57" s="299">
        <v>0.04</v>
      </c>
      <c r="U57" s="299">
        <v>0.06</v>
      </c>
      <c r="V57" s="299">
        <v>0</v>
      </c>
      <c r="W57" s="299">
        <v>0</v>
      </c>
      <c r="X57" s="299">
        <v>0</v>
      </c>
      <c r="Y57" s="278">
        <v>0.04</v>
      </c>
      <c r="Z57" s="278">
        <v>0.06</v>
      </c>
      <c r="AA57" s="278">
        <v>0</v>
      </c>
      <c r="AB57" s="299">
        <v>0</v>
      </c>
      <c r="AC57" s="299">
        <v>0</v>
      </c>
      <c r="AD57" s="278">
        <v>0.1</v>
      </c>
      <c r="AE57" s="281" t="s">
        <v>117</v>
      </c>
      <c r="AF57" s="276" t="s">
        <v>117</v>
      </c>
      <c r="AG57" s="281" t="s">
        <v>72</v>
      </c>
      <c r="AH57" s="281" t="s">
        <v>2453</v>
      </c>
      <c r="AI57" s="281" t="s">
        <v>65</v>
      </c>
      <c r="AJ57" s="300">
        <v>150000</v>
      </c>
      <c r="AK57" s="281" t="s">
        <v>305</v>
      </c>
    </row>
    <row r="58" spans="1:37" ht="15" thickBot="1" x14ac:dyDescent="0.4">
      <c r="A58" s="276">
        <v>46101816</v>
      </c>
      <c r="B58" s="286" t="s">
        <v>49</v>
      </c>
      <c r="C58" s="286" t="s">
        <v>137</v>
      </c>
      <c r="D58" s="286" t="s">
        <v>2454</v>
      </c>
      <c r="E58" s="276" t="s">
        <v>2455</v>
      </c>
      <c r="F58" s="276" t="s">
        <v>2456</v>
      </c>
      <c r="G58" s="278">
        <v>891</v>
      </c>
      <c r="H58" s="750">
        <v>42603</v>
      </c>
      <c r="I58" s="299">
        <v>1520</v>
      </c>
      <c r="J58" s="284">
        <v>210816</v>
      </c>
      <c r="K58" s="299">
        <v>1550</v>
      </c>
      <c r="L58" s="284">
        <v>200816</v>
      </c>
      <c r="M58" s="299">
        <v>1740</v>
      </c>
      <c r="N58" s="302" t="s">
        <v>2292</v>
      </c>
      <c r="O58" s="299">
        <v>0</v>
      </c>
      <c r="P58" s="299">
        <v>0</v>
      </c>
      <c r="Q58" s="299">
        <v>0.5</v>
      </c>
      <c r="R58" s="299">
        <v>0</v>
      </c>
      <c r="S58" s="299">
        <v>0</v>
      </c>
      <c r="T58" s="299">
        <v>0</v>
      </c>
      <c r="U58" s="299">
        <v>0</v>
      </c>
      <c r="V58" s="299">
        <v>0</v>
      </c>
      <c r="W58" s="299">
        <v>0</v>
      </c>
      <c r="X58" s="299">
        <v>0</v>
      </c>
      <c r="Y58" s="278">
        <v>0</v>
      </c>
      <c r="Z58" s="278">
        <v>0</v>
      </c>
      <c r="AA58" s="278">
        <v>0.5</v>
      </c>
      <c r="AB58" s="299">
        <v>0</v>
      </c>
      <c r="AC58" s="299">
        <v>0</v>
      </c>
      <c r="AD58" s="278">
        <v>0.5</v>
      </c>
      <c r="AE58" s="276" t="s">
        <v>2004</v>
      </c>
      <c r="AF58" s="276" t="s">
        <v>117</v>
      </c>
      <c r="AG58" s="276" t="s">
        <v>57</v>
      </c>
      <c r="AH58" s="281"/>
      <c r="AI58" s="276" t="s">
        <v>2403</v>
      </c>
      <c r="AJ58" s="300">
        <v>1000000</v>
      </c>
      <c r="AK58" s="281" t="s">
        <v>305</v>
      </c>
    </row>
    <row r="59" spans="1:37" x14ac:dyDescent="0.35">
      <c r="A59" s="276">
        <v>47101816</v>
      </c>
      <c r="B59" s="286" t="s">
        <v>49</v>
      </c>
      <c r="C59" s="286" t="s">
        <v>150</v>
      </c>
      <c r="D59" s="286" t="s">
        <v>2457</v>
      </c>
      <c r="E59" s="276" t="s">
        <v>2458</v>
      </c>
      <c r="F59" s="276" t="s">
        <v>2459</v>
      </c>
      <c r="G59" s="278">
        <v>857</v>
      </c>
      <c r="H59" s="750">
        <v>42605</v>
      </c>
      <c r="I59" s="299">
        <v>1345</v>
      </c>
      <c r="J59" s="284">
        <v>230816</v>
      </c>
      <c r="K59" s="299">
        <v>1400</v>
      </c>
      <c r="L59" s="284">
        <v>230816</v>
      </c>
      <c r="M59" s="299">
        <v>1620</v>
      </c>
      <c r="N59" s="278" t="s">
        <v>62</v>
      </c>
      <c r="O59" s="299">
        <v>0.3</v>
      </c>
      <c r="P59" s="299">
        <v>0</v>
      </c>
      <c r="Q59" s="299">
        <v>0.2</v>
      </c>
      <c r="R59" s="299">
        <v>0</v>
      </c>
      <c r="S59" s="299">
        <v>0</v>
      </c>
      <c r="T59" s="299">
        <v>0</v>
      </c>
      <c r="U59" s="299">
        <v>0</v>
      </c>
      <c r="V59" s="299">
        <v>0</v>
      </c>
      <c r="W59" s="299">
        <v>0</v>
      </c>
      <c r="X59" s="299">
        <v>0</v>
      </c>
      <c r="Y59" s="278">
        <v>0.3</v>
      </c>
      <c r="Z59" s="278">
        <v>0</v>
      </c>
      <c r="AA59" s="278">
        <v>0.2</v>
      </c>
      <c r="AB59" s="299">
        <v>0</v>
      </c>
      <c r="AC59" s="299">
        <v>0</v>
      </c>
      <c r="AD59" s="278">
        <v>0.5</v>
      </c>
      <c r="AE59" s="276" t="s">
        <v>2004</v>
      </c>
      <c r="AF59" s="276" t="s">
        <v>117</v>
      </c>
      <c r="AG59" s="276" t="s">
        <v>57</v>
      </c>
      <c r="AH59" s="281"/>
      <c r="AI59" s="276" t="s">
        <v>73</v>
      </c>
      <c r="AJ59" s="300">
        <v>150000</v>
      </c>
      <c r="AK59" s="281" t="s">
        <v>305</v>
      </c>
    </row>
    <row r="60" spans="1:37" x14ac:dyDescent="0.35">
      <c r="A60" s="276">
        <v>48102316</v>
      </c>
      <c r="B60" s="289" t="s">
        <v>68</v>
      </c>
      <c r="C60" s="289" t="s">
        <v>2324</v>
      </c>
      <c r="D60" s="286" t="s">
        <v>2460</v>
      </c>
      <c r="E60" s="276" t="s">
        <v>2461</v>
      </c>
      <c r="F60" s="276" t="s">
        <v>2462</v>
      </c>
      <c r="G60" s="299">
        <v>930</v>
      </c>
      <c r="H60" s="750">
        <v>42605</v>
      </c>
      <c r="I60" s="299">
        <v>1630</v>
      </c>
      <c r="J60" s="284">
        <v>230816</v>
      </c>
      <c r="K60" s="299">
        <v>1645</v>
      </c>
      <c r="L60" s="284">
        <v>230816</v>
      </c>
      <c r="M60" s="299">
        <v>1830</v>
      </c>
      <c r="N60" s="278" t="s">
        <v>1517</v>
      </c>
      <c r="O60" s="299">
        <v>0</v>
      </c>
      <c r="P60" s="299">
        <v>1</v>
      </c>
      <c r="Q60" s="299">
        <v>0</v>
      </c>
      <c r="R60" s="299">
        <v>0</v>
      </c>
      <c r="S60" s="299">
        <v>0</v>
      </c>
      <c r="T60" s="299">
        <v>0</v>
      </c>
      <c r="U60" s="299">
        <v>0</v>
      </c>
      <c r="V60" s="299">
        <v>0</v>
      </c>
      <c r="W60" s="299">
        <v>0</v>
      </c>
      <c r="X60" s="299">
        <v>0</v>
      </c>
      <c r="Y60" s="278">
        <v>0</v>
      </c>
      <c r="Z60" s="278">
        <v>1</v>
      </c>
      <c r="AA60" s="278">
        <v>0</v>
      </c>
      <c r="AB60" s="299">
        <v>0</v>
      </c>
      <c r="AC60" s="299">
        <v>0</v>
      </c>
      <c r="AD60" s="278">
        <v>1</v>
      </c>
      <c r="AE60" s="281" t="s">
        <v>2004</v>
      </c>
      <c r="AF60" s="281" t="s">
        <v>117</v>
      </c>
      <c r="AG60" s="281" t="s">
        <v>493</v>
      </c>
      <c r="AH60" s="276" t="s">
        <v>2412</v>
      </c>
      <c r="AI60" s="276" t="s">
        <v>73</v>
      </c>
      <c r="AJ60" s="300">
        <v>75000</v>
      </c>
      <c r="AK60" s="281" t="s">
        <v>305</v>
      </c>
    </row>
    <row r="61" spans="1:37" x14ac:dyDescent="0.35">
      <c r="A61" s="276">
        <v>49101216</v>
      </c>
      <c r="B61" s="289" t="s">
        <v>83</v>
      </c>
      <c r="C61" s="289" t="s">
        <v>95</v>
      </c>
      <c r="D61" s="289" t="s">
        <v>2463</v>
      </c>
      <c r="E61" s="276" t="s">
        <v>2464</v>
      </c>
      <c r="F61" s="276" t="s">
        <v>2465</v>
      </c>
      <c r="G61" s="278">
        <v>580</v>
      </c>
      <c r="H61" s="750">
        <v>42606</v>
      </c>
      <c r="I61" s="299">
        <v>1150</v>
      </c>
      <c r="J61" s="284">
        <v>240816</v>
      </c>
      <c r="K61" s="299">
        <v>1200</v>
      </c>
      <c r="L61" s="284">
        <v>240816</v>
      </c>
      <c r="M61" s="299">
        <v>1315</v>
      </c>
      <c r="N61" s="303" t="s">
        <v>165</v>
      </c>
      <c r="O61" s="299">
        <v>0.5</v>
      </c>
      <c r="P61" s="299">
        <v>0</v>
      </c>
      <c r="Q61" s="299">
        <v>0</v>
      </c>
      <c r="R61" s="299">
        <v>0</v>
      </c>
      <c r="S61" s="299">
        <v>0</v>
      </c>
      <c r="T61" s="299">
        <v>0</v>
      </c>
      <c r="U61" s="299">
        <v>0</v>
      </c>
      <c r="V61" s="299">
        <v>0</v>
      </c>
      <c r="W61" s="299">
        <v>0</v>
      </c>
      <c r="X61" s="299">
        <v>0</v>
      </c>
      <c r="Y61" s="278">
        <f>SUM(O61+T61)</f>
        <v>0.5</v>
      </c>
      <c r="Z61" s="278">
        <f>SUM(P61+U61)</f>
        <v>0</v>
      </c>
      <c r="AA61" s="278">
        <f>SUM(Q61+V61)</f>
        <v>0</v>
      </c>
      <c r="AB61" s="299">
        <f>SUM(R61+W61)</f>
        <v>0</v>
      </c>
      <c r="AC61" s="299">
        <f>SUM(S61+X61)</f>
        <v>0</v>
      </c>
      <c r="AD61" s="278">
        <f>SUM(Y61+Z61+AA61)</f>
        <v>0.5</v>
      </c>
      <c r="AE61" s="281" t="s">
        <v>117</v>
      </c>
      <c r="AF61" s="281" t="s">
        <v>117</v>
      </c>
      <c r="AG61" s="281" t="s">
        <v>57</v>
      </c>
      <c r="AH61" s="281" t="s">
        <v>2434</v>
      </c>
      <c r="AI61" s="276" t="s">
        <v>73</v>
      </c>
      <c r="AJ61" s="300">
        <v>121500</v>
      </c>
      <c r="AK61" s="281" t="s">
        <v>305</v>
      </c>
    </row>
    <row r="62" spans="1:37" x14ac:dyDescent="0.35">
      <c r="A62" s="297">
        <v>50101816</v>
      </c>
      <c r="B62" s="289" t="s">
        <v>49</v>
      </c>
      <c r="C62" s="289" t="s">
        <v>49</v>
      </c>
      <c r="D62" s="289" t="s">
        <v>2466</v>
      </c>
      <c r="E62" s="276" t="s">
        <v>2467</v>
      </c>
      <c r="F62" s="276" t="s">
        <v>2468</v>
      </c>
      <c r="G62" s="278">
        <v>482</v>
      </c>
      <c r="H62" s="750">
        <v>42608</v>
      </c>
      <c r="I62" s="299">
        <v>1030</v>
      </c>
      <c r="J62" s="284">
        <v>260816</v>
      </c>
      <c r="K62" s="299">
        <v>1045</v>
      </c>
      <c r="L62" s="284">
        <v>260816</v>
      </c>
      <c r="M62" s="299">
        <v>1145</v>
      </c>
      <c r="N62" s="278" t="s">
        <v>62</v>
      </c>
      <c r="O62" s="299">
        <v>0.01</v>
      </c>
      <c r="P62" s="299">
        <v>0</v>
      </c>
      <c r="Q62" s="299">
        <v>0</v>
      </c>
      <c r="R62" s="299">
        <v>0</v>
      </c>
      <c r="S62" s="299">
        <v>0</v>
      </c>
      <c r="T62" s="299">
        <v>0</v>
      </c>
      <c r="U62" s="299">
        <v>0</v>
      </c>
      <c r="V62" s="299">
        <v>0</v>
      </c>
      <c r="W62" s="299">
        <v>0</v>
      </c>
      <c r="X62" s="299">
        <v>0</v>
      </c>
      <c r="Y62" s="278">
        <v>0.01</v>
      </c>
      <c r="Z62" s="278">
        <v>0</v>
      </c>
      <c r="AA62" s="278">
        <v>0</v>
      </c>
      <c r="AB62" s="299">
        <v>0</v>
      </c>
      <c r="AC62" s="299">
        <v>0</v>
      </c>
      <c r="AD62" s="278">
        <v>0.01</v>
      </c>
      <c r="AE62" s="276" t="s">
        <v>2004</v>
      </c>
      <c r="AF62" s="276" t="s">
        <v>117</v>
      </c>
      <c r="AG62" s="276" t="s">
        <v>57</v>
      </c>
      <c r="AH62" s="281"/>
      <c r="AI62" s="276" t="s">
        <v>73</v>
      </c>
      <c r="AJ62" s="300">
        <v>50000</v>
      </c>
      <c r="AK62" s="281" t="s">
        <v>305</v>
      </c>
    </row>
    <row r="63" spans="1:37" x14ac:dyDescent="0.35">
      <c r="A63" s="281">
        <v>51100116</v>
      </c>
      <c r="B63" s="289" t="s">
        <v>145</v>
      </c>
      <c r="C63" s="289" t="s">
        <v>2469</v>
      </c>
      <c r="D63" s="289" t="s">
        <v>2470</v>
      </c>
      <c r="E63" s="276" t="s">
        <v>2471</v>
      </c>
      <c r="F63" s="276" t="s">
        <v>2472</v>
      </c>
      <c r="G63" s="278">
        <v>700</v>
      </c>
      <c r="H63" s="750">
        <v>42608</v>
      </c>
      <c r="I63" s="299">
        <v>1118</v>
      </c>
      <c r="J63" s="284">
        <v>260816</v>
      </c>
      <c r="K63" s="299">
        <v>1130</v>
      </c>
      <c r="L63" s="284">
        <v>260816</v>
      </c>
      <c r="M63" s="299">
        <v>1400</v>
      </c>
      <c r="N63" s="278" t="s">
        <v>1352</v>
      </c>
      <c r="O63" s="299">
        <v>0</v>
      </c>
      <c r="P63" s="299">
        <v>0</v>
      </c>
      <c r="Q63" s="299">
        <v>0</v>
      </c>
      <c r="R63" s="299">
        <v>0</v>
      </c>
      <c r="S63" s="299">
        <v>0</v>
      </c>
      <c r="T63" s="299">
        <v>0</v>
      </c>
      <c r="U63" s="299">
        <v>0.1</v>
      </c>
      <c r="V63" s="299">
        <v>0</v>
      </c>
      <c r="W63" s="299">
        <v>0</v>
      </c>
      <c r="X63" s="299">
        <v>0</v>
      </c>
      <c r="Y63" s="278">
        <v>0</v>
      </c>
      <c r="Z63" s="278">
        <v>0.1</v>
      </c>
      <c r="AA63" s="278">
        <v>0</v>
      </c>
      <c r="AB63" s="299">
        <v>0</v>
      </c>
      <c r="AC63" s="299">
        <v>0</v>
      </c>
      <c r="AD63" s="278">
        <v>0.1</v>
      </c>
      <c r="AE63" s="281" t="s">
        <v>117</v>
      </c>
      <c r="AF63" s="281" t="s">
        <v>117</v>
      </c>
      <c r="AG63" s="281" t="s">
        <v>57</v>
      </c>
      <c r="AH63" s="281" t="s">
        <v>2434</v>
      </c>
      <c r="AI63" s="276" t="s">
        <v>73</v>
      </c>
      <c r="AJ63" s="300">
        <v>24600</v>
      </c>
      <c r="AK63" s="281" t="s">
        <v>305</v>
      </c>
    </row>
    <row r="64" spans="1:37" x14ac:dyDescent="0.35">
      <c r="A64" s="281">
        <v>52103216</v>
      </c>
      <c r="B64" s="289" t="s">
        <v>2287</v>
      </c>
      <c r="C64" s="289" t="s">
        <v>79</v>
      </c>
      <c r="D64" s="289" t="s">
        <v>2473</v>
      </c>
      <c r="E64" s="276" t="s">
        <v>2474</v>
      </c>
      <c r="F64" s="276" t="s">
        <v>2475</v>
      </c>
      <c r="G64" s="278">
        <v>1004</v>
      </c>
      <c r="H64" s="750">
        <v>42609</v>
      </c>
      <c r="I64" s="299">
        <v>1430</v>
      </c>
      <c r="J64" s="284">
        <v>270816</v>
      </c>
      <c r="K64" s="299">
        <v>1500</v>
      </c>
      <c r="L64" s="284">
        <v>270816</v>
      </c>
      <c r="M64" s="299">
        <v>1700</v>
      </c>
      <c r="N64" s="278" t="s">
        <v>1352</v>
      </c>
      <c r="O64" s="299">
        <v>0</v>
      </c>
      <c r="P64" s="299">
        <v>0</v>
      </c>
      <c r="Q64" s="299">
        <v>0</v>
      </c>
      <c r="R64" s="299">
        <v>0</v>
      </c>
      <c r="S64" s="299">
        <v>0</v>
      </c>
      <c r="T64" s="299">
        <v>0</v>
      </c>
      <c r="U64" s="299">
        <v>1</v>
      </c>
      <c r="V64" s="299">
        <v>0</v>
      </c>
      <c r="W64" s="299">
        <v>0</v>
      </c>
      <c r="X64" s="299">
        <v>0</v>
      </c>
      <c r="Y64" s="278">
        <v>0</v>
      </c>
      <c r="Z64" s="278">
        <v>1</v>
      </c>
      <c r="AA64" s="278">
        <v>0</v>
      </c>
      <c r="AB64" s="299">
        <v>0</v>
      </c>
      <c r="AC64" s="299">
        <v>0</v>
      </c>
      <c r="AD64" s="278">
        <v>1</v>
      </c>
      <c r="AE64" s="281" t="s">
        <v>188</v>
      </c>
      <c r="AF64" s="281" t="s">
        <v>117</v>
      </c>
      <c r="AG64" s="276" t="s">
        <v>57</v>
      </c>
      <c r="AH64" s="281"/>
      <c r="AI64" s="276" t="s">
        <v>2476</v>
      </c>
      <c r="AJ64" s="300">
        <v>250000</v>
      </c>
      <c r="AK64" s="281" t="s">
        <v>305</v>
      </c>
    </row>
    <row r="65" spans="1:37" ht="15" thickBot="1" x14ac:dyDescent="0.4">
      <c r="A65" s="281">
        <v>53101216</v>
      </c>
      <c r="B65" s="289" t="s">
        <v>83</v>
      </c>
      <c r="C65" s="289" t="s">
        <v>83</v>
      </c>
      <c r="D65" s="289" t="s">
        <v>2477</v>
      </c>
      <c r="E65" s="276" t="s">
        <v>2478</v>
      </c>
      <c r="F65" s="276" t="s">
        <v>2479</v>
      </c>
      <c r="G65" s="278">
        <v>690</v>
      </c>
      <c r="H65" s="750">
        <v>42609</v>
      </c>
      <c r="I65" s="299">
        <v>1500</v>
      </c>
      <c r="J65" s="284">
        <v>270816</v>
      </c>
      <c r="K65" s="299">
        <v>1510</v>
      </c>
      <c r="L65" s="284">
        <v>270816</v>
      </c>
      <c r="M65" s="299">
        <v>1700</v>
      </c>
      <c r="N65" s="302" t="s">
        <v>2292</v>
      </c>
      <c r="O65" s="299">
        <v>0</v>
      </c>
      <c r="P65" s="299">
        <v>0</v>
      </c>
      <c r="Q65" s="299">
        <v>0.5</v>
      </c>
      <c r="R65" s="299">
        <v>0</v>
      </c>
      <c r="S65" s="299">
        <v>0</v>
      </c>
      <c r="T65" s="299">
        <v>0</v>
      </c>
      <c r="U65" s="299">
        <v>0</v>
      </c>
      <c r="V65" s="299">
        <v>0</v>
      </c>
      <c r="W65" s="299">
        <v>0</v>
      </c>
      <c r="X65" s="299">
        <v>0</v>
      </c>
      <c r="Y65" s="278">
        <v>0</v>
      </c>
      <c r="Z65" s="278">
        <v>0</v>
      </c>
      <c r="AA65" s="278">
        <v>0.5</v>
      </c>
      <c r="AB65" s="299">
        <v>0</v>
      </c>
      <c r="AC65" s="299">
        <v>0</v>
      </c>
      <c r="AD65" s="278">
        <v>0.5</v>
      </c>
      <c r="AE65" s="281" t="s">
        <v>117</v>
      </c>
      <c r="AF65" s="281" t="s">
        <v>117</v>
      </c>
      <c r="AG65" s="281" t="s">
        <v>57</v>
      </c>
      <c r="AH65" s="281" t="s">
        <v>2434</v>
      </c>
      <c r="AI65" s="276" t="s">
        <v>73</v>
      </c>
      <c r="AJ65" s="300">
        <v>120900</v>
      </c>
      <c r="AK65" s="281" t="s">
        <v>305</v>
      </c>
    </row>
    <row r="66" spans="1:37" x14ac:dyDescent="0.35">
      <c r="A66" s="281">
        <v>54101216</v>
      </c>
      <c r="B66" s="289" t="s">
        <v>83</v>
      </c>
      <c r="C66" s="289" t="s">
        <v>83</v>
      </c>
      <c r="D66" s="289" t="s">
        <v>2480</v>
      </c>
      <c r="E66" s="276" t="s">
        <v>2481</v>
      </c>
      <c r="F66" s="276" t="s">
        <v>2482</v>
      </c>
      <c r="G66" s="278">
        <v>740</v>
      </c>
      <c r="H66" s="750">
        <v>42609</v>
      </c>
      <c r="I66" s="299">
        <v>1600</v>
      </c>
      <c r="J66" s="284">
        <v>270816</v>
      </c>
      <c r="K66" s="299">
        <v>1610</v>
      </c>
      <c r="L66" s="284">
        <v>270816</v>
      </c>
      <c r="M66" s="299">
        <v>2200</v>
      </c>
      <c r="N66" s="278" t="s">
        <v>62</v>
      </c>
      <c r="O66" s="299">
        <v>1</v>
      </c>
      <c r="P66" s="299">
        <v>0</v>
      </c>
      <c r="Q66" s="299">
        <v>1</v>
      </c>
      <c r="R66" s="299">
        <v>0</v>
      </c>
      <c r="S66" s="299">
        <v>0</v>
      </c>
      <c r="T66" s="299">
        <v>0</v>
      </c>
      <c r="U66" s="299">
        <v>0</v>
      </c>
      <c r="V66" s="299">
        <v>0</v>
      </c>
      <c r="W66" s="299">
        <v>0</v>
      </c>
      <c r="X66" s="299">
        <v>0</v>
      </c>
      <c r="Y66" s="278">
        <v>1</v>
      </c>
      <c r="Z66" s="278">
        <v>0</v>
      </c>
      <c r="AA66" s="278">
        <v>1</v>
      </c>
      <c r="AB66" s="299">
        <v>0</v>
      </c>
      <c r="AC66" s="299">
        <v>0</v>
      </c>
      <c r="AD66" s="278">
        <v>2</v>
      </c>
      <c r="AE66" s="281" t="s">
        <v>117</v>
      </c>
      <c r="AF66" s="281" t="s">
        <v>117</v>
      </c>
      <c r="AG66" s="281" t="s">
        <v>57</v>
      </c>
      <c r="AH66" s="281" t="s">
        <v>2483</v>
      </c>
      <c r="AI66" s="276" t="s">
        <v>73</v>
      </c>
      <c r="AJ66" s="300">
        <v>484500</v>
      </c>
      <c r="AK66" s="281" t="s">
        <v>305</v>
      </c>
    </row>
    <row r="67" spans="1:37" x14ac:dyDescent="0.35">
      <c r="A67" s="281">
        <v>55101416</v>
      </c>
      <c r="B67" s="289" t="s">
        <v>198</v>
      </c>
      <c r="C67" s="289" t="s">
        <v>1961</v>
      </c>
      <c r="D67" s="289" t="s">
        <v>2484</v>
      </c>
      <c r="E67" s="276" t="s">
        <v>2485</v>
      </c>
      <c r="F67" s="276" t="s">
        <v>2486</v>
      </c>
      <c r="G67" s="278">
        <v>720</v>
      </c>
      <c r="H67" s="750">
        <v>42610</v>
      </c>
      <c r="I67" s="416">
        <v>1445</v>
      </c>
      <c r="J67" s="284">
        <v>280816</v>
      </c>
      <c r="K67" s="416">
        <v>1600</v>
      </c>
      <c r="L67" s="284">
        <v>280816</v>
      </c>
      <c r="M67" s="299">
        <v>2300</v>
      </c>
      <c r="N67" s="303" t="s">
        <v>165</v>
      </c>
      <c r="O67" s="299">
        <v>3</v>
      </c>
      <c r="P67" s="299">
        <v>0</v>
      </c>
      <c r="Q67" s="299">
        <v>0</v>
      </c>
      <c r="R67" s="299">
        <v>0</v>
      </c>
      <c r="S67" s="299">
        <v>0</v>
      </c>
      <c r="T67" s="299">
        <v>0</v>
      </c>
      <c r="U67" s="299">
        <v>0</v>
      </c>
      <c r="V67" s="299">
        <v>0</v>
      </c>
      <c r="W67" s="299">
        <v>0</v>
      </c>
      <c r="X67" s="299">
        <v>0</v>
      </c>
      <c r="Y67" s="278">
        <v>3</v>
      </c>
      <c r="Z67" s="278">
        <v>0</v>
      </c>
      <c r="AA67" s="278">
        <v>0</v>
      </c>
      <c r="AB67" s="299">
        <v>0</v>
      </c>
      <c r="AC67" s="299">
        <v>0</v>
      </c>
      <c r="AD67" s="278">
        <v>3</v>
      </c>
      <c r="AE67" s="276" t="s">
        <v>2004</v>
      </c>
      <c r="AF67" s="276" t="s">
        <v>117</v>
      </c>
      <c r="AG67" s="276" t="s">
        <v>57</v>
      </c>
      <c r="AH67" s="276" t="s">
        <v>2442</v>
      </c>
      <c r="AI67" s="281" t="s">
        <v>2443</v>
      </c>
      <c r="AJ67" s="300">
        <v>300000</v>
      </c>
      <c r="AK67" s="281" t="s">
        <v>305</v>
      </c>
    </row>
    <row r="68" spans="1:37" x14ac:dyDescent="0.35">
      <c r="A68" s="417">
        <v>56103216</v>
      </c>
      <c r="B68" s="289" t="s">
        <v>2287</v>
      </c>
      <c r="C68" s="289" t="s">
        <v>107</v>
      </c>
      <c r="D68" s="289" t="s">
        <v>2487</v>
      </c>
      <c r="E68" s="276" t="s">
        <v>2488</v>
      </c>
      <c r="F68" s="276" t="s">
        <v>2489</v>
      </c>
      <c r="G68" s="278">
        <v>1031</v>
      </c>
      <c r="H68" s="750">
        <v>42610</v>
      </c>
      <c r="I68" s="299">
        <v>1530</v>
      </c>
      <c r="J68" s="284">
        <v>280816</v>
      </c>
      <c r="K68" s="299">
        <v>1600</v>
      </c>
      <c r="L68" s="284">
        <v>280816</v>
      </c>
      <c r="M68" s="299">
        <v>1730</v>
      </c>
      <c r="N68" s="278" t="s">
        <v>1352</v>
      </c>
      <c r="O68" s="299">
        <v>0</v>
      </c>
      <c r="P68" s="299">
        <v>0</v>
      </c>
      <c r="Q68" s="299">
        <v>0</v>
      </c>
      <c r="R68" s="299">
        <v>0</v>
      </c>
      <c r="S68" s="299">
        <v>0</v>
      </c>
      <c r="T68" s="299">
        <v>0</v>
      </c>
      <c r="U68" s="299">
        <v>0.25</v>
      </c>
      <c r="V68" s="299">
        <v>0</v>
      </c>
      <c r="W68" s="299">
        <v>0</v>
      </c>
      <c r="X68" s="299">
        <v>0</v>
      </c>
      <c r="Y68" s="278">
        <v>0</v>
      </c>
      <c r="Z68" s="278">
        <v>0.25</v>
      </c>
      <c r="AA68" s="278">
        <v>0</v>
      </c>
      <c r="AB68" s="299">
        <v>0</v>
      </c>
      <c r="AC68" s="299">
        <v>0</v>
      </c>
      <c r="AD68" s="278">
        <v>0.25</v>
      </c>
      <c r="AE68" s="281" t="s">
        <v>2004</v>
      </c>
      <c r="AF68" s="281" t="s">
        <v>117</v>
      </c>
      <c r="AG68" s="276" t="s">
        <v>57</v>
      </c>
      <c r="AH68" s="281"/>
      <c r="AI68" s="276" t="s">
        <v>2490</v>
      </c>
      <c r="AJ68" s="300">
        <v>60000</v>
      </c>
      <c r="AK68" s="281" t="s">
        <v>305</v>
      </c>
    </row>
    <row r="69" spans="1:37" x14ac:dyDescent="0.35">
      <c r="A69" s="417">
        <v>57102316</v>
      </c>
      <c r="B69" s="286" t="s">
        <v>68</v>
      </c>
      <c r="C69" s="286" t="s">
        <v>68</v>
      </c>
      <c r="D69" s="289" t="s">
        <v>2491</v>
      </c>
      <c r="E69" s="276" t="s">
        <v>2492</v>
      </c>
      <c r="F69" s="276" t="s">
        <v>2493</v>
      </c>
      <c r="G69" s="299">
        <v>830</v>
      </c>
      <c r="H69" s="750">
        <v>42610</v>
      </c>
      <c r="I69" s="299">
        <v>1700</v>
      </c>
      <c r="J69" s="284">
        <v>280816</v>
      </c>
      <c r="K69" s="299">
        <v>2230</v>
      </c>
      <c r="L69" s="284">
        <v>280816</v>
      </c>
      <c r="M69" s="299">
        <v>2230</v>
      </c>
      <c r="N69" s="278" t="s">
        <v>1352</v>
      </c>
      <c r="O69" s="299">
        <v>0.5</v>
      </c>
      <c r="P69" s="299">
        <v>0</v>
      </c>
      <c r="Q69" s="299">
        <v>0</v>
      </c>
      <c r="R69" s="299">
        <v>0</v>
      </c>
      <c r="S69" s="299">
        <v>0</v>
      </c>
      <c r="T69" s="299">
        <v>0</v>
      </c>
      <c r="U69" s="299">
        <v>1</v>
      </c>
      <c r="V69" s="299">
        <v>0</v>
      </c>
      <c r="W69" s="299">
        <v>0</v>
      </c>
      <c r="X69" s="299">
        <v>0</v>
      </c>
      <c r="Y69" s="278">
        <v>0.5</v>
      </c>
      <c r="Z69" s="278">
        <v>1</v>
      </c>
      <c r="AA69" s="278">
        <v>0</v>
      </c>
      <c r="AB69" s="299">
        <v>0</v>
      </c>
      <c r="AC69" s="299">
        <v>0</v>
      </c>
      <c r="AD69" s="278">
        <v>1.5</v>
      </c>
      <c r="AE69" s="276" t="s">
        <v>188</v>
      </c>
      <c r="AF69" s="276" t="s">
        <v>117</v>
      </c>
      <c r="AG69" s="276" t="s">
        <v>57</v>
      </c>
      <c r="AH69" s="276" t="s">
        <v>2494</v>
      </c>
      <c r="AI69" s="276" t="s">
        <v>73</v>
      </c>
      <c r="AJ69" s="300">
        <v>850000</v>
      </c>
      <c r="AK69" s="281" t="s">
        <v>305</v>
      </c>
    </row>
    <row r="70" spans="1:37" x14ac:dyDescent="0.35">
      <c r="A70" s="418">
        <v>58101416</v>
      </c>
      <c r="B70" s="289" t="s">
        <v>198</v>
      </c>
      <c r="C70" s="289" t="s">
        <v>1961</v>
      </c>
      <c r="D70" s="289" t="s">
        <v>2484</v>
      </c>
      <c r="E70" s="276" t="s">
        <v>2495</v>
      </c>
      <c r="F70" s="276" t="s">
        <v>2496</v>
      </c>
      <c r="G70" s="278">
        <v>700</v>
      </c>
      <c r="H70" s="750">
        <v>42611</v>
      </c>
      <c r="I70" s="299">
        <v>1200</v>
      </c>
      <c r="J70" s="284">
        <v>290816</v>
      </c>
      <c r="K70" s="299">
        <v>1220</v>
      </c>
      <c r="L70" s="284">
        <v>290816</v>
      </c>
      <c r="M70" s="299">
        <v>1400</v>
      </c>
      <c r="N70" s="303" t="s">
        <v>165</v>
      </c>
      <c r="O70" s="299">
        <v>0.25</v>
      </c>
      <c r="P70" s="299">
        <v>0</v>
      </c>
      <c r="Q70" s="299">
        <v>0</v>
      </c>
      <c r="R70" s="299">
        <v>0</v>
      </c>
      <c r="S70" s="299">
        <v>0</v>
      </c>
      <c r="T70" s="299">
        <v>0</v>
      </c>
      <c r="U70" s="299">
        <v>0</v>
      </c>
      <c r="V70" s="299">
        <v>0</v>
      </c>
      <c r="W70" s="299">
        <v>0</v>
      </c>
      <c r="X70" s="299">
        <v>0</v>
      </c>
      <c r="Y70" s="278">
        <v>0.25</v>
      </c>
      <c r="Z70" s="278">
        <v>0</v>
      </c>
      <c r="AA70" s="278">
        <v>0</v>
      </c>
      <c r="AB70" s="299">
        <v>0</v>
      </c>
      <c r="AC70" s="299">
        <v>0</v>
      </c>
      <c r="AD70" s="278">
        <v>0.25</v>
      </c>
      <c r="AE70" s="276" t="s">
        <v>2004</v>
      </c>
      <c r="AF70" s="276" t="s">
        <v>117</v>
      </c>
      <c r="AG70" s="276" t="s">
        <v>57</v>
      </c>
      <c r="AH70" s="276" t="s">
        <v>2418</v>
      </c>
      <c r="AI70" s="281" t="s">
        <v>1671</v>
      </c>
      <c r="AJ70" s="300">
        <v>300000</v>
      </c>
      <c r="AK70" s="281" t="s">
        <v>305</v>
      </c>
    </row>
    <row r="71" spans="1:37" x14ac:dyDescent="0.35">
      <c r="A71" s="419">
        <v>59101216</v>
      </c>
      <c r="B71" s="289" t="s">
        <v>83</v>
      </c>
      <c r="C71" s="289" t="s">
        <v>83</v>
      </c>
      <c r="D71" s="289" t="s">
        <v>2497</v>
      </c>
      <c r="E71" s="276" t="s">
        <v>2498</v>
      </c>
      <c r="F71" s="276" t="s">
        <v>2499</v>
      </c>
      <c r="G71" s="278">
        <v>530</v>
      </c>
      <c r="H71" s="750">
        <v>42611</v>
      </c>
      <c r="I71" s="299">
        <v>1540</v>
      </c>
      <c r="J71" s="284">
        <v>290816</v>
      </c>
      <c r="K71" s="299">
        <v>1555</v>
      </c>
      <c r="L71" s="284">
        <v>290816</v>
      </c>
      <c r="M71" s="299">
        <v>1800</v>
      </c>
      <c r="N71" s="278" t="s">
        <v>62</v>
      </c>
      <c r="O71" s="299">
        <v>0.04</v>
      </c>
      <c r="P71" s="299">
        <v>0</v>
      </c>
      <c r="Q71" s="299">
        <v>0</v>
      </c>
      <c r="R71" s="299">
        <v>0</v>
      </c>
      <c r="S71" s="299">
        <v>0</v>
      </c>
      <c r="T71" s="299">
        <v>0</v>
      </c>
      <c r="U71" s="299">
        <v>0</v>
      </c>
      <c r="V71" s="299">
        <v>0</v>
      </c>
      <c r="W71" s="299">
        <v>0</v>
      </c>
      <c r="X71" s="299">
        <v>0</v>
      </c>
      <c r="Y71" s="278">
        <v>0.04</v>
      </c>
      <c r="Z71" s="278">
        <v>0</v>
      </c>
      <c r="AA71" s="278">
        <v>0</v>
      </c>
      <c r="AB71" s="299">
        <v>0</v>
      </c>
      <c r="AC71" s="299">
        <v>0</v>
      </c>
      <c r="AD71" s="278">
        <v>0.04</v>
      </c>
      <c r="AE71" s="281" t="s">
        <v>117</v>
      </c>
      <c r="AF71" s="281" t="s">
        <v>117</v>
      </c>
      <c r="AG71" s="281" t="s">
        <v>57</v>
      </c>
      <c r="AH71" s="281" t="s">
        <v>2434</v>
      </c>
      <c r="AI71" s="276" t="s">
        <v>73</v>
      </c>
      <c r="AJ71" s="300">
        <v>9600</v>
      </c>
      <c r="AK71" s="281" t="s">
        <v>305</v>
      </c>
    </row>
    <row r="72" spans="1:37" x14ac:dyDescent="0.35">
      <c r="A72" s="419">
        <v>60103216</v>
      </c>
      <c r="B72" s="290" t="s">
        <v>2287</v>
      </c>
      <c r="C72" s="290" t="s">
        <v>107</v>
      </c>
      <c r="D72" s="290" t="s">
        <v>2500</v>
      </c>
      <c r="E72" s="276" t="s">
        <v>2501</v>
      </c>
      <c r="F72" s="276" t="s">
        <v>2502</v>
      </c>
      <c r="G72" s="278">
        <v>796</v>
      </c>
      <c r="H72" s="410" t="s">
        <v>2900</v>
      </c>
      <c r="I72" s="420">
        <v>1145</v>
      </c>
      <c r="J72" s="410">
        <v>300816</v>
      </c>
      <c r="K72" s="420">
        <v>1210</v>
      </c>
      <c r="L72" s="410">
        <v>300816</v>
      </c>
      <c r="M72" s="420">
        <v>1815</v>
      </c>
      <c r="N72" s="412" t="s">
        <v>1352</v>
      </c>
      <c r="O72" s="420">
        <v>0</v>
      </c>
      <c r="P72" s="420">
        <v>0.5</v>
      </c>
      <c r="Q72" s="420">
        <v>0</v>
      </c>
      <c r="R72" s="420">
        <v>0</v>
      </c>
      <c r="S72" s="420">
        <v>0</v>
      </c>
      <c r="T72" s="420">
        <v>0</v>
      </c>
      <c r="U72" s="420">
        <v>0</v>
      </c>
      <c r="V72" s="420">
        <v>0</v>
      </c>
      <c r="W72" s="420">
        <v>0</v>
      </c>
      <c r="X72" s="420">
        <v>0</v>
      </c>
      <c r="Y72" s="412">
        <v>0</v>
      </c>
      <c r="Z72" s="412">
        <v>0.5</v>
      </c>
      <c r="AA72" s="412">
        <v>0</v>
      </c>
      <c r="AB72" s="420">
        <v>0</v>
      </c>
      <c r="AC72" s="420">
        <v>0</v>
      </c>
      <c r="AD72" s="412">
        <v>0.5</v>
      </c>
      <c r="AE72" s="281" t="s">
        <v>2004</v>
      </c>
      <c r="AF72" s="281" t="s">
        <v>117</v>
      </c>
      <c r="AG72" s="276" t="s">
        <v>57</v>
      </c>
      <c r="AH72" s="421" t="s">
        <v>1991</v>
      </c>
      <c r="AI72" s="276" t="s">
        <v>2503</v>
      </c>
      <c r="AJ72" s="422">
        <v>150000</v>
      </c>
      <c r="AK72" s="281" t="s">
        <v>305</v>
      </c>
    </row>
    <row r="73" spans="1:37" x14ac:dyDescent="0.35">
      <c r="A73" s="281">
        <v>61101416</v>
      </c>
      <c r="B73" s="289" t="s">
        <v>198</v>
      </c>
      <c r="C73" s="289" t="s">
        <v>1523</v>
      </c>
      <c r="D73" s="289" t="s">
        <v>2504</v>
      </c>
      <c r="E73" s="276" t="s">
        <v>2505</v>
      </c>
      <c r="F73" s="276" t="s">
        <v>2506</v>
      </c>
      <c r="G73" s="278">
        <v>520</v>
      </c>
      <c r="H73" s="750">
        <v>42616</v>
      </c>
      <c r="I73" s="299">
        <v>1400</v>
      </c>
      <c r="J73" s="284">
        <v>30916</v>
      </c>
      <c r="K73" s="299">
        <v>1430</v>
      </c>
      <c r="L73" s="299">
        <v>30916</v>
      </c>
      <c r="M73" s="299">
        <v>1730</v>
      </c>
      <c r="N73" s="278" t="s">
        <v>62</v>
      </c>
      <c r="O73" s="299">
        <v>0</v>
      </c>
      <c r="P73" s="299">
        <v>0</v>
      </c>
      <c r="Q73" s="299">
        <v>0</v>
      </c>
      <c r="R73" s="299">
        <v>0</v>
      </c>
      <c r="S73" s="299">
        <v>0</v>
      </c>
      <c r="T73" s="299">
        <v>1.5</v>
      </c>
      <c r="U73" s="299">
        <v>0</v>
      </c>
      <c r="V73" s="299">
        <v>1.5</v>
      </c>
      <c r="W73" s="299">
        <v>0</v>
      </c>
      <c r="X73" s="299">
        <v>0</v>
      </c>
      <c r="Y73" s="278">
        <v>1.5</v>
      </c>
      <c r="Z73" s="278">
        <v>0</v>
      </c>
      <c r="AA73" s="278">
        <v>1.5</v>
      </c>
      <c r="AB73" s="299">
        <v>0</v>
      </c>
      <c r="AC73" s="299">
        <v>0</v>
      </c>
      <c r="AD73" s="278">
        <v>3</v>
      </c>
      <c r="AE73" s="281" t="s">
        <v>188</v>
      </c>
      <c r="AF73" s="281" t="s">
        <v>117</v>
      </c>
      <c r="AG73" s="281" t="s">
        <v>72</v>
      </c>
      <c r="AH73" s="281" t="s">
        <v>1496</v>
      </c>
      <c r="AI73" s="281" t="s">
        <v>1503</v>
      </c>
      <c r="AJ73" s="300">
        <v>165000</v>
      </c>
      <c r="AK73" s="281" t="s">
        <v>305</v>
      </c>
    </row>
    <row r="74" spans="1:37" x14ac:dyDescent="0.35">
      <c r="A74" s="281">
        <v>62102316</v>
      </c>
      <c r="B74" s="286" t="s">
        <v>68</v>
      </c>
      <c r="C74" s="289" t="s">
        <v>2324</v>
      </c>
      <c r="D74" s="289" t="s">
        <v>2507</v>
      </c>
      <c r="E74" s="276" t="s">
        <v>2508</v>
      </c>
      <c r="F74" s="276" t="s">
        <v>2509</v>
      </c>
      <c r="G74" s="299">
        <v>930</v>
      </c>
      <c r="H74" s="750">
        <v>42616</v>
      </c>
      <c r="I74" s="299">
        <v>1745</v>
      </c>
      <c r="J74" s="284">
        <v>30916</v>
      </c>
      <c r="K74" s="299">
        <v>1855</v>
      </c>
      <c r="L74" s="299">
        <v>30916</v>
      </c>
      <c r="M74" s="299">
        <v>1840</v>
      </c>
      <c r="N74" s="278" t="s">
        <v>1352</v>
      </c>
      <c r="O74" s="299">
        <v>0</v>
      </c>
      <c r="P74" s="299">
        <v>0.5</v>
      </c>
      <c r="Q74" s="299">
        <v>0</v>
      </c>
      <c r="R74" s="299">
        <v>0</v>
      </c>
      <c r="S74" s="299">
        <v>0</v>
      </c>
      <c r="T74" s="299">
        <v>0</v>
      </c>
      <c r="U74" s="299">
        <v>0</v>
      </c>
      <c r="V74" s="299">
        <v>0</v>
      </c>
      <c r="W74" s="299">
        <v>0</v>
      </c>
      <c r="X74" s="299">
        <v>0</v>
      </c>
      <c r="Y74" s="278">
        <v>0</v>
      </c>
      <c r="Z74" s="278">
        <v>0.5</v>
      </c>
      <c r="AA74" s="278">
        <v>0</v>
      </c>
      <c r="AB74" s="299">
        <v>0</v>
      </c>
      <c r="AC74" s="299">
        <v>0</v>
      </c>
      <c r="AD74" s="278">
        <v>0.5</v>
      </c>
      <c r="AE74" s="276" t="s">
        <v>188</v>
      </c>
      <c r="AF74" s="276" t="s">
        <v>117</v>
      </c>
      <c r="AG74" s="276" t="s">
        <v>554</v>
      </c>
      <c r="AH74" s="276" t="s">
        <v>2510</v>
      </c>
      <c r="AI74" s="276" t="s">
        <v>73</v>
      </c>
      <c r="AJ74" s="300">
        <v>50000</v>
      </c>
      <c r="AK74" s="281" t="s">
        <v>305</v>
      </c>
    </row>
    <row r="75" spans="1:37" x14ac:dyDescent="0.35">
      <c r="A75" s="281">
        <v>63101416</v>
      </c>
      <c r="B75" s="289" t="s">
        <v>198</v>
      </c>
      <c r="C75" s="289" t="s">
        <v>1429</v>
      </c>
      <c r="D75" s="289" t="s">
        <v>2511</v>
      </c>
      <c r="E75" s="276" t="s">
        <v>2512</v>
      </c>
      <c r="F75" s="276" t="s">
        <v>2513</v>
      </c>
      <c r="G75" s="278">
        <v>760</v>
      </c>
      <c r="H75" s="750">
        <v>42617</v>
      </c>
      <c r="I75" s="299">
        <v>1500</v>
      </c>
      <c r="J75" s="284">
        <v>40916</v>
      </c>
      <c r="K75" s="299">
        <v>1515</v>
      </c>
      <c r="L75" s="299">
        <v>40916</v>
      </c>
      <c r="M75" s="299">
        <v>1945</v>
      </c>
      <c r="N75" s="278" t="s">
        <v>62</v>
      </c>
      <c r="O75" s="299">
        <v>0</v>
      </c>
      <c r="P75" s="299">
        <v>0</v>
      </c>
      <c r="Q75" s="299">
        <v>0</v>
      </c>
      <c r="R75" s="299">
        <v>0</v>
      </c>
      <c r="S75" s="299">
        <v>0</v>
      </c>
      <c r="T75" s="299">
        <v>1</v>
      </c>
      <c r="U75" s="299">
        <v>0</v>
      </c>
      <c r="V75" s="299">
        <v>0</v>
      </c>
      <c r="W75" s="299">
        <v>0</v>
      </c>
      <c r="X75" s="299" t="s">
        <v>2514</v>
      </c>
      <c r="Y75" s="278">
        <v>1</v>
      </c>
      <c r="Z75" s="278">
        <v>0</v>
      </c>
      <c r="AA75" s="278">
        <v>0</v>
      </c>
      <c r="AB75" s="299">
        <v>0</v>
      </c>
      <c r="AC75" s="299" t="s">
        <v>2514</v>
      </c>
      <c r="AD75" s="278">
        <v>1</v>
      </c>
      <c r="AE75" s="281" t="s">
        <v>188</v>
      </c>
      <c r="AF75" s="281" t="s">
        <v>117</v>
      </c>
      <c r="AG75" s="281" t="s">
        <v>57</v>
      </c>
      <c r="AH75" s="281" t="s">
        <v>1487</v>
      </c>
      <c r="AI75" s="281" t="s">
        <v>67</v>
      </c>
      <c r="AJ75" s="300">
        <v>100000</v>
      </c>
      <c r="AK75" s="281" t="s">
        <v>305</v>
      </c>
    </row>
    <row r="76" spans="1:37" x14ac:dyDescent="0.35">
      <c r="A76" s="281">
        <v>64103216</v>
      </c>
      <c r="B76" s="286" t="s">
        <v>2287</v>
      </c>
      <c r="C76" s="286" t="s">
        <v>79</v>
      </c>
      <c r="D76" s="289" t="s">
        <v>2515</v>
      </c>
      <c r="E76" s="276" t="s">
        <v>2516</v>
      </c>
      <c r="F76" s="276" t="s">
        <v>2517</v>
      </c>
      <c r="G76" s="278">
        <v>754</v>
      </c>
      <c r="H76" s="751">
        <v>42617</v>
      </c>
      <c r="I76" s="299">
        <v>1540</v>
      </c>
      <c r="J76" s="299">
        <v>40916</v>
      </c>
      <c r="K76" s="299">
        <v>1600</v>
      </c>
      <c r="L76" s="299">
        <v>40916</v>
      </c>
      <c r="M76" s="299">
        <v>1940</v>
      </c>
      <c r="N76" s="278" t="s">
        <v>1352</v>
      </c>
      <c r="O76" s="299">
        <v>0</v>
      </c>
      <c r="P76" s="299">
        <v>0</v>
      </c>
      <c r="Q76" s="299">
        <v>0</v>
      </c>
      <c r="R76" s="299">
        <v>0</v>
      </c>
      <c r="S76" s="299">
        <v>0</v>
      </c>
      <c r="T76" s="299">
        <v>0</v>
      </c>
      <c r="U76" s="299">
        <v>0.5</v>
      </c>
      <c r="V76" s="299">
        <v>0.5</v>
      </c>
      <c r="W76" s="299">
        <v>0</v>
      </c>
      <c r="X76" s="299" t="s">
        <v>1509</v>
      </c>
      <c r="Y76" s="278">
        <v>0</v>
      </c>
      <c r="Z76" s="299">
        <v>0.5</v>
      </c>
      <c r="AA76" s="299">
        <v>0.5</v>
      </c>
      <c r="AB76" s="299">
        <v>0</v>
      </c>
      <c r="AC76" s="299" t="s">
        <v>1991</v>
      </c>
      <c r="AD76" s="278">
        <v>1</v>
      </c>
      <c r="AE76" s="281" t="s">
        <v>2004</v>
      </c>
      <c r="AF76" s="281" t="s">
        <v>117</v>
      </c>
      <c r="AG76" s="281" t="s">
        <v>57</v>
      </c>
      <c r="AH76" s="281"/>
      <c r="AI76" s="281" t="s">
        <v>2518</v>
      </c>
      <c r="AJ76" s="300">
        <v>180000</v>
      </c>
      <c r="AK76" s="421" t="s">
        <v>305</v>
      </c>
    </row>
    <row r="77" spans="1:37" x14ac:dyDescent="0.35">
      <c r="A77" s="281">
        <v>65101216</v>
      </c>
      <c r="B77" s="289" t="s">
        <v>83</v>
      </c>
      <c r="C77" s="289" t="s">
        <v>83</v>
      </c>
      <c r="D77" s="289" t="s">
        <v>2480</v>
      </c>
      <c r="E77" s="276" t="s">
        <v>2519</v>
      </c>
      <c r="F77" s="276" t="s">
        <v>2520</v>
      </c>
      <c r="G77" s="278">
        <v>800</v>
      </c>
      <c r="H77" s="751">
        <v>42618</v>
      </c>
      <c r="I77" s="299">
        <v>1230</v>
      </c>
      <c r="J77" s="299">
        <v>50916</v>
      </c>
      <c r="K77" s="299">
        <v>1240</v>
      </c>
      <c r="L77" s="299">
        <v>50916</v>
      </c>
      <c r="M77" s="299">
        <v>2200</v>
      </c>
      <c r="N77" s="278" t="s">
        <v>1352</v>
      </c>
      <c r="O77" s="299">
        <v>0</v>
      </c>
      <c r="P77" s="299">
        <v>2</v>
      </c>
      <c r="Q77" s="299">
        <v>0</v>
      </c>
      <c r="R77" s="299">
        <v>0</v>
      </c>
      <c r="S77" s="299">
        <v>0</v>
      </c>
      <c r="T77" s="299">
        <v>0</v>
      </c>
      <c r="U77" s="299">
        <v>0</v>
      </c>
      <c r="V77" s="299">
        <v>0</v>
      </c>
      <c r="W77" s="299">
        <v>0</v>
      </c>
      <c r="X77" s="299">
        <v>0</v>
      </c>
      <c r="Y77" s="278">
        <v>0</v>
      </c>
      <c r="Z77" s="278">
        <v>2</v>
      </c>
      <c r="AA77" s="278">
        <v>0</v>
      </c>
      <c r="AB77" s="299">
        <v>0</v>
      </c>
      <c r="AC77" s="299">
        <v>0</v>
      </c>
      <c r="AD77" s="278">
        <v>2</v>
      </c>
      <c r="AE77" s="281" t="s">
        <v>117</v>
      </c>
      <c r="AF77" s="281" t="s">
        <v>117</v>
      </c>
      <c r="AG77" s="281" t="s">
        <v>57</v>
      </c>
      <c r="AH77" s="281" t="s">
        <v>2521</v>
      </c>
      <c r="AI77" s="281" t="s">
        <v>1385</v>
      </c>
      <c r="AJ77" s="423">
        <v>489000</v>
      </c>
      <c r="AK77" s="281" t="s">
        <v>305</v>
      </c>
    </row>
    <row r="78" spans="1:37" x14ac:dyDescent="0.35">
      <c r="A78" s="281">
        <v>66101216</v>
      </c>
      <c r="B78" s="289" t="s">
        <v>83</v>
      </c>
      <c r="C78" s="289" t="s">
        <v>95</v>
      </c>
      <c r="D78" s="289" t="s">
        <v>2463</v>
      </c>
      <c r="E78" s="276" t="s">
        <v>2522</v>
      </c>
      <c r="F78" s="276" t="s">
        <v>2523</v>
      </c>
      <c r="G78" s="278">
        <v>570</v>
      </c>
      <c r="H78" s="751">
        <v>42618</v>
      </c>
      <c r="I78" s="299">
        <v>1730</v>
      </c>
      <c r="J78" s="299">
        <v>50916</v>
      </c>
      <c r="K78" s="299">
        <v>1740</v>
      </c>
      <c r="L78" s="299">
        <v>50916</v>
      </c>
      <c r="M78" s="299">
        <v>1900</v>
      </c>
      <c r="N78" s="278" t="s">
        <v>1517</v>
      </c>
      <c r="O78" s="299">
        <v>0</v>
      </c>
      <c r="P78" s="299">
        <v>1</v>
      </c>
      <c r="Q78" s="299">
        <v>0</v>
      </c>
      <c r="R78" s="299">
        <v>0</v>
      </c>
      <c r="S78" s="299">
        <v>0</v>
      </c>
      <c r="T78" s="299">
        <v>0</v>
      </c>
      <c r="U78" s="299">
        <v>0</v>
      </c>
      <c r="V78" s="299">
        <v>0</v>
      </c>
      <c r="W78" s="299">
        <v>0</v>
      </c>
      <c r="X78" s="299">
        <v>0</v>
      </c>
      <c r="Y78" s="278">
        <v>0</v>
      </c>
      <c r="Z78" s="278">
        <v>1</v>
      </c>
      <c r="AA78" s="278">
        <v>0</v>
      </c>
      <c r="AB78" s="299">
        <v>0</v>
      </c>
      <c r="AC78" s="299">
        <v>0</v>
      </c>
      <c r="AD78" s="278">
        <v>1</v>
      </c>
      <c r="AE78" s="281" t="s">
        <v>117</v>
      </c>
      <c r="AF78" s="281" t="s">
        <v>117</v>
      </c>
      <c r="AG78" s="281" t="s">
        <v>57</v>
      </c>
      <c r="AH78" s="281" t="s">
        <v>2521</v>
      </c>
      <c r="AI78" s="281" t="s">
        <v>1385</v>
      </c>
      <c r="AJ78" s="423">
        <v>244500</v>
      </c>
      <c r="AK78" s="281" t="s">
        <v>305</v>
      </c>
    </row>
    <row r="79" spans="1:37" x14ac:dyDescent="0.35">
      <c r="A79" s="281">
        <v>67102316</v>
      </c>
      <c r="B79" s="286" t="s">
        <v>68</v>
      </c>
      <c r="C79" s="289" t="s">
        <v>2324</v>
      </c>
      <c r="D79" s="289" t="s">
        <v>2524</v>
      </c>
      <c r="E79" s="276" t="s">
        <v>2525</v>
      </c>
      <c r="F79" s="276" t="s">
        <v>2526</v>
      </c>
      <c r="G79" s="299">
        <v>920</v>
      </c>
      <c r="H79" s="751">
        <v>42618</v>
      </c>
      <c r="I79" s="299">
        <v>2000</v>
      </c>
      <c r="J79" s="299">
        <v>50916</v>
      </c>
      <c r="K79" s="299">
        <v>2020</v>
      </c>
      <c r="L79" s="299">
        <v>50916</v>
      </c>
      <c r="M79" s="299">
        <v>2115</v>
      </c>
      <c r="N79" s="278" t="s">
        <v>62</v>
      </c>
      <c r="O79" s="299">
        <v>0.5</v>
      </c>
      <c r="P79" s="299">
        <v>0</v>
      </c>
      <c r="Q79" s="299">
        <v>0</v>
      </c>
      <c r="R79" s="299">
        <v>0</v>
      </c>
      <c r="S79" s="299">
        <v>0</v>
      </c>
      <c r="T79" s="299">
        <v>0</v>
      </c>
      <c r="U79" s="299">
        <v>0</v>
      </c>
      <c r="V79" s="299">
        <v>0</v>
      </c>
      <c r="W79" s="299">
        <v>0</v>
      </c>
      <c r="X79" s="299">
        <v>0</v>
      </c>
      <c r="Y79" s="278">
        <v>0.5</v>
      </c>
      <c r="Z79" s="278">
        <v>0</v>
      </c>
      <c r="AA79" s="278">
        <v>0</v>
      </c>
      <c r="AB79" s="299">
        <v>0</v>
      </c>
      <c r="AC79" s="299">
        <v>0</v>
      </c>
      <c r="AD79" s="278">
        <v>0.5</v>
      </c>
      <c r="AE79" s="276" t="s">
        <v>188</v>
      </c>
      <c r="AF79" s="276" t="s">
        <v>117</v>
      </c>
      <c r="AG79" s="276" t="s">
        <v>554</v>
      </c>
      <c r="AH79" s="276" t="s">
        <v>2527</v>
      </c>
      <c r="AI79" s="276" t="s">
        <v>1657</v>
      </c>
      <c r="AJ79" s="300">
        <v>25000</v>
      </c>
      <c r="AK79" s="424" t="s">
        <v>305</v>
      </c>
    </row>
    <row r="80" spans="1:37" x14ac:dyDescent="0.35">
      <c r="A80" s="281">
        <v>68101216</v>
      </c>
      <c r="B80" s="289" t="s">
        <v>83</v>
      </c>
      <c r="C80" s="289" t="s">
        <v>95</v>
      </c>
      <c r="D80" s="289" t="s">
        <v>2528</v>
      </c>
      <c r="E80" s="276" t="s">
        <v>2529</v>
      </c>
      <c r="F80" s="276" t="s">
        <v>2530</v>
      </c>
      <c r="G80" s="299">
        <v>1155</v>
      </c>
      <c r="H80" s="751">
        <v>42623</v>
      </c>
      <c r="I80" s="299">
        <v>1430</v>
      </c>
      <c r="J80" s="299">
        <v>100616</v>
      </c>
      <c r="K80" s="299">
        <v>1445</v>
      </c>
      <c r="L80" s="299">
        <v>100916</v>
      </c>
      <c r="M80" s="299">
        <v>1630</v>
      </c>
      <c r="N80" s="278" t="s">
        <v>1352</v>
      </c>
      <c r="O80" s="299">
        <v>0</v>
      </c>
      <c r="P80" s="299">
        <v>0.05</v>
      </c>
      <c r="Q80" s="299">
        <v>0</v>
      </c>
      <c r="R80" s="299">
        <v>0</v>
      </c>
      <c r="S80" s="299">
        <v>0</v>
      </c>
      <c r="T80" s="299">
        <v>0</v>
      </c>
      <c r="U80" s="299">
        <v>0</v>
      </c>
      <c r="V80" s="299">
        <v>0</v>
      </c>
      <c r="W80" s="299">
        <v>0</v>
      </c>
      <c r="X80" s="299">
        <v>0</v>
      </c>
      <c r="Y80" s="278">
        <v>0</v>
      </c>
      <c r="Z80" s="278">
        <v>0.05</v>
      </c>
      <c r="AA80" s="278">
        <v>0</v>
      </c>
      <c r="AB80" s="299">
        <v>0</v>
      </c>
      <c r="AC80" s="299">
        <v>0</v>
      </c>
      <c r="AD80" s="278">
        <v>0.05</v>
      </c>
      <c r="AE80" s="281" t="s">
        <v>117</v>
      </c>
      <c r="AF80" s="281" t="s">
        <v>117</v>
      </c>
      <c r="AG80" s="281" t="s">
        <v>57</v>
      </c>
      <c r="AH80" s="281" t="s">
        <v>2521</v>
      </c>
      <c r="AI80" s="281" t="s">
        <v>65</v>
      </c>
      <c r="AJ80" s="423">
        <v>12000</v>
      </c>
      <c r="AK80" s="281" t="s">
        <v>305</v>
      </c>
    </row>
    <row r="81" spans="1:37" x14ac:dyDescent="0.35">
      <c r="A81" s="281">
        <v>69100516</v>
      </c>
      <c r="B81" s="281" t="s">
        <v>208</v>
      </c>
      <c r="C81" s="281" t="s">
        <v>208</v>
      </c>
      <c r="D81" s="281" t="s">
        <v>2419</v>
      </c>
      <c r="E81" s="276" t="s">
        <v>2531</v>
      </c>
      <c r="F81" s="276" t="s">
        <v>2532</v>
      </c>
      <c r="G81" s="278">
        <v>450</v>
      </c>
      <c r="H81" s="751">
        <v>42623</v>
      </c>
      <c r="I81" s="299">
        <v>1500</v>
      </c>
      <c r="J81" s="299"/>
      <c r="K81" s="299"/>
      <c r="L81" s="299">
        <v>100916</v>
      </c>
      <c r="M81" s="299">
        <v>1800</v>
      </c>
      <c r="N81" s="278" t="s">
        <v>1517</v>
      </c>
      <c r="O81" s="299">
        <v>0</v>
      </c>
      <c r="P81" s="299">
        <v>1</v>
      </c>
      <c r="Q81" s="299">
        <v>0</v>
      </c>
      <c r="R81" s="299">
        <v>0</v>
      </c>
      <c r="S81" s="299">
        <v>0</v>
      </c>
      <c r="T81" s="299">
        <v>0</v>
      </c>
      <c r="U81" s="299">
        <v>0</v>
      </c>
      <c r="V81" s="299">
        <v>0</v>
      </c>
      <c r="W81" s="299">
        <v>0</v>
      </c>
      <c r="X81" s="299">
        <v>0</v>
      </c>
      <c r="Y81" s="278">
        <v>0</v>
      </c>
      <c r="Z81" s="278">
        <v>1</v>
      </c>
      <c r="AA81" s="278">
        <v>0</v>
      </c>
      <c r="AB81" s="299">
        <v>0</v>
      </c>
      <c r="AC81" s="299">
        <v>0</v>
      </c>
      <c r="AD81" s="278">
        <v>1</v>
      </c>
      <c r="AE81" s="276" t="s">
        <v>175</v>
      </c>
      <c r="AF81" s="281" t="s">
        <v>117</v>
      </c>
      <c r="AG81" s="281" t="s">
        <v>57</v>
      </c>
      <c r="AH81" s="281" t="s">
        <v>1500</v>
      </c>
      <c r="AI81" s="281" t="s">
        <v>175</v>
      </c>
      <c r="AJ81" s="300">
        <v>50000</v>
      </c>
      <c r="AK81" s="424" t="s">
        <v>305</v>
      </c>
    </row>
    <row r="82" spans="1:37" x14ac:dyDescent="0.35">
      <c r="A82" s="281">
        <v>70101216</v>
      </c>
      <c r="B82" s="289" t="s">
        <v>83</v>
      </c>
      <c r="C82" s="289" t="s">
        <v>95</v>
      </c>
      <c r="D82" s="289" t="s">
        <v>2533</v>
      </c>
      <c r="E82" s="276" t="s">
        <v>2534</v>
      </c>
      <c r="F82" s="276" t="s">
        <v>2535</v>
      </c>
      <c r="G82" s="299">
        <v>665</v>
      </c>
      <c r="H82" s="751">
        <v>42626</v>
      </c>
      <c r="I82" s="299">
        <v>1135</v>
      </c>
      <c r="J82" s="299">
        <v>130916</v>
      </c>
      <c r="K82" s="299">
        <v>1145</v>
      </c>
      <c r="L82" s="299">
        <v>130916</v>
      </c>
      <c r="M82" s="299">
        <v>1325</v>
      </c>
      <c r="N82" s="278" t="s">
        <v>1352</v>
      </c>
      <c r="O82" s="299">
        <v>0</v>
      </c>
      <c r="P82" s="299">
        <v>0.06</v>
      </c>
      <c r="Q82" s="299">
        <v>0</v>
      </c>
      <c r="R82" s="299">
        <v>0</v>
      </c>
      <c r="S82" s="299">
        <v>0</v>
      </c>
      <c r="T82" s="299">
        <v>0</v>
      </c>
      <c r="U82" s="299">
        <v>0</v>
      </c>
      <c r="V82" s="299">
        <v>0</v>
      </c>
      <c r="W82" s="299">
        <v>0</v>
      </c>
      <c r="X82" s="299">
        <v>0</v>
      </c>
      <c r="Y82" s="278">
        <v>0</v>
      </c>
      <c r="Z82" s="278">
        <v>0.06</v>
      </c>
      <c r="AA82" s="278">
        <v>0</v>
      </c>
      <c r="AB82" s="299">
        <v>0</v>
      </c>
      <c r="AC82" s="299">
        <v>0</v>
      </c>
      <c r="AD82" s="278">
        <v>0.06</v>
      </c>
      <c r="AE82" s="281" t="s">
        <v>117</v>
      </c>
      <c r="AF82" s="281" t="s">
        <v>117</v>
      </c>
      <c r="AG82" s="281" t="s">
        <v>57</v>
      </c>
      <c r="AH82" s="281" t="s">
        <v>2521</v>
      </c>
      <c r="AI82" s="281" t="s">
        <v>1385</v>
      </c>
      <c r="AJ82" s="423">
        <v>14400</v>
      </c>
      <c r="AK82" s="281" t="s">
        <v>305</v>
      </c>
    </row>
    <row r="83" spans="1:37" x14ac:dyDescent="0.35">
      <c r="A83" s="281">
        <v>71101216</v>
      </c>
      <c r="B83" s="289" t="s">
        <v>83</v>
      </c>
      <c r="C83" s="289" t="s">
        <v>95</v>
      </c>
      <c r="D83" s="289" t="s">
        <v>2463</v>
      </c>
      <c r="E83" s="276" t="s">
        <v>2536</v>
      </c>
      <c r="F83" s="276" t="s">
        <v>2537</v>
      </c>
      <c r="G83" s="299">
        <v>565</v>
      </c>
      <c r="H83" s="751">
        <v>42626</v>
      </c>
      <c r="I83" s="299">
        <v>1710</v>
      </c>
      <c r="J83" s="299">
        <v>130916</v>
      </c>
      <c r="K83" s="299">
        <v>1720</v>
      </c>
      <c r="L83" s="299">
        <v>130916</v>
      </c>
      <c r="M83" s="299">
        <v>2000</v>
      </c>
      <c r="N83" s="278" t="s">
        <v>1517</v>
      </c>
      <c r="O83" s="299">
        <v>0</v>
      </c>
      <c r="P83" s="299">
        <v>1.5</v>
      </c>
      <c r="Q83" s="299">
        <v>0</v>
      </c>
      <c r="R83" s="299">
        <v>0</v>
      </c>
      <c r="S83" s="299">
        <v>0</v>
      </c>
      <c r="T83" s="299">
        <v>0</v>
      </c>
      <c r="U83" s="299">
        <v>0</v>
      </c>
      <c r="V83" s="299">
        <v>0</v>
      </c>
      <c r="W83" s="299">
        <v>0</v>
      </c>
      <c r="X83" s="299">
        <v>0</v>
      </c>
      <c r="Y83" s="278">
        <v>0</v>
      </c>
      <c r="Z83" s="278">
        <v>1.5</v>
      </c>
      <c r="AA83" s="278">
        <v>0</v>
      </c>
      <c r="AB83" s="299">
        <v>0</v>
      </c>
      <c r="AC83" s="299">
        <v>0</v>
      </c>
      <c r="AD83" s="278">
        <v>1.5</v>
      </c>
      <c r="AE83" s="281" t="s">
        <v>117</v>
      </c>
      <c r="AF83" s="281" t="s">
        <v>117</v>
      </c>
      <c r="AG83" s="281" t="s">
        <v>57</v>
      </c>
      <c r="AH83" s="281" t="s">
        <v>2538</v>
      </c>
      <c r="AI83" s="281" t="s">
        <v>1385</v>
      </c>
      <c r="AJ83" s="423">
        <v>366000</v>
      </c>
      <c r="AK83" s="281" t="s">
        <v>305</v>
      </c>
    </row>
    <row r="84" spans="1:37" x14ac:dyDescent="0.35">
      <c r="A84" s="288">
        <v>72101416</v>
      </c>
      <c r="B84" s="289" t="s">
        <v>198</v>
      </c>
      <c r="C84" s="281" t="s">
        <v>1961</v>
      </c>
      <c r="D84" s="289" t="s">
        <v>2484</v>
      </c>
      <c r="E84" s="276" t="s">
        <v>2539</v>
      </c>
      <c r="F84" s="276" t="s">
        <v>2540</v>
      </c>
      <c r="G84" s="278">
        <v>750</v>
      </c>
      <c r="H84" s="751">
        <v>42630</v>
      </c>
      <c r="I84" s="299">
        <v>1545</v>
      </c>
      <c r="J84" s="299">
        <v>170916</v>
      </c>
      <c r="K84" s="299">
        <v>1555</v>
      </c>
      <c r="L84" s="299">
        <v>170916</v>
      </c>
      <c r="M84" s="299">
        <v>1800</v>
      </c>
      <c r="N84" s="278" t="s">
        <v>2541</v>
      </c>
      <c r="O84" s="299">
        <v>0.25</v>
      </c>
      <c r="P84" s="299">
        <v>0</v>
      </c>
      <c r="Q84" s="299">
        <v>0</v>
      </c>
      <c r="R84" s="299">
        <v>0</v>
      </c>
      <c r="S84" s="299">
        <v>0</v>
      </c>
      <c r="T84" s="299">
        <v>0</v>
      </c>
      <c r="U84" s="299">
        <v>0</v>
      </c>
      <c r="V84" s="299">
        <v>0</v>
      </c>
      <c r="W84" s="299">
        <v>0</v>
      </c>
      <c r="X84" s="299">
        <v>0</v>
      </c>
      <c r="Y84" s="278">
        <v>0.25</v>
      </c>
      <c r="Z84" s="278">
        <v>0</v>
      </c>
      <c r="AA84" s="278">
        <v>0</v>
      </c>
      <c r="AB84" s="299">
        <v>0</v>
      </c>
      <c r="AC84" s="299">
        <v>0</v>
      </c>
      <c r="AD84" s="278">
        <v>0.25</v>
      </c>
      <c r="AE84" s="281" t="s">
        <v>2004</v>
      </c>
      <c r="AF84" s="281" t="s">
        <v>117</v>
      </c>
      <c r="AG84" s="281" t="s">
        <v>57</v>
      </c>
      <c r="AH84" s="281" t="s">
        <v>1496</v>
      </c>
      <c r="AI84" s="281" t="s">
        <v>1385</v>
      </c>
      <c r="AJ84" s="423">
        <v>25000</v>
      </c>
      <c r="AK84" s="425" t="s">
        <v>305</v>
      </c>
    </row>
    <row r="85" spans="1:37" x14ac:dyDescent="0.35">
      <c r="A85" s="426">
        <v>73100516</v>
      </c>
      <c r="B85" s="281" t="s">
        <v>208</v>
      </c>
      <c r="C85" s="281" t="s">
        <v>208</v>
      </c>
      <c r="D85" s="281" t="s">
        <v>2542</v>
      </c>
      <c r="E85" s="276" t="s">
        <v>2543</v>
      </c>
      <c r="F85" s="276" t="s">
        <v>2544</v>
      </c>
      <c r="G85" s="278">
        <v>620</v>
      </c>
      <c r="H85" s="751">
        <v>42635</v>
      </c>
      <c r="I85" s="299">
        <v>1420</v>
      </c>
      <c r="J85" s="299"/>
      <c r="K85" s="299"/>
      <c r="L85" s="299">
        <v>220916</v>
      </c>
      <c r="M85" s="299">
        <v>1800</v>
      </c>
      <c r="N85" s="278" t="s">
        <v>1517</v>
      </c>
      <c r="O85" s="299">
        <v>0</v>
      </c>
      <c r="P85" s="299">
        <v>0.5</v>
      </c>
      <c r="Q85" s="299">
        <v>0</v>
      </c>
      <c r="R85" s="299">
        <v>0</v>
      </c>
      <c r="S85" s="299">
        <v>0</v>
      </c>
      <c r="T85" s="299">
        <v>0</v>
      </c>
      <c r="U85" s="299">
        <v>0</v>
      </c>
      <c r="V85" s="299">
        <v>0</v>
      </c>
      <c r="W85" s="299">
        <v>0</v>
      </c>
      <c r="X85" s="299">
        <v>0</v>
      </c>
      <c r="Y85" s="278">
        <v>0</v>
      </c>
      <c r="Z85" s="278">
        <v>0.5</v>
      </c>
      <c r="AA85" s="278">
        <v>0</v>
      </c>
      <c r="AB85" s="299">
        <v>0</v>
      </c>
      <c r="AC85" s="299">
        <v>0</v>
      </c>
      <c r="AD85" s="278">
        <v>0.5</v>
      </c>
      <c r="AE85" s="276" t="s">
        <v>175</v>
      </c>
      <c r="AF85" s="281" t="s">
        <v>117</v>
      </c>
      <c r="AG85" s="281" t="s">
        <v>57</v>
      </c>
      <c r="AH85" s="281" t="s">
        <v>2046</v>
      </c>
      <c r="AI85" s="281" t="s">
        <v>175</v>
      </c>
      <c r="AJ85" s="423">
        <v>25000</v>
      </c>
      <c r="AK85" s="427" t="s">
        <v>305</v>
      </c>
    </row>
    <row r="86" spans="1:37" x14ac:dyDescent="0.35">
      <c r="A86" s="276">
        <v>74101416</v>
      </c>
      <c r="B86" s="289" t="s">
        <v>198</v>
      </c>
      <c r="C86" s="289" t="s">
        <v>198</v>
      </c>
      <c r="D86" s="289" t="s">
        <v>2545</v>
      </c>
      <c r="E86" s="276" t="s">
        <v>2546</v>
      </c>
      <c r="F86" s="276" t="s">
        <v>2547</v>
      </c>
      <c r="G86" s="278">
        <v>550</v>
      </c>
      <c r="H86" s="751">
        <v>42635</v>
      </c>
      <c r="I86" s="299">
        <v>1600</v>
      </c>
      <c r="J86" s="299">
        <v>220916</v>
      </c>
      <c r="K86" s="299">
        <v>1615</v>
      </c>
      <c r="L86" s="299">
        <v>220916</v>
      </c>
      <c r="M86" s="299">
        <v>1715</v>
      </c>
      <c r="N86" s="278" t="s">
        <v>1517</v>
      </c>
      <c r="O86" s="299">
        <v>0</v>
      </c>
      <c r="P86" s="299">
        <v>0.5</v>
      </c>
      <c r="Q86" s="299">
        <v>0</v>
      </c>
      <c r="R86" s="299">
        <v>0</v>
      </c>
      <c r="S86" s="299">
        <v>0</v>
      </c>
      <c r="T86" s="299">
        <v>0</v>
      </c>
      <c r="U86" s="299">
        <v>0</v>
      </c>
      <c r="V86" s="299">
        <v>0</v>
      </c>
      <c r="W86" s="299">
        <v>0</v>
      </c>
      <c r="X86" s="299">
        <v>0</v>
      </c>
      <c r="Y86" s="278">
        <v>0</v>
      </c>
      <c r="Z86" s="278">
        <v>0.5</v>
      </c>
      <c r="AA86" s="278">
        <v>0</v>
      </c>
      <c r="AB86" s="299">
        <v>0</v>
      </c>
      <c r="AC86" s="299">
        <v>0</v>
      </c>
      <c r="AD86" s="278">
        <v>0.5</v>
      </c>
      <c r="AE86" s="281" t="s">
        <v>2004</v>
      </c>
      <c r="AF86" s="281" t="s">
        <v>117</v>
      </c>
      <c r="AG86" s="281" t="s">
        <v>57</v>
      </c>
      <c r="AH86" s="281" t="s">
        <v>2046</v>
      </c>
      <c r="AI86" s="281" t="s">
        <v>1385</v>
      </c>
      <c r="AJ86" s="423">
        <v>25000</v>
      </c>
      <c r="AK86" s="427" t="s">
        <v>305</v>
      </c>
    </row>
    <row r="87" spans="1:37" x14ac:dyDescent="0.35">
      <c r="A87" s="276">
        <v>75102016</v>
      </c>
      <c r="B87" s="286" t="s">
        <v>1391</v>
      </c>
      <c r="C87" s="286" t="s">
        <v>1391</v>
      </c>
      <c r="D87" s="286" t="s">
        <v>2548</v>
      </c>
      <c r="E87" s="298"/>
      <c r="F87" s="298"/>
      <c r="G87" s="299"/>
      <c r="H87" s="751">
        <v>42658</v>
      </c>
      <c r="I87" s="299">
        <v>1230</v>
      </c>
      <c r="J87" s="299">
        <v>151016</v>
      </c>
      <c r="K87" s="299"/>
      <c r="L87" s="299">
        <v>151016</v>
      </c>
      <c r="M87" s="299">
        <v>1430</v>
      </c>
      <c r="N87" s="278" t="s">
        <v>1352</v>
      </c>
      <c r="O87" s="299">
        <v>0</v>
      </c>
      <c r="P87" s="299">
        <v>1</v>
      </c>
      <c r="Q87" s="299">
        <v>0</v>
      </c>
      <c r="R87" s="299">
        <v>0</v>
      </c>
      <c r="S87" s="299">
        <v>0</v>
      </c>
      <c r="T87" s="299">
        <v>0</v>
      </c>
      <c r="U87" s="299">
        <v>0</v>
      </c>
      <c r="V87" s="299">
        <v>0</v>
      </c>
      <c r="W87" s="299">
        <v>0</v>
      </c>
      <c r="X87" s="299">
        <v>0</v>
      </c>
      <c r="Y87" s="278">
        <v>0</v>
      </c>
      <c r="Z87" s="278">
        <v>1</v>
      </c>
      <c r="AA87" s="278">
        <v>0</v>
      </c>
      <c r="AB87" s="299">
        <v>0</v>
      </c>
      <c r="AC87" s="299">
        <v>0</v>
      </c>
      <c r="AD87" s="278">
        <v>1</v>
      </c>
      <c r="AE87" s="281" t="s">
        <v>117</v>
      </c>
      <c r="AF87" s="276" t="s">
        <v>117</v>
      </c>
      <c r="AG87" s="281" t="s">
        <v>72</v>
      </c>
      <c r="AH87" s="281"/>
      <c r="AI87" s="281" t="s">
        <v>65</v>
      </c>
      <c r="AJ87" s="300">
        <v>100000</v>
      </c>
      <c r="AK87" s="281" t="s">
        <v>305</v>
      </c>
    </row>
    <row r="88" spans="1:37" x14ac:dyDescent="0.35">
      <c r="A88" s="297">
        <v>76101416</v>
      </c>
      <c r="B88" s="289" t="s">
        <v>198</v>
      </c>
      <c r="C88" s="289" t="s">
        <v>1691</v>
      </c>
      <c r="D88" s="289" t="s">
        <v>2549</v>
      </c>
      <c r="E88" s="276" t="s">
        <v>2550</v>
      </c>
      <c r="F88" s="276" t="s">
        <v>2551</v>
      </c>
      <c r="G88" s="278">
        <v>520</v>
      </c>
      <c r="H88" s="751">
        <v>42667</v>
      </c>
      <c r="I88" s="299">
        <v>1300</v>
      </c>
      <c r="J88" s="299">
        <v>241016</v>
      </c>
      <c r="K88" s="299">
        <v>1320</v>
      </c>
      <c r="L88" s="299">
        <v>241016</v>
      </c>
      <c r="M88" s="299">
        <v>1645</v>
      </c>
      <c r="N88" s="299" t="s">
        <v>62</v>
      </c>
      <c r="O88" s="299">
        <v>0</v>
      </c>
      <c r="P88" s="299">
        <v>0</v>
      </c>
      <c r="Q88" s="299">
        <v>0</v>
      </c>
      <c r="R88" s="299">
        <v>0</v>
      </c>
      <c r="S88" s="299">
        <v>0</v>
      </c>
      <c r="T88" s="299">
        <v>3</v>
      </c>
      <c r="U88" s="299">
        <v>0</v>
      </c>
      <c r="V88" s="299">
        <v>0</v>
      </c>
      <c r="W88" s="299">
        <v>0</v>
      </c>
      <c r="X88" s="299">
        <v>0</v>
      </c>
      <c r="Y88" s="278">
        <v>3</v>
      </c>
      <c r="Z88" s="278">
        <v>0</v>
      </c>
      <c r="AA88" s="278">
        <v>0</v>
      </c>
      <c r="AB88" s="299">
        <v>0</v>
      </c>
      <c r="AC88" s="299">
        <v>0</v>
      </c>
      <c r="AD88" s="278">
        <v>3</v>
      </c>
      <c r="AE88" s="281" t="s">
        <v>2004</v>
      </c>
      <c r="AF88" s="281" t="s">
        <v>117</v>
      </c>
      <c r="AG88" s="281" t="s">
        <v>57</v>
      </c>
      <c r="AH88" s="281" t="s">
        <v>1496</v>
      </c>
      <c r="AI88" s="281" t="s">
        <v>2552</v>
      </c>
      <c r="AJ88" s="300">
        <v>300000</v>
      </c>
      <c r="AK88" s="281" t="s">
        <v>305</v>
      </c>
    </row>
    <row r="89" spans="1:37" x14ac:dyDescent="0.35">
      <c r="A89" s="281">
        <v>77100516</v>
      </c>
      <c r="B89" s="298" t="s">
        <v>208</v>
      </c>
      <c r="C89" s="298" t="s">
        <v>2005</v>
      </c>
      <c r="D89" s="298" t="s">
        <v>2553</v>
      </c>
      <c r="E89" s="276" t="s">
        <v>2554</v>
      </c>
      <c r="F89" s="276" t="s">
        <v>2555</v>
      </c>
      <c r="G89" s="278">
        <v>600</v>
      </c>
      <c r="H89" s="751">
        <v>42668</v>
      </c>
      <c r="I89" s="299">
        <v>1150</v>
      </c>
      <c r="J89" s="299">
        <v>251016</v>
      </c>
      <c r="K89" s="299">
        <v>1210</v>
      </c>
      <c r="L89" s="299">
        <v>251016</v>
      </c>
      <c r="M89" s="299">
        <v>1745</v>
      </c>
      <c r="N89" s="278" t="s">
        <v>1517</v>
      </c>
      <c r="O89" s="299">
        <v>0</v>
      </c>
      <c r="P89" s="299">
        <v>1</v>
      </c>
      <c r="Q89" s="299">
        <v>0.5</v>
      </c>
      <c r="R89" s="299">
        <v>0</v>
      </c>
      <c r="S89" s="299">
        <v>0</v>
      </c>
      <c r="T89" s="299">
        <v>0</v>
      </c>
      <c r="U89" s="299">
        <v>0</v>
      </c>
      <c r="V89" s="299">
        <v>0</v>
      </c>
      <c r="W89" s="299">
        <v>0</v>
      </c>
      <c r="X89" s="299">
        <v>0</v>
      </c>
      <c r="Y89" s="278">
        <v>0</v>
      </c>
      <c r="Z89" s="278">
        <v>1</v>
      </c>
      <c r="AA89" s="278">
        <v>0.5</v>
      </c>
      <c r="AB89" s="299">
        <v>0</v>
      </c>
      <c r="AC89" s="299">
        <v>0</v>
      </c>
      <c r="AD89" s="278">
        <v>1.5</v>
      </c>
      <c r="AE89" s="281" t="s">
        <v>66</v>
      </c>
      <c r="AF89" s="281" t="s">
        <v>117</v>
      </c>
      <c r="AG89" s="281" t="s">
        <v>57</v>
      </c>
      <c r="AH89" s="281" t="s">
        <v>1496</v>
      </c>
      <c r="AI89" s="281" t="s">
        <v>2552</v>
      </c>
      <c r="AJ89" s="300">
        <v>55000</v>
      </c>
      <c r="AK89" s="281" t="s">
        <v>305</v>
      </c>
    </row>
    <row r="90" spans="1:37" x14ac:dyDescent="0.35">
      <c r="A90" s="281">
        <v>78100116</v>
      </c>
      <c r="B90" s="289" t="s">
        <v>145</v>
      </c>
      <c r="C90" s="289" t="s">
        <v>145</v>
      </c>
      <c r="D90" s="289" t="s">
        <v>2556</v>
      </c>
      <c r="E90" s="276" t="s">
        <v>2557</v>
      </c>
      <c r="F90" s="276" t="s">
        <v>2558</v>
      </c>
      <c r="G90" s="278">
        <v>570</v>
      </c>
      <c r="H90" s="751">
        <v>42668</v>
      </c>
      <c r="I90" s="299">
        <v>1425</v>
      </c>
      <c r="J90" s="299">
        <v>251016</v>
      </c>
      <c r="K90" s="299">
        <v>1430</v>
      </c>
      <c r="L90" s="299">
        <v>251016</v>
      </c>
      <c r="M90" s="299">
        <v>1640</v>
      </c>
      <c r="N90" s="278" t="s">
        <v>1517</v>
      </c>
      <c r="O90" s="299">
        <v>0</v>
      </c>
      <c r="P90" s="299">
        <v>0</v>
      </c>
      <c r="Q90" s="299">
        <v>0</v>
      </c>
      <c r="R90" s="299">
        <v>0</v>
      </c>
      <c r="S90" s="299">
        <v>0</v>
      </c>
      <c r="T90" s="299">
        <v>0</v>
      </c>
      <c r="U90" s="299">
        <v>0.5</v>
      </c>
      <c r="V90" s="299">
        <v>0</v>
      </c>
      <c r="W90" s="299">
        <v>0</v>
      </c>
      <c r="X90" s="299">
        <v>0</v>
      </c>
      <c r="Y90" s="278">
        <v>0</v>
      </c>
      <c r="Z90" s="278">
        <v>0.5</v>
      </c>
      <c r="AA90" s="278">
        <v>0</v>
      </c>
      <c r="AB90" s="299">
        <v>0</v>
      </c>
      <c r="AC90" s="299">
        <v>0</v>
      </c>
      <c r="AD90" s="278">
        <v>0.5</v>
      </c>
      <c r="AE90" s="276" t="s">
        <v>117</v>
      </c>
      <c r="AF90" s="276" t="s">
        <v>117</v>
      </c>
      <c r="AG90" s="276" t="s">
        <v>57</v>
      </c>
      <c r="AH90" s="281" t="s">
        <v>2559</v>
      </c>
      <c r="AI90" s="281" t="s">
        <v>1385</v>
      </c>
      <c r="AJ90" s="300">
        <v>121500</v>
      </c>
      <c r="AK90" s="281" t="s">
        <v>305</v>
      </c>
    </row>
    <row r="91" spans="1:37" x14ac:dyDescent="0.35">
      <c r="A91" s="281">
        <v>79104316</v>
      </c>
      <c r="B91" s="298" t="s">
        <v>101</v>
      </c>
      <c r="C91" s="298" t="s">
        <v>186</v>
      </c>
      <c r="D91" s="298" t="s">
        <v>2560</v>
      </c>
      <c r="E91" s="298"/>
      <c r="F91" s="298"/>
      <c r="G91" s="299"/>
      <c r="H91" s="751">
        <v>42669</v>
      </c>
      <c r="I91" s="299">
        <v>1040</v>
      </c>
      <c r="J91" s="299">
        <v>261016</v>
      </c>
      <c r="K91" s="299"/>
      <c r="L91" s="299">
        <v>261016</v>
      </c>
      <c r="M91" s="299">
        <v>1300</v>
      </c>
      <c r="N91" s="278" t="s">
        <v>1352</v>
      </c>
      <c r="O91" s="299">
        <v>0</v>
      </c>
      <c r="P91" s="299">
        <v>1</v>
      </c>
      <c r="Q91" s="299">
        <v>0</v>
      </c>
      <c r="R91" s="299">
        <v>0</v>
      </c>
      <c r="S91" s="299">
        <v>0</v>
      </c>
      <c r="T91" s="299">
        <v>0</v>
      </c>
      <c r="U91" s="299">
        <v>0</v>
      </c>
      <c r="V91" s="299">
        <v>0</v>
      </c>
      <c r="W91" s="299">
        <v>0</v>
      </c>
      <c r="X91" s="299">
        <v>0</v>
      </c>
      <c r="Y91" s="278">
        <v>0</v>
      </c>
      <c r="Z91" s="278">
        <v>1</v>
      </c>
      <c r="AA91" s="278">
        <v>0</v>
      </c>
      <c r="AB91" s="299">
        <v>0</v>
      </c>
      <c r="AC91" s="299">
        <v>0</v>
      </c>
      <c r="AD91" s="278">
        <v>1</v>
      </c>
      <c r="AE91" s="276" t="s">
        <v>66</v>
      </c>
      <c r="AF91" s="276" t="s">
        <v>117</v>
      </c>
      <c r="AG91" s="281" t="s">
        <v>554</v>
      </c>
      <c r="AH91" s="281"/>
      <c r="AI91" s="281" t="s">
        <v>2561</v>
      </c>
      <c r="AJ91" s="300">
        <v>100000</v>
      </c>
      <c r="AK91" s="281" t="s">
        <v>305</v>
      </c>
    </row>
    <row r="92" spans="1:37" x14ac:dyDescent="0.35">
      <c r="A92" s="428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02">
        <f>SUM(O13:O91)</f>
        <v>27.35</v>
      </c>
      <c r="P92" s="602">
        <f>SUM(P13:P91)</f>
        <v>36.769999999999996</v>
      </c>
      <c r="Q92" s="602">
        <f>SUM(Q13:Q91)</f>
        <v>8.2899999999999991</v>
      </c>
      <c r="R92" s="602">
        <f>SUM(R13:R91)</f>
        <v>0</v>
      </c>
      <c r="S92" s="602"/>
      <c r="T92" s="602">
        <f>SUM(T13:T91)</f>
        <v>6.57</v>
      </c>
      <c r="U92" s="602">
        <f>SUM(U13:U91)</f>
        <v>4.91</v>
      </c>
      <c r="V92" s="602">
        <f>SUM(V13:V91)</f>
        <v>2.5</v>
      </c>
      <c r="W92" s="602">
        <f>SUM(W13:W91)</f>
        <v>0</v>
      </c>
      <c r="X92" s="602"/>
      <c r="Y92" s="602">
        <f>SUM(Y13:Y91)</f>
        <v>33.92</v>
      </c>
      <c r="Z92" s="602">
        <f>SUM(Z13:Z91)</f>
        <v>41.68</v>
      </c>
      <c r="AA92" s="602">
        <f>SUM(AA13:AA91)</f>
        <v>10.79</v>
      </c>
      <c r="AB92" s="602">
        <f>SUM(AB13:AB91)</f>
        <v>0</v>
      </c>
      <c r="AC92" s="602"/>
      <c r="AD92" s="602">
        <f>SUM(AD13:AD91)</f>
        <v>86.390000000000015</v>
      </c>
      <c r="AE92" s="602"/>
      <c r="AF92" s="602"/>
      <c r="AG92" s="602"/>
      <c r="AH92" s="602"/>
      <c r="AI92" s="602"/>
      <c r="AJ92" s="429">
        <f>SUM(AJ13:AJ91)</f>
        <v>18618200</v>
      </c>
      <c r="AK92" s="602"/>
    </row>
  </sheetData>
  <mergeCells count="23">
    <mergeCell ref="T11:X11"/>
    <mergeCell ref="Y11:AD11"/>
    <mergeCell ref="B92:N92"/>
    <mergeCell ref="J10:K10"/>
    <mergeCell ref="L10:M10"/>
    <mergeCell ref="O10:AD10"/>
    <mergeCell ref="H11:H12"/>
    <mergeCell ref="I11:I12"/>
    <mergeCell ref="J11:J12"/>
    <mergeCell ref="K11:K12"/>
    <mergeCell ref="L11:L12"/>
    <mergeCell ref="M11:M12"/>
    <mergeCell ref="O11:S11"/>
    <mergeCell ref="A1:AI1"/>
    <mergeCell ref="A4:AI4"/>
    <mergeCell ref="AF7:AI7"/>
    <mergeCell ref="AF8:AI8"/>
    <mergeCell ref="A9:AI9"/>
    <mergeCell ref="A10:A12"/>
    <mergeCell ref="B10:B12"/>
    <mergeCell ref="C10:C12"/>
    <mergeCell ref="E10:G10"/>
    <mergeCell ref="H10:I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6"/>
  <sheetViews>
    <sheetView tabSelected="1" topLeftCell="E1" zoomScale="139" zoomScaleNormal="139" workbookViewId="0">
      <selection activeCell="H52" sqref="H52"/>
    </sheetView>
  </sheetViews>
  <sheetFormatPr baseColWidth="10" defaultColWidth="11.453125" defaultRowHeight="14.5" x14ac:dyDescent="0.35"/>
  <cols>
    <col min="2" max="2" width="16.81640625" customWidth="1"/>
    <col min="3" max="3" width="18.54296875" customWidth="1"/>
    <col min="4" max="4" width="24.54296875" customWidth="1"/>
    <col min="5" max="5" width="13.7265625" customWidth="1"/>
    <col min="6" max="6" width="14.1796875" customWidth="1"/>
    <col min="8" max="8" width="25.6328125" customWidth="1"/>
    <col min="34" max="34" width="34.81640625" customWidth="1"/>
    <col min="36" max="36" width="18.81640625" customWidth="1"/>
  </cols>
  <sheetData>
    <row r="1" spans="1:37" ht="15.5" x14ac:dyDescent="0.35">
      <c r="A1" s="671" t="s">
        <v>0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</row>
    <row r="2" spans="1:37" ht="15.5" x14ac:dyDescent="0.35">
      <c r="A2" s="259" t="s">
        <v>1994</v>
      </c>
      <c r="B2" s="259"/>
      <c r="C2" s="259"/>
      <c r="D2" s="259"/>
      <c r="E2" s="259"/>
      <c r="F2" s="259"/>
      <c r="G2" s="259"/>
      <c r="H2" s="259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"/>
      <c r="AK2" s="59"/>
    </row>
    <row r="3" spans="1:37" ht="15.5" x14ac:dyDescent="0.35">
      <c r="A3" s="259" t="s">
        <v>290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59"/>
      <c r="AK3" s="59"/>
    </row>
    <row r="4" spans="1:37" ht="15.5" x14ac:dyDescent="0.35">
      <c r="A4" s="671" t="s">
        <v>291</v>
      </c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  <c r="AB4" s="671"/>
      <c r="AC4" s="671"/>
      <c r="AD4" s="671"/>
      <c r="AE4" s="671"/>
      <c r="AF4" s="671"/>
      <c r="AG4" s="671"/>
      <c r="AH4" s="671"/>
      <c r="AI4" s="671"/>
      <c r="AJ4" s="59"/>
      <c r="AK4" s="59"/>
    </row>
    <row r="5" spans="1:37" ht="15.5" x14ac:dyDescent="0.35">
      <c r="A5" s="579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139"/>
      <c r="O5" s="579"/>
      <c r="P5" s="579"/>
      <c r="Q5" s="579"/>
      <c r="R5" s="579"/>
      <c r="S5" s="579"/>
      <c r="T5" s="579"/>
      <c r="U5" s="579"/>
      <c r="V5" s="579"/>
      <c r="W5" s="579"/>
      <c r="X5" s="579"/>
      <c r="Y5" s="579"/>
      <c r="Z5" s="579"/>
      <c r="AA5" s="579"/>
      <c r="AB5" s="579"/>
      <c r="AC5" s="579"/>
      <c r="AD5" s="579"/>
      <c r="AE5" s="579"/>
      <c r="AF5" s="579"/>
      <c r="AG5" s="579"/>
      <c r="AH5" s="579"/>
      <c r="AI5" s="579"/>
      <c r="AJ5" s="59"/>
      <c r="AK5" s="59"/>
    </row>
    <row r="6" spans="1:37" ht="15" thickBot="1" x14ac:dyDescent="0.4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62"/>
      <c r="O6" s="59"/>
      <c r="P6" s="59"/>
      <c r="Q6" s="59"/>
      <c r="R6" s="59"/>
      <c r="S6" s="59"/>
      <c r="T6" s="59"/>
      <c r="U6" s="59"/>
      <c r="V6" s="59"/>
      <c r="W6" s="59"/>
      <c r="X6" s="59"/>
      <c r="Y6" s="61"/>
      <c r="Z6" s="61"/>
      <c r="AA6" s="61"/>
      <c r="AB6" s="61"/>
      <c r="AC6" s="61"/>
      <c r="AD6" s="61"/>
      <c r="AE6" s="61"/>
      <c r="AF6" s="59"/>
      <c r="AG6" s="59"/>
      <c r="AH6" s="59"/>
      <c r="AI6" s="59"/>
      <c r="AJ6" s="59"/>
      <c r="AK6" s="59"/>
    </row>
    <row r="7" spans="1:37" ht="16" thickBot="1" x14ac:dyDescent="0.4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72" t="s">
        <v>2562</v>
      </c>
      <c r="AG7" s="673"/>
      <c r="AH7" s="673"/>
      <c r="AI7" s="674"/>
      <c r="AJ7" s="59"/>
      <c r="AK7" s="59"/>
    </row>
    <row r="8" spans="1:37" ht="16" thickBot="1" x14ac:dyDescent="0.4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430"/>
      <c r="AF8" s="700" t="s">
        <v>2283</v>
      </c>
      <c r="AG8" s="701"/>
      <c r="AH8" s="702"/>
      <c r="AI8" s="702"/>
      <c r="AJ8" s="431"/>
      <c r="AK8" s="59"/>
    </row>
    <row r="9" spans="1:37" ht="16" thickBot="1" x14ac:dyDescent="0.4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432"/>
      <c r="AF9" s="434"/>
      <c r="AG9" s="434"/>
      <c r="AH9" s="434"/>
      <c r="AI9" s="434"/>
      <c r="AJ9" s="433"/>
      <c r="AK9" s="59"/>
    </row>
    <row r="10" spans="1:37" s="308" customFormat="1" ht="15" thickBot="1" x14ac:dyDescent="0.4">
      <c r="A10" s="696" t="s">
        <v>4</v>
      </c>
      <c r="B10" s="703" t="s">
        <v>5</v>
      </c>
      <c r="C10" s="706" t="s">
        <v>6</v>
      </c>
      <c r="D10" s="603" t="s">
        <v>7</v>
      </c>
      <c r="E10" s="689" t="s">
        <v>8</v>
      </c>
      <c r="F10" s="690"/>
      <c r="G10" s="691"/>
      <c r="H10" s="444" t="s">
        <v>9</v>
      </c>
      <c r="I10" s="445"/>
      <c r="J10" s="444" t="s">
        <v>10</v>
      </c>
      <c r="K10" s="445"/>
      <c r="L10" s="444" t="s">
        <v>11</v>
      </c>
      <c r="M10" s="445"/>
      <c r="N10" s="603" t="s">
        <v>12</v>
      </c>
      <c r="O10" s="689" t="s">
        <v>13</v>
      </c>
      <c r="P10" s="690"/>
      <c r="Q10" s="690"/>
      <c r="R10" s="690"/>
      <c r="S10" s="690"/>
      <c r="T10" s="690"/>
      <c r="U10" s="690"/>
      <c r="V10" s="690"/>
      <c r="W10" s="690"/>
      <c r="X10" s="690"/>
      <c r="Y10" s="690"/>
      <c r="Z10" s="690"/>
      <c r="AA10" s="690"/>
      <c r="AB10" s="690"/>
      <c r="AC10" s="690"/>
      <c r="AD10" s="691"/>
      <c r="AE10" s="692" t="s">
        <v>294</v>
      </c>
      <c r="AF10" s="692" t="s">
        <v>295</v>
      </c>
      <c r="AG10" s="692" t="s">
        <v>2563</v>
      </c>
      <c r="AH10" s="606" t="s">
        <v>14</v>
      </c>
      <c r="AI10" s="606" t="s">
        <v>15</v>
      </c>
      <c r="AJ10" s="605" t="s">
        <v>16</v>
      </c>
      <c r="AK10" s="606" t="s">
        <v>17</v>
      </c>
    </row>
    <row r="11" spans="1:37" s="308" customFormat="1" ht="15" thickBot="1" x14ac:dyDescent="0.4">
      <c r="A11" s="696"/>
      <c r="B11" s="704"/>
      <c r="C11" s="707"/>
      <c r="D11" s="604" t="s">
        <v>18</v>
      </c>
      <c r="E11" s="692" t="s">
        <v>19</v>
      </c>
      <c r="F11" s="692" t="s">
        <v>20</v>
      </c>
      <c r="G11" s="709" t="s">
        <v>21</v>
      </c>
      <c r="H11" s="692" t="s">
        <v>22</v>
      </c>
      <c r="I11" s="692" t="s">
        <v>23</v>
      </c>
      <c r="J11" s="692" t="s">
        <v>22</v>
      </c>
      <c r="K11" s="692" t="s">
        <v>23</v>
      </c>
      <c r="L11" s="692" t="s">
        <v>22</v>
      </c>
      <c r="M11" s="692" t="s">
        <v>23</v>
      </c>
      <c r="N11" s="693" t="s">
        <v>297</v>
      </c>
      <c r="O11" s="446"/>
      <c r="P11" s="447"/>
      <c r="Q11" s="448" t="s">
        <v>24</v>
      </c>
      <c r="R11" s="447"/>
      <c r="S11" s="447"/>
      <c r="T11" s="696" t="s">
        <v>25</v>
      </c>
      <c r="U11" s="696"/>
      <c r="V11" s="696"/>
      <c r="W11" s="696"/>
      <c r="X11" s="696"/>
      <c r="Y11" s="689" t="s">
        <v>44</v>
      </c>
      <c r="Z11" s="690"/>
      <c r="AA11" s="690"/>
      <c r="AB11" s="690"/>
      <c r="AC11" s="690"/>
      <c r="AD11" s="691"/>
      <c r="AE11" s="693"/>
      <c r="AF11" s="693"/>
      <c r="AG11" s="693"/>
      <c r="AH11" s="606" t="s">
        <v>30</v>
      </c>
      <c r="AI11" s="606" t="s">
        <v>31</v>
      </c>
      <c r="AJ11" s="606" t="s">
        <v>32</v>
      </c>
      <c r="AK11" s="606" t="s">
        <v>296</v>
      </c>
    </row>
    <row r="12" spans="1:37" s="308" customFormat="1" ht="15" customHeight="1" thickBot="1" x14ac:dyDescent="0.4">
      <c r="A12" s="696"/>
      <c r="B12" s="705"/>
      <c r="C12" s="708"/>
      <c r="D12" s="604" t="s">
        <v>34</v>
      </c>
      <c r="E12" s="694"/>
      <c r="F12" s="694"/>
      <c r="G12" s="710"/>
      <c r="H12" s="694"/>
      <c r="I12" s="694"/>
      <c r="J12" s="694"/>
      <c r="K12" s="694"/>
      <c r="L12" s="694"/>
      <c r="M12" s="694"/>
      <c r="N12" s="695"/>
      <c r="O12" s="80" t="s">
        <v>39</v>
      </c>
      <c r="P12" s="80" t="s">
        <v>40</v>
      </c>
      <c r="Q12" s="80" t="s">
        <v>41</v>
      </c>
      <c r="R12" s="80" t="s">
        <v>42</v>
      </c>
      <c r="S12" s="449" t="s">
        <v>43</v>
      </c>
      <c r="T12" s="606" t="s">
        <v>39</v>
      </c>
      <c r="U12" s="606" t="s">
        <v>40</v>
      </c>
      <c r="V12" s="606" t="s">
        <v>41</v>
      </c>
      <c r="W12" s="606" t="s">
        <v>42</v>
      </c>
      <c r="X12" s="606" t="s">
        <v>43</v>
      </c>
      <c r="Y12" s="606" t="s">
        <v>39</v>
      </c>
      <c r="Z12" s="606" t="s">
        <v>40</v>
      </c>
      <c r="AA12" s="606" t="s">
        <v>41</v>
      </c>
      <c r="AB12" s="606" t="s">
        <v>42</v>
      </c>
      <c r="AC12" s="606" t="s">
        <v>43</v>
      </c>
      <c r="AD12" s="606" t="s">
        <v>44</v>
      </c>
      <c r="AE12" s="694"/>
      <c r="AF12" s="694"/>
      <c r="AG12" s="694"/>
      <c r="AH12" s="606" t="s">
        <v>46</v>
      </c>
      <c r="AI12" s="606" t="s">
        <v>299</v>
      </c>
      <c r="AJ12" s="606" t="s">
        <v>48</v>
      </c>
      <c r="AK12" s="450"/>
    </row>
    <row r="13" spans="1:37" s="308" customFormat="1" ht="14.25" customHeight="1" thickBot="1" x14ac:dyDescent="0.4">
      <c r="A13" s="451">
        <v>1</v>
      </c>
      <c r="B13" s="452" t="s">
        <v>78</v>
      </c>
      <c r="C13" s="453" t="s">
        <v>107</v>
      </c>
      <c r="D13" s="454" t="s">
        <v>2564</v>
      </c>
      <c r="E13" s="454" t="s">
        <v>2565</v>
      </c>
      <c r="F13" s="454" t="s">
        <v>2566</v>
      </c>
      <c r="G13" s="607"/>
      <c r="H13" s="753">
        <v>42900</v>
      </c>
      <c r="I13" s="455">
        <v>1450</v>
      </c>
      <c r="J13" s="455">
        <v>14062017</v>
      </c>
      <c r="K13" s="455">
        <v>1550</v>
      </c>
      <c r="L13" s="455">
        <v>14062017</v>
      </c>
      <c r="M13" s="455">
        <v>1930</v>
      </c>
      <c r="N13" s="456" t="s">
        <v>62</v>
      </c>
      <c r="O13" s="457">
        <v>0.5</v>
      </c>
      <c r="P13" s="457"/>
      <c r="Q13" s="457"/>
      <c r="R13" s="457"/>
      <c r="S13" s="458"/>
      <c r="T13" s="457"/>
      <c r="U13" s="457"/>
      <c r="V13" s="457"/>
      <c r="W13" s="457"/>
      <c r="X13" s="606"/>
      <c r="Y13" s="459">
        <f>O13+T13</f>
        <v>0.5</v>
      </c>
      <c r="Z13" s="459">
        <f t="shared" ref="Z13:AA28" si="0">P13+U13</f>
        <v>0</v>
      </c>
      <c r="AA13" s="459">
        <f t="shared" si="0"/>
        <v>0</v>
      </c>
      <c r="AB13" s="459"/>
      <c r="AC13" s="459"/>
      <c r="AD13" s="459">
        <f>Y13+Z13+AA13+AB13+AC13</f>
        <v>0.5</v>
      </c>
      <c r="AE13" s="460" t="s">
        <v>117</v>
      </c>
      <c r="AF13" s="460" t="s">
        <v>2567</v>
      </c>
      <c r="AG13" s="461" t="s">
        <v>554</v>
      </c>
      <c r="AH13" s="454" t="s">
        <v>2568</v>
      </c>
      <c r="AI13" s="462" t="s">
        <v>304</v>
      </c>
      <c r="AJ13" s="463">
        <v>12827</v>
      </c>
      <c r="AK13" s="464" t="s">
        <v>305</v>
      </c>
    </row>
    <row r="14" spans="1:37" s="308" customFormat="1" ht="14.25" customHeight="1" thickBot="1" x14ac:dyDescent="0.4">
      <c r="A14" s="451">
        <v>2</v>
      </c>
      <c r="B14" s="452" t="s">
        <v>78</v>
      </c>
      <c r="C14" s="453" t="s">
        <v>107</v>
      </c>
      <c r="D14" s="454" t="s">
        <v>2564</v>
      </c>
      <c r="E14" s="454" t="s">
        <v>2569</v>
      </c>
      <c r="F14" s="454" t="s">
        <v>2570</v>
      </c>
      <c r="G14" s="607"/>
      <c r="H14" s="753">
        <v>42903</v>
      </c>
      <c r="I14" s="465">
        <v>1340</v>
      </c>
      <c r="J14" s="465">
        <v>17062017</v>
      </c>
      <c r="K14" s="465">
        <v>1400</v>
      </c>
      <c r="L14" s="465">
        <v>17062017</v>
      </c>
      <c r="M14" s="465">
        <v>1600</v>
      </c>
      <c r="N14" s="456" t="s">
        <v>41</v>
      </c>
      <c r="O14" s="459"/>
      <c r="P14" s="459"/>
      <c r="Q14" s="459">
        <v>0.5</v>
      </c>
      <c r="R14" s="459"/>
      <c r="S14" s="466"/>
      <c r="T14" s="459"/>
      <c r="U14" s="459"/>
      <c r="V14" s="459"/>
      <c r="W14" s="459"/>
      <c r="X14" s="606"/>
      <c r="Y14" s="459">
        <f>O14+T14</f>
        <v>0</v>
      </c>
      <c r="Z14" s="459">
        <f t="shared" si="0"/>
        <v>0</v>
      </c>
      <c r="AA14" s="459">
        <f t="shared" si="0"/>
        <v>0.5</v>
      </c>
      <c r="AB14" s="459"/>
      <c r="AC14" s="459"/>
      <c r="AD14" s="459">
        <f>Y14+Z14+AA14+AB14+AC14</f>
        <v>0.5</v>
      </c>
      <c r="AE14" s="460" t="s">
        <v>2571</v>
      </c>
      <c r="AF14" s="460" t="s">
        <v>2567</v>
      </c>
      <c r="AG14" s="461" t="s">
        <v>57</v>
      </c>
      <c r="AH14" s="454" t="s">
        <v>2572</v>
      </c>
      <c r="AI14" s="462" t="s">
        <v>473</v>
      </c>
      <c r="AJ14" s="467">
        <v>61500</v>
      </c>
      <c r="AK14" s="464" t="s">
        <v>305</v>
      </c>
    </row>
    <row r="15" spans="1:37" s="308" customFormat="1" ht="14.25" customHeight="1" thickBot="1" x14ac:dyDescent="0.4">
      <c r="A15" s="451">
        <v>3</v>
      </c>
      <c r="B15" s="445" t="s">
        <v>2573</v>
      </c>
      <c r="C15" s="468" t="s">
        <v>2573</v>
      </c>
      <c r="D15" s="468" t="s">
        <v>2574</v>
      </c>
      <c r="E15" s="454" t="s">
        <v>2575</v>
      </c>
      <c r="F15" s="469" t="s">
        <v>2576</v>
      </c>
      <c r="G15" s="607"/>
      <c r="H15" s="754">
        <v>42913</v>
      </c>
      <c r="I15" s="470">
        <v>1500</v>
      </c>
      <c r="J15" s="470">
        <v>27062017</v>
      </c>
      <c r="K15" s="470">
        <v>1515</v>
      </c>
      <c r="L15" s="470">
        <v>27062017</v>
      </c>
      <c r="M15" s="470">
        <v>1600</v>
      </c>
      <c r="N15" s="456" t="s">
        <v>81</v>
      </c>
      <c r="O15" s="459"/>
      <c r="P15" s="459"/>
      <c r="Q15" s="459"/>
      <c r="R15" s="459"/>
      <c r="S15" s="466"/>
      <c r="T15" s="459"/>
      <c r="U15" s="459">
        <v>0.05</v>
      </c>
      <c r="V15" s="459"/>
      <c r="W15" s="459"/>
      <c r="X15" s="606"/>
      <c r="Y15" s="459">
        <f>O15+T15</f>
        <v>0</v>
      </c>
      <c r="Z15" s="459">
        <f t="shared" si="0"/>
        <v>0.05</v>
      </c>
      <c r="AA15" s="459">
        <f t="shared" si="0"/>
        <v>0</v>
      </c>
      <c r="AB15" s="459"/>
      <c r="AC15" s="459"/>
      <c r="AD15" s="459">
        <f>Y15+Z15+AA15+AB15+AC15</f>
        <v>0.05</v>
      </c>
      <c r="AE15" s="460" t="s">
        <v>117</v>
      </c>
      <c r="AF15" s="460" t="s">
        <v>2567</v>
      </c>
      <c r="AG15" s="461" t="s">
        <v>493</v>
      </c>
      <c r="AH15" s="454" t="s">
        <v>2577</v>
      </c>
      <c r="AI15" s="462" t="s">
        <v>304</v>
      </c>
      <c r="AJ15" s="467">
        <v>2500</v>
      </c>
      <c r="AK15" s="464" t="s">
        <v>305</v>
      </c>
    </row>
    <row r="16" spans="1:37" s="308" customFormat="1" ht="14.25" customHeight="1" thickBot="1" x14ac:dyDescent="0.4">
      <c r="A16" s="451">
        <v>4</v>
      </c>
      <c r="B16" s="445" t="s">
        <v>208</v>
      </c>
      <c r="C16" s="468" t="s">
        <v>2005</v>
      </c>
      <c r="D16" s="468" t="s">
        <v>2578</v>
      </c>
      <c r="E16" s="454" t="s">
        <v>2579</v>
      </c>
      <c r="F16" s="454" t="s">
        <v>2580</v>
      </c>
      <c r="G16" s="607"/>
      <c r="H16" s="754">
        <v>42913</v>
      </c>
      <c r="I16" s="470">
        <v>2030</v>
      </c>
      <c r="J16" s="470">
        <v>27062017</v>
      </c>
      <c r="K16" s="471">
        <v>2040</v>
      </c>
      <c r="L16" s="470">
        <v>27062017</v>
      </c>
      <c r="M16" s="471">
        <v>2200</v>
      </c>
      <c r="N16" s="456" t="s">
        <v>484</v>
      </c>
      <c r="O16" s="459"/>
      <c r="P16" s="459">
        <v>0.5</v>
      </c>
      <c r="Q16" s="459"/>
      <c r="R16" s="459"/>
      <c r="S16" s="466"/>
      <c r="T16" s="459"/>
      <c r="U16" s="459"/>
      <c r="V16" s="459"/>
      <c r="W16" s="459"/>
      <c r="X16" s="606"/>
      <c r="Y16" s="459">
        <f>O16+T16</f>
        <v>0</v>
      </c>
      <c r="Z16" s="459">
        <f t="shared" si="0"/>
        <v>0.5</v>
      </c>
      <c r="AA16" s="459">
        <f t="shared" si="0"/>
        <v>0</v>
      </c>
      <c r="AB16" s="459"/>
      <c r="AC16" s="459"/>
      <c r="AD16" s="459">
        <f>Y16+Z16+AA16+AB16+AC16</f>
        <v>0.5</v>
      </c>
      <c r="AE16" s="456" t="s">
        <v>2581</v>
      </c>
      <c r="AF16" s="460" t="s">
        <v>2567</v>
      </c>
      <c r="AG16" s="472" t="s">
        <v>72</v>
      </c>
      <c r="AH16" s="454" t="s">
        <v>2582</v>
      </c>
      <c r="AI16" s="454" t="s">
        <v>304</v>
      </c>
      <c r="AJ16" s="467">
        <v>16000</v>
      </c>
      <c r="AK16" s="464" t="s">
        <v>305</v>
      </c>
    </row>
    <row r="17" spans="1:37" s="308" customFormat="1" ht="14.25" customHeight="1" thickBot="1" x14ac:dyDescent="0.4">
      <c r="A17" s="451">
        <v>5</v>
      </c>
      <c r="B17" s="445" t="s">
        <v>198</v>
      </c>
      <c r="C17" s="468" t="s">
        <v>198</v>
      </c>
      <c r="D17" s="468" t="s">
        <v>2583</v>
      </c>
      <c r="E17" s="454" t="s">
        <v>2584</v>
      </c>
      <c r="F17" s="454" t="s">
        <v>2585</v>
      </c>
      <c r="G17" s="607"/>
      <c r="H17" s="753">
        <v>42915</v>
      </c>
      <c r="I17" s="471">
        <v>1150</v>
      </c>
      <c r="J17" s="471">
        <v>29062017</v>
      </c>
      <c r="K17" s="471">
        <v>1205</v>
      </c>
      <c r="L17" s="471">
        <v>29062017</v>
      </c>
      <c r="M17" s="471">
        <v>1400</v>
      </c>
      <c r="N17" s="456" t="s">
        <v>484</v>
      </c>
      <c r="O17" s="459"/>
      <c r="P17" s="459">
        <v>0.25</v>
      </c>
      <c r="Q17" s="459"/>
      <c r="R17" s="459"/>
      <c r="S17" s="466"/>
      <c r="T17" s="459"/>
      <c r="U17" s="459"/>
      <c r="V17" s="459"/>
      <c r="W17" s="459"/>
      <c r="X17" s="606"/>
      <c r="Y17" s="459">
        <f>O17+T17</f>
        <v>0</v>
      </c>
      <c r="Z17" s="459">
        <f t="shared" si="0"/>
        <v>0.25</v>
      </c>
      <c r="AA17" s="459">
        <f t="shared" si="0"/>
        <v>0</v>
      </c>
      <c r="AB17" s="459"/>
      <c r="AC17" s="459"/>
      <c r="AD17" s="459">
        <f>Y17+Z17+AA17+AB17+AC17</f>
        <v>0.25</v>
      </c>
      <c r="AE17" s="460" t="s">
        <v>2571</v>
      </c>
      <c r="AF17" s="460" t="s">
        <v>2567</v>
      </c>
      <c r="AG17" s="472" t="s">
        <v>72</v>
      </c>
      <c r="AH17" s="454" t="s">
        <v>2586</v>
      </c>
      <c r="AI17" s="462" t="s">
        <v>2587</v>
      </c>
      <c r="AJ17" s="467">
        <v>8000</v>
      </c>
      <c r="AK17" s="464" t="s">
        <v>305</v>
      </c>
    </row>
    <row r="18" spans="1:37" s="308" customFormat="1" ht="14.25" customHeight="1" thickBot="1" x14ac:dyDescent="0.4">
      <c r="A18" s="451">
        <v>6</v>
      </c>
      <c r="B18" s="445" t="s">
        <v>2573</v>
      </c>
      <c r="C18" s="473" t="s">
        <v>157</v>
      </c>
      <c r="D18" s="474" t="s">
        <v>2588</v>
      </c>
      <c r="E18" s="474" t="s">
        <v>2589</v>
      </c>
      <c r="F18" s="475" t="s">
        <v>2590</v>
      </c>
      <c r="G18" s="607"/>
      <c r="H18" s="755">
        <v>42920</v>
      </c>
      <c r="I18" s="477">
        <v>1440</v>
      </c>
      <c r="J18" s="476">
        <v>4072017</v>
      </c>
      <c r="K18" s="477">
        <v>1525</v>
      </c>
      <c r="L18" s="476">
        <v>4072017</v>
      </c>
      <c r="M18" s="477">
        <v>2130</v>
      </c>
      <c r="N18" s="606" t="s">
        <v>2591</v>
      </c>
      <c r="O18" s="457"/>
      <c r="P18" s="457">
        <v>1.5</v>
      </c>
      <c r="Q18" s="457"/>
      <c r="R18" s="457"/>
      <c r="S18" s="458"/>
      <c r="T18" s="457"/>
      <c r="U18" s="457"/>
      <c r="V18" s="457"/>
      <c r="W18" s="457"/>
      <c r="X18" s="606"/>
      <c r="Y18" s="459">
        <f t="shared" ref="Y18:AA77" si="1">O18+T18</f>
        <v>0</v>
      </c>
      <c r="Z18" s="459">
        <f t="shared" si="0"/>
        <v>1.5</v>
      </c>
      <c r="AA18" s="459">
        <f t="shared" si="0"/>
        <v>0</v>
      </c>
      <c r="AB18" s="459"/>
      <c r="AC18" s="459"/>
      <c r="AD18" s="459">
        <f t="shared" ref="AD18:AD81" si="2">Y18+Z18+AA18+AB18+AC18</f>
        <v>1.5</v>
      </c>
      <c r="AE18" s="456" t="s">
        <v>117</v>
      </c>
      <c r="AF18" s="456" t="s">
        <v>2567</v>
      </c>
      <c r="AG18" s="456" t="s">
        <v>72</v>
      </c>
      <c r="AH18" s="454" t="s">
        <v>2592</v>
      </c>
      <c r="AI18" s="454" t="s">
        <v>2593</v>
      </c>
      <c r="AJ18" s="467">
        <v>50000</v>
      </c>
      <c r="AK18" s="464" t="s">
        <v>305</v>
      </c>
    </row>
    <row r="19" spans="1:37" s="308" customFormat="1" ht="14.25" customHeight="1" thickBot="1" x14ac:dyDescent="0.4">
      <c r="A19" s="451">
        <v>7</v>
      </c>
      <c r="B19" s="478" t="s">
        <v>83</v>
      </c>
      <c r="C19" s="474" t="s">
        <v>95</v>
      </c>
      <c r="D19" s="473" t="s">
        <v>2594</v>
      </c>
      <c r="E19" s="474" t="s">
        <v>2595</v>
      </c>
      <c r="F19" s="474" t="s">
        <v>2596</v>
      </c>
      <c r="G19" s="607"/>
      <c r="H19" s="755">
        <v>42921</v>
      </c>
      <c r="I19" s="479">
        <v>910</v>
      </c>
      <c r="J19" s="476">
        <v>5072017</v>
      </c>
      <c r="K19" s="477">
        <v>920</v>
      </c>
      <c r="L19" s="476">
        <v>5072017</v>
      </c>
      <c r="M19" s="479">
        <v>1130</v>
      </c>
      <c r="N19" s="606" t="s">
        <v>1352</v>
      </c>
      <c r="O19" s="457"/>
      <c r="P19" s="457">
        <v>0.15</v>
      </c>
      <c r="Q19" s="457"/>
      <c r="R19" s="457"/>
      <c r="S19" s="458"/>
      <c r="T19" s="457"/>
      <c r="U19" s="457"/>
      <c r="V19" s="457"/>
      <c r="W19" s="457"/>
      <c r="X19" s="606"/>
      <c r="Y19" s="459">
        <f t="shared" si="1"/>
        <v>0</v>
      </c>
      <c r="Z19" s="459">
        <f t="shared" si="0"/>
        <v>0.15</v>
      </c>
      <c r="AA19" s="459">
        <f t="shared" si="0"/>
        <v>0</v>
      </c>
      <c r="AB19" s="459"/>
      <c r="AC19" s="459"/>
      <c r="AD19" s="459">
        <f t="shared" si="2"/>
        <v>0.15</v>
      </c>
      <c r="AE19" s="456" t="s">
        <v>117</v>
      </c>
      <c r="AF19" s="460" t="s">
        <v>2567</v>
      </c>
      <c r="AG19" s="456" t="s">
        <v>72</v>
      </c>
      <c r="AH19" s="454" t="s">
        <v>2597</v>
      </c>
      <c r="AI19" s="454" t="s">
        <v>2598</v>
      </c>
      <c r="AJ19" s="467">
        <v>41310</v>
      </c>
      <c r="AK19" s="464" t="s">
        <v>305</v>
      </c>
    </row>
    <row r="20" spans="1:37" s="308" customFormat="1" ht="14.25" customHeight="1" thickBot="1" x14ac:dyDescent="0.4">
      <c r="A20" s="451">
        <v>8</v>
      </c>
      <c r="B20" s="445" t="s">
        <v>2573</v>
      </c>
      <c r="C20" s="468" t="s">
        <v>2573</v>
      </c>
      <c r="D20" s="474" t="s">
        <v>2588</v>
      </c>
      <c r="E20" s="474" t="s">
        <v>2589</v>
      </c>
      <c r="F20" s="475" t="s">
        <v>2590</v>
      </c>
      <c r="G20" s="607"/>
      <c r="H20" s="755">
        <v>43047</v>
      </c>
      <c r="I20" s="479">
        <v>1330</v>
      </c>
      <c r="J20" s="476">
        <v>8112017</v>
      </c>
      <c r="K20" s="477">
        <v>1340</v>
      </c>
      <c r="L20" s="476">
        <v>8112017</v>
      </c>
      <c r="M20" s="479">
        <v>1515</v>
      </c>
      <c r="N20" s="606" t="s">
        <v>62</v>
      </c>
      <c r="O20" s="457">
        <v>0.1</v>
      </c>
      <c r="P20" s="457"/>
      <c r="Q20" s="457"/>
      <c r="R20" s="457"/>
      <c r="S20" s="458"/>
      <c r="T20" s="457"/>
      <c r="U20" s="457"/>
      <c r="V20" s="457"/>
      <c r="W20" s="457"/>
      <c r="X20" s="606"/>
      <c r="Y20" s="459">
        <f t="shared" si="1"/>
        <v>0.1</v>
      </c>
      <c r="Z20" s="459">
        <f t="shared" si="0"/>
        <v>0</v>
      </c>
      <c r="AA20" s="459">
        <f t="shared" si="0"/>
        <v>0</v>
      </c>
      <c r="AB20" s="459"/>
      <c r="AC20" s="459"/>
      <c r="AD20" s="459">
        <f t="shared" si="2"/>
        <v>0.1</v>
      </c>
      <c r="AE20" s="456" t="s">
        <v>117</v>
      </c>
      <c r="AF20" s="456" t="s">
        <v>2567</v>
      </c>
      <c r="AG20" s="456" t="s">
        <v>72</v>
      </c>
      <c r="AH20" s="454" t="s">
        <v>2599</v>
      </c>
      <c r="AI20" s="454" t="s">
        <v>304</v>
      </c>
      <c r="AJ20" s="467">
        <v>6000</v>
      </c>
      <c r="AK20" s="464" t="s">
        <v>305</v>
      </c>
    </row>
    <row r="21" spans="1:37" s="308" customFormat="1" ht="14.25" customHeight="1" thickBot="1" x14ac:dyDescent="0.4">
      <c r="A21" s="451">
        <v>9</v>
      </c>
      <c r="B21" s="478" t="s">
        <v>49</v>
      </c>
      <c r="C21" s="473" t="s">
        <v>137</v>
      </c>
      <c r="D21" s="473" t="s">
        <v>2600</v>
      </c>
      <c r="E21" s="474" t="s">
        <v>2601</v>
      </c>
      <c r="F21" s="474" t="s">
        <v>2602</v>
      </c>
      <c r="G21" s="607"/>
      <c r="H21" s="755">
        <v>42922</v>
      </c>
      <c r="I21" s="477">
        <v>1715</v>
      </c>
      <c r="J21" s="476">
        <v>6072017</v>
      </c>
      <c r="K21" s="477">
        <v>1730</v>
      </c>
      <c r="L21" s="476">
        <v>6072017</v>
      </c>
      <c r="M21" s="477">
        <v>1830</v>
      </c>
      <c r="N21" s="606" t="s">
        <v>1339</v>
      </c>
      <c r="O21" s="457">
        <v>0.5</v>
      </c>
      <c r="P21" s="457"/>
      <c r="Q21" s="457">
        <v>0.5</v>
      </c>
      <c r="R21" s="457"/>
      <c r="S21" s="458"/>
      <c r="T21" s="457"/>
      <c r="U21" s="457"/>
      <c r="V21" s="457"/>
      <c r="W21" s="457"/>
      <c r="X21" s="606"/>
      <c r="Y21" s="459">
        <f t="shared" si="1"/>
        <v>0.5</v>
      </c>
      <c r="Z21" s="459">
        <f t="shared" si="0"/>
        <v>0</v>
      </c>
      <c r="AA21" s="459">
        <f t="shared" si="0"/>
        <v>0.5</v>
      </c>
      <c r="AB21" s="459"/>
      <c r="AC21" s="459"/>
      <c r="AD21" s="459">
        <f t="shared" si="2"/>
        <v>1</v>
      </c>
      <c r="AE21" s="456" t="s">
        <v>117</v>
      </c>
      <c r="AF21" s="460" t="s">
        <v>2567</v>
      </c>
      <c r="AG21" s="456" t="s">
        <v>72</v>
      </c>
      <c r="AH21" s="454" t="s">
        <v>2603</v>
      </c>
      <c r="AI21" s="454" t="s">
        <v>2598</v>
      </c>
      <c r="AJ21" s="467" t="s">
        <v>1991</v>
      </c>
      <c r="AK21" s="464" t="s">
        <v>305</v>
      </c>
    </row>
    <row r="22" spans="1:37" s="308" customFormat="1" ht="14.25" customHeight="1" thickBot="1" x14ac:dyDescent="0.4">
      <c r="A22" s="451">
        <v>10</v>
      </c>
      <c r="B22" s="478" t="s">
        <v>198</v>
      </c>
      <c r="C22" s="473" t="s">
        <v>198</v>
      </c>
      <c r="D22" s="473" t="s">
        <v>2604</v>
      </c>
      <c r="E22" s="474" t="s">
        <v>2605</v>
      </c>
      <c r="F22" s="474" t="s">
        <v>2606</v>
      </c>
      <c r="G22" s="607"/>
      <c r="H22" s="755">
        <v>42922</v>
      </c>
      <c r="I22" s="479">
        <v>1720</v>
      </c>
      <c r="J22" s="476">
        <v>6072017</v>
      </c>
      <c r="K22" s="477">
        <v>1735</v>
      </c>
      <c r="L22" s="476">
        <v>6072017</v>
      </c>
      <c r="M22" s="479">
        <v>1820</v>
      </c>
      <c r="N22" s="606" t="s">
        <v>1495</v>
      </c>
      <c r="O22" s="457">
        <v>0.25</v>
      </c>
      <c r="P22" s="457"/>
      <c r="Q22" s="457"/>
      <c r="R22" s="457"/>
      <c r="S22" s="458"/>
      <c r="T22" s="457"/>
      <c r="U22" s="457"/>
      <c r="V22" s="457"/>
      <c r="W22" s="457"/>
      <c r="X22" s="606"/>
      <c r="Y22" s="459">
        <f t="shared" si="1"/>
        <v>0.25</v>
      </c>
      <c r="Z22" s="459">
        <f t="shared" si="0"/>
        <v>0</v>
      </c>
      <c r="AA22" s="459">
        <f t="shared" si="0"/>
        <v>0</v>
      </c>
      <c r="AB22" s="459"/>
      <c r="AC22" s="459"/>
      <c r="AD22" s="459">
        <f t="shared" si="2"/>
        <v>0.25</v>
      </c>
      <c r="AE22" s="456" t="s">
        <v>2571</v>
      </c>
      <c r="AF22" s="456" t="s">
        <v>2567</v>
      </c>
      <c r="AG22" s="456" t="s">
        <v>57</v>
      </c>
      <c r="AH22" s="454" t="s">
        <v>2607</v>
      </c>
      <c r="AI22" s="454" t="s">
        <v>304</v>
      </c>
      <c r="AJ22" s="467">
        <v>20000</v>
      </c>
      <c r="AK22" s="464" t="s">
        <v>305</v>
      </c>
    </row>
    <row r="23" spans="1:37" s="308" customFormat="1" ht="14.25" customHeight="1" thickBot="1" x14ac:dyDescent="0.4">
      <c r="A23" s="451">
        <v>11</v>
      </c>
      <c r="B23" s="478" t="s">
        <v>78</v>
      </c>
      <c r="C23" s="473" t="s">
        <v>79</v>
      </c>
      <c r="D23" s="454" t="s">
        <v>2564</v>
      </c>
      <c r="E23" s="474" t="s">
        <v>2608</v>
      </c>
      <c r="F23" s="474" t="s">
        <v>2609</v>
      </c>
      <c r="G23" s="607"/>
      <c r="H23" s="755">
        <v>42924</v>
      </c>
      <c r="I23" s="479">
        <v>1400</v>
      </c>
      <c r="J23" s="476">
        <v>8072017</v>
      </c>
      <c r="K23" s="477">
        <v>1445</v>
      </c>
      <c r="L23" s="476">
        <v>8072017</v>
      </c>
      <c r="M23" s="479">
        <v>2130</v>
      </c>
      <c r="N23" s="606" t="s">
        <v>1352</v>
      </c>
      <c r="O23" s="457">
        <v>1</v>
      </c>
      <c r="P23" s="457">
        <v>4</v>
      </c>
      <c r="Q23" s="457"/>
      <c r="R23" s="457"/>
      <c r="S23" s="458"/>
      <c r="T23" s="457"/>
      <c r="U23" s="457"/>
      <c r="V23" s="457"/>
      <c r="W23" s="457"/>
      <c r="X23" s="606"/>
      <c r="Y23" s="459">
        <f t="shared" si="1"/>
        <v>1</v>
      </c>
      <c r="Z23" s="459">
        <f t="shared" si="0"/>
        <v>4</v>
      </c>
      <c r="AA23" s="459">
        <f t="shared" si="0"/>
        <v>0</v>
      </c>
      <c r="AB23" s="459"/>
      <c r="AC23" s="459"/>
      <c r="AD23" s="459">
        <f t="shared" si="2"/>
        <v>5</v>
      </c>
      <c r="AE23" s="456" t="s">
        <v>117</v>
      </c>
      <c r="AF23" s="460" t="s">
        <v>2567</v>
      </c>
      <c r="AG23" s="456" t="s">
        <v>72</v>
      </c>
      <c r="AH23" s="454" t="s">
        <v>2610</v>
      </c>
      <c r="AI23" s="454" t="s">
        <v>2611</v>
      </c>
      <c r="AJ23" s="467">
        <v>180000</v>
      </c>
      <c r="AK23" s="464" t="s">
        <v>305</v>
      </c>
    </row>
    <row r="24" spans="1:37" s="308" customFormat="1" ht="14.25" customHeight="1" thickBot="1" x14ac:dyDescent="0.4">
      <c r="A24" s="451">
        <v>12</v>
      </c>
      <c r="B24" s="445" t="s">
        <v>2573</v>
      </c>
      <c r="C24" s="474" t="s">
        <v>157</v>
      </c>
      <c r="D24" s="474" t="s">
        <v>2588</v>
      </c>
      <c r="E24" s="474" t="s">
        <v>2612</v>
      </c>
      <c r="F24" s="475" t="s">
        <v>2613</v>
      </c>
      <c r="G24" s="607"/>
      <c r="H24" s="755">
        <v>42925</v>
      </c>
      <c r="I24" s="477">
        <v>1900</v>
      </c>
      <c r="J24" s="476">
        <v>9072017</v>
      </c>
      <c r="K24" s="477">
        <v>1930</v>
      </c>
      <c r="L24" s="476">
        <v>9072017</v>
      </c>
      <c r="M24" s="477">
        <v>2000</v>
      </c>
      <c r="N24" s="606" t="s">
        <v>1352</v>
      </c>
      <c r="O24" s="457"/>
      <c r="P24" s="457">
        <v>0.25</v>
      </c>
      <c r="Q24" s="457"/>
      <c r="R24" s="457"/>
      <c r="S24" s="458"/>
      <c r="T24" s="457"/>
      <c r="U24" s="457"/>
      <c r="V24" s="457"/>
      <c r="W24" s="457"/>
      <c r="X24" s="606"/>
      <c r="Y24" s="459">
        <f t="shared" si="1"/>
        <v>0</v>
      </c>
      <c r="Z24" s="459">
        <f t="shared" si="0"/>
        <v>0.25</v>
      </c>
      <c r="AA24" s="459">
        <f t="shared" si="0"/>
        <v>0</v>
      </c>
      <c r="AB24" s="459"/>
      <c r="AC24" s="459"/>
      <c r="AD24" s="459">
        <f t="shared" si="2"/>
        <v>0.25</v>
      </c>
      <c r="AE24" s="456" t="s">
        <v>117</v>
      </c>
      <c r="AF24" s="456" t="s">
        <v>2567</v>
      </c>
      <c r="AG24" s="456" t="s">
        <v>57</v>
      </c>
      <c r="AH24" s="454" t="s">
        <v>2614</v>
      </c>
      <c r="AI24" s="454" t="s">
        <v>65</v>
      </c>
      <c r="AJ24" s="467">
        <v>25000</v>
      </c>
      <c r="AK24" s="464" t="s">
        <v>305</v>
      </c>
    </row>
    <row r="25" spans="1:37" s="308" customFormat="1" ht="14.25" customHeight="1" thickBot="1" x14ac:dyDescent="0.4">
      <c r="A25" s="451">
        <v>13</v>
      </c>
      <c r="B25" s="445" t="s">
        <v>2573</v>
      </c>
      <c r="C25" s="474" t="s">
        <v>157</v>
      </c>
      <c r="D25" s="474" t="s">
        <v>2588</v>
      </c>
      <c r="E25" s="474" t="s">
        <v>2615</v>
      </c>
      <c r="F25" s="475" t="s">
        <v>2616</v>
      </c>
      <c r="G25" s="607"/>
      <c r="H25" s="755">
        <v>42926</v>
      </c>
      <c r="I25" s="477">
        <v>1330</v>
      </c>
      <c r="J25" s="476">
        <v>10072017</v>
      </c>
      <c r="K25" s="477">
        <v>1345</v>
      </c>
      <c r="L25" s="476">
        <v>10072017</v>
      </c>
      <c r="M25" s="477">
        <v>1515</v>
      </c>
      <c r="N25" s="606" t="s">
        <v>1352</v>
      </c>
      <c r="O25" s="457"/>
      <c r="P25" s="457">
        <v>0.5</v>
      </c>
      <c r="Q25" s="457"/>
      <c r="R25" s="457"/>
      <c r="S25" s="458"/>
      <c r="T25" s="457"/>
      <c r="U25" s="457"/>
      <c r="V25" s="457"/>
      <c r="W25" s="457"/>
      <c r="X25" s="606"/>
      <c r="Y25" s="459">
        <f t="shared" si="1"/>
        <v>0</v>
      </c>
      <c r="Z25" s="459">
        <f t="shared" si="0"/>
        <v>0.5</v>
      </c>
      <c r="AA25" s="459">
        <f t="shared" si="0"/>
        <v>0</v>
      </c>
      <c r="AB25" s="459"/>
      <c r="AC25" s="459"/>
      <c r="AD25" s="459">
        <f t="shared" si="2"/>
        <v>0.5</v>
      </c>
      <c r="AE25" s="456" t="s">
        <v>117</v>
      </c>
      <c r="AF25" s="460" t="s">
        <v>2567</v>
      </c>
      <c r="AG25" s="456" t="s">
        <v>72</v>
      </c>
      <c r="AH25" s="474" t="s">
        <v>2617</v>
      </c>
      <c r="AI25" s="454" t="s">
        <v>2598</v>
      </c>
      <c r="AJ25" s="467">
        <v>75000</v>
      </c>
      <c r="AK25" s="464" t="s">
        <v>305</v>
      </c>
    </row>
    <row r="26" spans="1:37" s="308" customFormat="1" ht="14.25" customHeight="1" thickBot="1" x14ac:dyDescent="0.4">
      <c r="A26" s="451">
        <v>14</v>
      </c>
      <c r="B26" s="480" t="s">
        <v>198</v>
      </c>
      <c r="C26" s="474" t="s">
        <v>1429</v>
      </c>
      <c r="D26" s="468" t="s">
        <v>2574</v>
      </c>
      <c r="E26" s="474" t="s">
        <v>2618</v>
      </c>
      <c r="F26" s="474" t="s">
        <v>2619</v>
      </c>
      <c r="G26" s="607"/>
      <c r="H26" s="755">
        <v>42927</v>
      </c>
      <c r="I26" s="479">
        <v>1145</v>
      </c>
      <c r="J26" s="476">
        <v>11072017</v>
      </c>
      <c r="K26" s="477">
        <v>1210</v>
      </c>
      <c r="L26" s="476">
        <v>11072017</v>
      </c>
      <c r="M26" s="479">
        <v>1600</v>
      </c>
      <c r="N26" s="606" t="s">
        <v>62</v>
      </c>
      <c r="O26" s="457"/>
      <c r="P26" s="457"/>
      <c r="Q26" s="457"/>
      <c r="R26" s="457"/>
      <c r="S26" s="458"/>
      <c r="T26" s="457">
        <v>2.5</v>
      </c>
      <c r="U26" s="457"/>
      <c r="V26" s="457"/>
      <c r="W26" s="457"/>
      <c r="X26" s="606"/>
      <c r="Y26" s="459">
        <f t="shared" si="1"/>
        <v>2.5</v>
      </c>
      <c r="Z26" s="459">
        <f t="shared" si="0"/>
        <v>0</v>
      </c>
      <c r="AA26" s="459">
        <f t="shared" si="0"/>
        <v>0</v>
      </c>
      <c r="AB26" s="459"/>
      <c r="AC26" s="459"/>
      <c r="AD26" s="459">
        <f t="shared" si="2"/>
        <v>2.5</v>
      </c>
      <c r="AE26" s="456" t="s">
        <v>2571</v>
      </c>
      <c r="AF26" s="456" t="s">
        <v>2567</v>
      </c>
      <c r="AG26" s="456" t="s">
        <v>72</v>
      </c>
      <c r="AH26" s="454" t="s">
        <v>2620</v>
      </c>
      <c r="AI26" s="454" t="s">
        <v>65</v>
      </c>
      <c r="AJ26" s="467">
        <v>70000</v>
      </c>
      <c r="AK26" s="464" t="s">
        <v>305</v>
      </c>
    </row>
    <row r="27" spans="1:37" s="308" customFormat="1" ht="14.25" customHeight="1" thickBot="1" x14ac:dyDescent="0.4">
      <c r="A27" s="451">
        <v>15</v>
      </c>
      <c r="B27" s="445" t="s">
        <v>2573</v>
      </c>
      <c r="C27" s="468" t="s">
        <v>2573</v>
      </c>
      <c r="D27" s="474" t="s">
        <v>2588</v>
      </c>
      <c r="E27" s="474" t="s">
        <v>2589</v>
      </c>
      <c r="F27" s="475" t="s">
        <v>2621</v>
      </c>
      <c r="G27" s="607"/>
      <c r="H27" s="755">
        <v>42927</v>
      </c>
      <c r="I27" s="479">
        <v>1300</v>
      </c>
      <c r="J27" s="476">
        <v>11072017</v>
      </c>
      <c r="K27" s="477">
        <v>1310</v>
      </c>
      <c r="L27" s="476">
        <v>11072017</v>
      </c>
      <c r="M27" s="479">
        <v>1900</v>
      </c>
      <c r="N27" s="606" t="s">
        <v>62</v>
      </c>
      <c r="O27" s="457">
        <v>5</v>
      </c>
      <c r="P27" s="457">
        <v>3</v>
      </c>
      <c r="Q27" s="457"/>
      <c r="R27" s="457"/>
      <c r="S27" s="458"/>
      <c r="T27" s="457"/>
      <c r="U27" s="457">
        <v>2</v>
      </c>
      <c r="V27" s="457"/>
      <c r="W27" s="457"/>
      <c r="X27" s="606"/>
      <c r="Y27" s="459">
        <f t="shared" si="1"/>
        <v>5</v>
      </c>
      <c r="Z27" s="459">
        <f t="shared" si="0"/>
        <v>5</v>
      </c>
      <c r="AA27" s="459">
        <f t="shared" si="0"/>
        <v>0</v>
      </c>
      <c r="AB27" s="459"/>
      <c r="AC27" s="459"/>
      <c r="AD27" s="459">
        <f t="shared" si="2"/>
        <v>10</v>
      </c>
      <c r="AE27" s="456" t="s">
        <v>117</v>
      </c>
      <c r="AF27" s="460" t="s">
        <v>2567</v>
      </c>
      <c r="AG27" s="456" t="s">
        <v>57</v>
      </c>
      <c r="AH27" s="474" t="s">
        <v>2622</v>
      </c>
      <c r="AI27" s="454" t="s">
        <v>2623</v>
      </c>
      <c r="AJ27" s="467">
        <v>520000</v>
      </c>
      <c r="AK27" s="464" t="s">
        <v>305</v>
      </c>
    </row>
    <row r="28" spans="1:37" s="308" customFormat="1" ht="14.25" customHeight="1" thickBot="1" x14ac:dyDescent="0.4">
      <c r="A28" s="451">
        <v>16</v>
      </c>
      <c r="B28" s="478" t="s">
        <v>2624</v>
      </c>
      <c r="C28" s="473" t="s">
        <v>1424</v>
      </c>
      <c r="D28" s="473" t="s">
        <v>2625</v>
      </c>
      <c r="E28" s="474" t="s">
        <v>2626</v>
      </c>
      <c r="F28" s="474" t="s">
        <v>2627</v>
      </c>
      <c r="G28" s="607"/>
      <c r="H28" s="755">
        <v>42927</v>
      </c>
      <c r="I28" s="479">
        <v>1300</v>
      </c>
      <c r="J28" s="476">
        <v>11072017</v>
      </c>
      <c r="K28" s="477">
        <v>1320</v>
      </c>
      <c r="L28" s="476">
        <v>11072017</v>
      </c>
      <c r="M28" s="479">
        <v>1600</v>
      </c>
      <c r="N28" s="606" t="s">
        <v>62</v>
      </c>
      <c r="O28" s="457">
        <v>1</v>
      </c>
      <c r="P28" s="457"/>
      <c r="Q28" s="457">
        <v>1</v>
      </c>
      <c r="R28" s="457"/>
      <c r="S28" s="458"/>
      <c r="T28" s="457"/>
      <c r="U28" s="457"/>
      <c r="V28" s="457"/>
      <c r="W28" s="457"/>
      <c r="X28" s="606"/>
      <c r="Y28" s="459">
        <f t="shared" si="1"/>
        <v>1</v>
      </c>
      <c r="Z28" s="459">
        <f t="shared" si="0"/>
        <v>0</v>
      </c>
      <c r="AA28" s="459">
        <f t="shared" si="0"/>
        <v>1</v>
      </c>
      <c r="AB28" s="459"/>
      <c r="AC28" s="459"/>
      <c r="AD28" s="459">
        <f t="shared" si="2"/>
        <v>2</v>
      </c>
      <c r="AE28" s="456" t="s">
        <v>117</v>
      </c>
      <c r="AF28" s="460" t="s">
        <v>2567</v>
      </c>
      <c r="AG28" s="456" t="s">
        <v>2628</v>
      </c>
      <c r="AH28" s="454" t="s">
        <v>2629</v>
      </c>
      <c r="AI28" s="454" t="s">
        <v>2630</v>
      </c>
      <c r="AJ28" s="467">
        <v>4166.66</v>
      </c>
      <c r="AK28" s="464" t="s">
        <v>305</v>
      </c>
    </row>
    <row r="29" spans="1:37" s="308" customFormat="1" ht="14.25" customHeight="1" thickBot="1" x14ac:dyDescent="0.4">
      <c r="A29" s="451">
        <v>17</v>
      </c>
      <c r="B29" s="478" t="s">
        <v>208</v>
      </c>
      <c r="C29" s="473" t="s">
        <v>208</v>
      </c>
      <c r="D29" s="468" t="s">
        <v>2574</v>
      </c>
      <c r="E29" s="474" t="s">
        <v>2631</v>
      </c>
      <c r="F29" s="474" t="s">
        <v>2632</v>
      </c>
      <c r="G29" s="607"/>
      <c r="H29" s="755">
        <v>42927</v>
      </c>
      <c r="I29" s="477">
        <v>1330</v>
      </c>
      <c r="J29" s="476">
        <v>11072017</v>
      </c>
      <c r="K29" s="477">
        <v>1345</v>
      </c>
      <c r="L29" s="476">
        <v>11072017</v>
      </c>
      <c r="M29" s="477">
        <v>2230</v>
      </c>
      <c r="N29" s="606" t="s">
        <v>62</v>
      </c>
      <c r="O29" s="457"/>
      <c r="P29" s="457"/>
      <c r="Q29" s="457"/>
      <c r="R29" s="457"/>
      <c r="S29" s="458"/>
      <c r="T29" s="457">
        <v>2</v>
      </c>
      <c r="U29" s="457"/>
      <c r="V29" s="457"/>
      <c r="W29" s="457"/>
      <c r="X29" s="606"/>
      <c r="Y29" s="459">
        <f t="shared" si="1"/>
        <v>2</v>
      </c>
      <c r="Z29" s="459">
        <f t="shared" si="1"/>
        <v>0</v>
      </c>
      <c r="AA29" s="459">
        <f t="shared" si="1"/>
        <v>0</v>
      </c>
      <c r="AB29" s="459"/>
      <c r="AC29" s="459"/>
      <c r="AD29" s="459">
        <f t="shared" si="2"/>
        <v>2</v>
      </c>
      <c r="AE29" s="456" t="s">
        <v>2581</v>
      </c>
      <c r="AF29" s="456" t="s">
        <v>2567</v>
      </c>
      <c r="AG29" s="456" t="s">
        <v>72</v>
      </c>
      <c r="AH29" s="454" t="s">
        <v>2633</v>
      </c>
      <c r="AI29" s="454" t="s">
        <v>304</v>
      </c>
      <c r="AJ29" s="467">
        <v>62000</v>
      </c>
      <c r="AK29" s="464" t="s">
        <v>305</v>
      </c>
    </row>
    <row r="30" spans="1:37" s="308" customFormat="1" ht="14.25" customHeight="1" thickBot="1" x14ac:dyDescent="0.4">
      <c r="A30" s="451">
        <v>18</v>
      </c>
      <c r="B30" s="445" t="s">
        <v>2573</v>
      </c>
      <c r="C30" s="468" t="s">
        <v>2573</v>
      </c>
      <c r="D30" s="474" t="s">
        <v>2588</v>
      </c>
      <c r="E30" s="474" t="s">
        <v>2634</v>
      </c>
      <c r="F30" s="475" t="s">
        <v>2635</v>
      </c>
      <c r="G30" s="607"/>
      <c r="H30" s="755">
        <v>42928</v>
      </c>
      <c r="I30" s="479">
        <v>1530</v>
      </c>
      <c r="J30" s="476">
        <v>12072017</v>
      </c>
      <c r="K30" s="477">
        <v>1545</v>
      </c>
      <c r="L30" s="476">
        <v>12072017</v>
      </c>
      <c r="M30" s="479">
        <v>2215</v>
      </c>
      <c r="N30" s="606" t="s">
        <v>62</v>
      </c>
      <c r="O30" s="457">
        <v>2.5</v>
      </c>
      <c r="P30" s="457"/>
      <c r="Q30" s="457"/>
      <c r="R30" s="457"/>
      <c r="S30" s="458"/>
      <c r="T30" s="457"/>
      <c r="U30" s="457"/>
      <c r="V30" s="457"/>
      <c r="W30" s="457"/>
      <c r="X30" s="606"/>
      <c r="Y30" s="459">
        <f t="shared" si="1"/>
        <v>2.5</v>
      </c>
      <c r="Z30" s="459">
        <f t="shared" si="1"/>
        <v>0</v>
      </c>
      <c r="AA30" s="459">
        <f t="shared" si="1"/>
        <v>0</v>
      </c>
      <c r="AB30" s="459"/>
      <c r="AC30" s="459"/>
      <c r="AD30" s="459">
        <f t="shared" si="2"/>
        <v>2.5</v>
      </c>
      <c r="AE30" s="456" t="s">
        <v>117</v>
      </c>
      <c r="AF30" s="460" t="s">
        <v>2567</v>
      </c>
      <c r="AG30" s="460" t="s">
        <v>72</v>
      </c>
      <c r="AH30" s="474" t="s">
        <v>2636</v>
      </c>
      <c r="AI30" s="462" t="s">
        <v>348</v>
      </c>
      <c r="AJ30" s="481">
        <v>104000</v>
      </c>
      <c r="AK30" s="464" t="s">
        <v>305</v>
      </c>
    </row>
    <row r="31" spans="1:37" s="308" customFormat="1" ht="14.25" customHeight="1" thickBot="1" x14ac:dyDescent="0.4">
      <c r="A31" s="451">
        <v>19</v>
      </c>
      <c r="B31" s="478" t="s">
        <v>2624</v>
      </c>
      <c r="C31" s="482" t="s">
        <v>1424</v>
      </c>
      <c r="D31" s="468" t="s">
        <v>2574</v>
      </c>
      <c r="E31" s="474" t="s">
        <v>2637</v>
      </c>
      <c r="F31" s="474" t="s">
        <v>2638</v>
      </c>
      <c r="G31" s="607"/>
      <c r="H31" s="755">
        <v>42928</v>
      </c>
      <c r="I31" s="479">
        <v>1600</v>
      </c>
      <c r="J31" s="476">
        <v>12072017</v>
      </c>
      <c r="K31" s="477">
        <v>1605</v>
      </c>
      <c r="L31" s="476">
        <v>12072017</v>
      </c>
      <c r="M31" s="479">
        <v>1940</v>
      </c>
      <c r="N31" s="606" t="s">
        <v>62</v>
      </c>
      <c r="O31" s="457"/>
      <c r="P31" s="457"/>
      <c r="Q31" s="457"/>
      <c r="R31" s="457"/>
      <c r="S31" s="458"/>
      <c r="T31" s="457">
        <v>0.5</v>
      </c>
      <c r="U31" s="457"/>
      <c r="V31" s="457"/>
      <c r="W31" s="457"/>
      <c r="X31" s="606"/>
      <c r="Y31" s="459">
        <f t="shared" si="1"/>
        <v>0.5</v>
      </c>
      <c r="Z31" s="459">
        <f t="shared" si="1"/>
        <v>0</v>
      </c>
      <c r="AA31" s="459">
        <f t="shared" si="1"/>
        <v>0</v>
      </c>
      <c r="AB31" s="459"/>
      <c r="AC31" s="459"/>
      <c r="AD31" s="459">
        <f t="shared" si="2"/>
        <v>0.5</v>
      </c>
      <c r="AE31" s="456" t="s">
        <v>117</v>
      </c>
      <c r="AF31" s="460" t="s">
        <v>2567</v>
      </c>
      <c r="AG31" s="461" t="s">
        <v>57</v>
      </c>
      <c r="AH31" s="454" t="s">
        <v>2629</v>
      </c>
      <c r="AI31" s="462" t="s">
        <v>2639</v>
      </c>
      <c r="AJ31" s="467">
        <v>0</v>
      </c>
      <c r="AK31" s="464" t="s">
        <v>305</v>
      </c>
    </row>
    <row r="32" spans="1:37" s="308" customFormat="1" ht="14.25" customHeight="1" thickBot="1" x14ac:dyDescent="0.4">
      <c r="A32" s="451">
        <v>20</v>
      </c>
      <c r="B32" s="478" t="s">
        <v>208</v>
      </c>
      <c r="C32" s="473" t="s">
        <v>208</v>
      </c>
      <c r="D32" s="474" t="s">
        <v>2640</v>
      </c>
      <c r="E32" s="474" t="s">
        <v>2641</v>
      </c>
      <c r="F32" s="474" t="s">
        <v>2642</v>
      </c>
      <c r="G32" s="607"/>
      <c r="H32" s="755">
        <v>42928</v>
      </c>
      <c r="I32" s="479">
        <v>1830</v>
      </c>
      <c r="J32" s="476">
        <v>12072017</v>
      </c>
      <c r="K32" s="477">
        <v>1845</v>
      </c>
      <c r="L32" s="476">
        <v>13072017</v>
      </c>
      <c r="M32" s="479">
        <v>100</v>
      </c>
      <c r="N32" s="606" t="s">
        <v>1517</v>
      </c>
      <c r="O32" s="457"/>
      <c r="P32" s="457">
        <v>3</v>
      </c>
      <c r="Q32" s="457"/>
      <c r="R32" s="457"/>
      <c r="S32" s="458"/>
      <c r="T32" s="457"/>
      <c r="U32" s="457"/>
      <c r="V32" s="457"/>
      <c r="W32" s="457"/>
      <c r="X32" s="606"/>
      <c r="Y32" s="459">
        <f t="shared" si="1"/>
        <v>0</v>
      </c>
      <c r="Z32" s="459">
        <f t="shared" si="1"/>
        <v>3</v>
      </c>
      <c r="AA32" s="459">
        <f t="shared" si="1"/>
        <v>0</v>
      </c>
      <c r="AB32" s="459"/>
      <c r="AC32" s="459"/>
      <c r="AD32" s="459">
        <f t="shared" si="2"/>
        <v>3</v>
      </c>
      <c r="AE32" s="456" t="s">
        <v>2581</v>
      </c>
      <c r="AF32" s="460" t="s">
        <v>2567</v>
      </c>
      <c r="AG32" s="461" t="s">
        <v>72</v>
      </c>
      <c r="AH32" s="454" t="s">
        <v>2643</v>
      </c>
      <c r="AI32" s="462" t="s">
        <v>304</v>
      </c>
      <c r="AJ32" s="467">
        <v>96000</v>
      </c>
      <c r="AK32" s="464" t="s">
        <v>305</v>
      </c>
    </row>
    <row r="33" spans="1:37" s="308" customFormat="1" ht="14.25" customHeight="1" thickBot="1" x14ac:dyDescent="0.4">
      <c r="A33" s="451">
        <v>21</v>
      </c>
      <c r="B33" s="478" t="s">
        <v>1391</v>
      </c>
      <c r="C33" s="473" t="s">
        <v>1391</v>
      </c>
      <c r="D33" s="473" t="s">
        <v>2644</v>
      </c>
      <c r="E33" s="474" t="s">
        <v>2645</v>
      </c>
      <c r="F33" s="474" t="s">
        <v>2646</v>
      </c>
      <c r="G33" s="607"/>
      <c r="H33" s="755">
        <v>42928</v>
      </c>
      <c r="I33" s="477">
        <v>1850</v>
      </c>
      <c r="J33" s="476">
        <v>12072017</v>
      </c>
      <c r="K33" s="477">
        <v>1915</v>
      </c>
      <c r="L33" s="476">
        <v>12072017</v>
      </c>
      <c r="M33" s="477">
        <v>1930</v>
      </c>
      <c r="N33" s="606" t="s">
        <v>1352</v>
      </c>
      <c r="O33" s="457"/>
      <c r="P33" s="457">
        <v>0.04</v>
      </c>
      <c r="Q33" s="457"/>
      <c r="R33" s="457"/>
      <c r="S33" s="458"/>
      <c r="T33" s="457"/>
      <c r="U33" s="457"/>
      <c r="V33" s="457"/>
      <c r="W33" s="457"/>
      <c r="X33" s="606"/>
      <c r="Y33" s="459">
        <f t="shared" si="1"/>
        <v>0</v>
      </c>
      <c r="Z33" s="459">
        <f t="shared" si="1"/>
        <v>0.04</v>
      </c>
      <c r="AA33" s="459">
        <f t="shared" si="1"/>
        <v>0</v>
      </c>
      <c r="AB33" s="459"/>
      <c r="AC33" s="459"/>
      <c r="AD33" s="459">
        <f t="shared" si="2"/>
        <v>0.04</v>
      </c>
      <c r="AE33" s="460" t="s">
        <v>2571</v>
      </c>
      <c r="AF33" s="460" t="s">
        <v>2647</v>
      </c>
      <c r="AG33" s="472" t="s">
        <v>72</v>
      </c>
      <c r="AH33" s="454" t="s">
        <v>2648</v>
      </c>
      <c r="AI33" s="462" t="s">
        <v>65</v>
      </c>
      <c r="AJ33" s="467">
        <v>0</v>
      </c>
      <c r="AK33" s="464" t="s">
        <v>305</v>
      </c>
    </row>
    <row r="34" spans="1:37" s="308" customFormat="1" ht="14.25" customHeight="1" thickBot="1" x14ac:dyDescent="0.4">
      <c r="A34" s="451">
        <v>22</v>
      </c>
      <c r="B34" s="478" t="s">
        <v>198</v>
      </c>
      <c r="C34" s="473" t="s">
        <v>198</v>
      </c>
      <c r="D34" s="474" t="s">
        <v>2640</v>
      </c>
      <c r="E34" s="474" t="s">
        <v>2649</v>
      </c>
      <c r="F34" s="474" t="s">
        <v>2650</v>
      </c>
      <c r="G34" s="607"/>
      <c r="H34" s="755">
        <v>42929</v>
      </c>
      <c r="I34" s="479">
        <v>1045</v>
      </c>
      <c r="J34" s="476">
        <v>13072017</v>
      </c>
      <c r="K34" s="477">
        <v>1100</v>
      </c>
      <c r="L34" s="476">
        <v>13072017</v>
      </c>
      <c r="M34" s="479">
        <v>1400</v>
      </c>
      <c r="N34" s="606" t="s">
        <v>1517</v>
      </c>
      <c r="O34" s="457"/>
      <c r="P34" s="457">
        <v>1</v>
      </c>
      <c r="Q34" s="457"/>
      <c r="R34" s="457"/>
      <c r="S34" s="458"/>
      <c r="T34" s="457"/>
      <c r="U34" s="457"/>
      <c r="V34" s="457"/>
      <c r="W34" s="457"/>
      <c r="X34" s="606"/>
      <c r="Y34" s="459">
        <f t="shared" si="1"/>
        <v>0</v>
      </c>
      <c r="Z34" s="459">
        <f t="shared" si="1"/>
        <v>1</v>
      </c>
      <c r="AA34" s="459">
        <f t="shared" si="1"/>
        <v>0</v>
      </c>
      <c r="AB34" s="459"/>
      <c r="AC34" s="459"/>
      <c r="AD34" s="459">
        <f t="shared" si="2"/>
        <v>1</v>
      </c>
      <c r="AE34" s="456" t="s">
        <v>2581</v>
      </c>
      <c r="AF34" s="460" t="s">
        <v>2567</v>
      </c>
      <c r="AG34" s="472" t="s">
        <v>72</v>
      </c>
      <c r="AH34" s="454" t="s">
        <v>2651</v>
      </c>
      <c r="AI34" s="462" t="s">
        <v>304</v>
      </c>
      <c r="AJ34" s="467">
        <v>32000</v>
      </c>
      <c r="AK34" s="464" t="s">
        <v>305</v>
      </c>
    </row>
    <row r="35" spans="1:37" s="308" customFormat="1" ht="14.25" customHeight="1" thickBot="1" x14ac:dyDescent="0.4">
      <c r="A35" s="451">
        <v>23</v>
      </c>
      <c r="B35" s="478" t="s">
        <v>83</v>
      </c>
      <c r="C35" s="474" t="s">
        <v>95</v>
      </c>
      <c r="D35" s="473" t="s">
        <v>2594</v>
      </c>
      <c r="E35" s="474" t="s">
        <v>2652</v>
      </c>
      <c r="F35" s="474" t="s">
        <v>2653</v>
      </c>
      <c r="G35" s="607"/>
      <c r="H35" s="755">
        <v>42929</v>
      </c>
      <c r="I35" s="479">
        <v>1255</v>
      </c>
      <c r="J35" s="476">
        <v>13072017</v>
      </c>
      <c r="K35" s="477">
        <v>1310</v>
      </c>
      <c r="L35" s="476">
        <v>13072017</v>
      </c>
      <c r="M35" s="479">
        <v>1715</v>
      </c>
      <c r="N35" s="606" t="s">
        <v>1517</v>
      </c>
      <c r="O35" s="457"/>
      <c r="P35" s="457">
        <v>1</v>
      </c>
      <c r="Q35" s="457">
        <v>0.5</v>
      </c>
      <c r="R35" s="457"/>
      <c r="S35" s="458"/>
      <c r="T35" s="457"/>
      <c r="U35" s="457"/>
      <c r="V35" s="457"/>
      <c r="W35" s="457"/>
      <c r="X35" s="606"/>
      <c r="Y35" s="459">
        <f t="shared" si="1"/>
        <v>0</v>
      </c>
      <c r="Z35" s="459">
        <f t="shared" si="1"/>
        <v>1</v>
      </c>
      <c r="AA35" s="459">
        <f t="shared" si="1"/>
        <v>0.5</v>
      </c>
      <c r="AB35" s="459"/>
      <c r="AC35" s="459"/>
      <c r="AD35" s="459">
        <f t="shared" si="2"/>
        <v>1.5</v>
      </c>
      <c r="AE35" s="456" t="s">
        <v>117</v>
      </c>
      <c r="AF35" s="460" t="s">
        <v>2567</v>
      </c>
      <c r="AG35" s="472" t="s">
        <v>72</v>
      </c>
      <c r="AH35" s="454" t="s">
        <v>2654</v>
      </c>
      <c r="AI35" s="462" t="s">
        <v>2655</v>
      </c>
      <c r="AJ35" s="467">
        <v>366750</v>
      </c>
      <c r="AK35" s="464" t="s">
        <v>305</v>
      </c>
    </row>
    <row r="36" spans="1:37" s="308" customFormat="1" ht="14.25" customHeight="1" thickBot="1" x14ac:dyDescent="0.4">
      <c r="A36" s="451">
        <v>24</v>
      </c>
      <c r="B36" s="445" t="s">
        <v>2573</v>
      </c>
      <c r="C36" s="468" t="s">
        <v>2573</v>
      </c>
      <c r="D36" s="474" t="s">
        <v>2588</v>
      </c>
      <c r="E36" s="474" t="s">
        <v>2615</v>
      </c>
      <c r="F36" s="475" t="s">
        <v>2616</v>
      </c>
      <c r="G36" s="607"/>
      <c r="H36" s="755">
        <v>42929</v>
      </c>
      <c r="I36" s="479">
        <v>1530</v>
      </c>
      <c r="J36" s="476">
        <v>13072017</v>
      </c>
      <c r="K36" s="477">
        <v>1545</v>
      </c>
      <c r="L36" s="476">
        <v>13072017</v>
      </c>
      <c r="M36" s="479">
        <v>2255</v>
      </c>
      <c r="N36" s="606" t="s">
        <v>62</v>
      </c>
      <c r="O36" s="457">
        <v>10</v>
      </c>
      <c r="P36" s="457"/>
      <c r="Q36" s="457"/>
      <c r="R36" s="457"/>
      <c r="S36" s="458"/>
      <c r="T36" s="457">
        <v>15</v>
      </c>
      <c r="U36" s="457"/>
      <c r="V36" s="457"/>
      <c r="W36" s="457"/>
      <c r="X36" s="606"/>
      <c r="Y36" s="459">
        <f t="shared" si="1"/>
        <v>25</v>
      </c>
      <c r="Z36" s="459">
        <f t="shared" si="1"/>
        <v>0</v>
      </c>
      <c r="AA36" s="459">
        <f t="shared" si="1"/>
        <v>0</v>
      </c>
      <c r="AB36" s="459"/>
      <c r="AC36" s="459"/>
      <c r="AD36" s="459">
        <f t="shared" si="2"/>
        <v>25</v>
      </c>
      <c r="AE36" s="456" t="s">
        <v>117</v>
      </c>
      <c r="AF36" s="460" t="s">
        <v>2567</v>
      </c>
      <c r="AG36" s="460" t="s">
        <v>72</v>
      </c>
      <c r="AH36" s="474" t="s">
        <v>2656</v>
      </c>
      <c r="AI36" s="462" t="s">
        <v>304</v>
      </c>
      <c r="AJ36" s="481">
        <v>728000</v>
      </c>
      <c r="AK36" s="464" t="s">
        <v>305</v>
      </c>
    </row>
    <row r="37" spans="1:37" s="308" customFormat="1" ht="14.25" customHeight="1" thickBot="1" x14ac:dyDescent="0.4">
      <c r="A37" s="451">
        <v>25</v>
      </c>
      <c r="B37" s="445" t="s">
        <v>2573</v>
      </c>
      <c r="C37" s="473" t="s">
        <v>157</v>
      </c>
      <c r="D37" s="474" t="s">
        <v>2588</v>
      </c>
      <c r="E37" s="474" t="s">
        <v>2657</v>
      </c>
      <c r="F37" s="475" t="s">
        <v>2658</v>
      </c>
      <c r="G37" s="607"/>
      <c r="H37" s="755">
        <v>42931</v>
      </c>
      <c r="I37" s="477">
        <v>1350</v>
      </c>
      <c r="J37" s="476">
        <v>15072017</v>
      </c>
      <c r="K37" s="477">
        <v>1405</v>
      </c>
      <c r="L37" s="476">
        <v>15072017</v>
      </c>
      <c r="M37" s="477">
        <v>1730</v>
      </c>
      <c r="N37" s="606" t="s">
        <v>1352</v>
      </c>
      <c r="O37" s="457"/>
      <c r="P37" s="457">
        <v>3</v>
      </c>
      <c r="Q37" s="457"/>
      <c r="R37" s="457"/>
      <c r="S37" s="458"/>
      <c r="T37" s="457"/>
      <c r="U37" s="457"/>
      <c r="V37" s="457"/>
      <c r="W37" s="457"/>
      <c r="X37" s="606"/>
      <c r="Y37" s="459">
        <f t="shared" si="1"/>
        <v>0</v>
      </c>
      <c r="Z37" s="459">
        <f t="shared" si="1"/>
        <v>3</v>
      </c>
      <c r="AA37" s="459">
        <f t="shared" si="1"/>
        <v>0</v>
      </c>
      <c r="AB37" s="459"/>
      <c r="AC37" s="459"/>
      <c r="AD37" s="459">
        <f t="shared" si="2"/>
        <v>3</v>
      </c>
      <c r="AE37" s="456" t="s">
        <v>117</v>
      </c>
      <c r="AF37" s="460" t="s">
        <v>2567</v>
      </c>
      <c r="AG37" s="460" t="s">
        <v>72</v>
      </c>
      <c r="AH37" s="474" t="s">
        <v>2656</v>
      </c>
      <c r="AI37" s="462" t="s">
        <v>348</v>
      </c>
      <c r="AJ37" s="481">
        <v>75000</v>
      </c>
      <c r="AK37" s="464" t="s">
        <v>305</v>
      </c>
    </row>
    <row r="38" spans="1:37" s="308" customFormat="1" ht="14.25" customHeight="1" thickBot="1" x14ac:dyDescent="0.4">
      <c r="A38" s="451">
        <v>26</v>
      </c>
      <c r="B38" s="480" t="s">
        <v>1391</v>
      </c>
      <c r="C38" s="474" t="s">
        <v>1391</v>
      </c>
      <c r="D38" s="473" t="s">
        <v>2644</v>
      </c>
      <c r="E38" s="474" t="s">
        <v>2659</v>
      </c>
      <c r="F38" s="474" t="s">
        <v>2660</v>
      </c>
      <c r="G38" s="607"/>
      <c r="H38" s="755">
        <v>42933</v>
      </c>
      <c r="I38" s="477">
        <v>1530</v>
      </c>
      <c r="J38" s="476">
        <v>17072017</v>
      </c>
      <c r="K38" s="477">
        <v>1535</v>
      </c>
      <c r="L38" s="476">
        <v>17072017</v>
      </c>
      <c r="M38" s="477">
        <v>1630</v>
      </c>
      <c r="N38" s="606" t="s">
        <v>1352</v>
      </c>
      <c r="O38" s="457"/>
      <c r="P38" s="457">
        <v>0.5</v>
      </c>
      <c r="Q38" s="457"/>
      <c r="R38" s="457"/>
      <c r="S38" s="458"/>
      <c r="T38" s="457"/>
      <c r="U38" s="457"/>
      <c r="V38" s="457"/>
      <c r="W38" s="457"/>
      <c r="X38" s="606"/>
      <c r="Y38" s="459">
        <f t="shared" si="1"/>
        <v>0</v>
      </c>
      <c r="Z38" s="459">
        <f t="shared" si="1"/>
        <v>0.5</v>
      </c>
      <c r="AA38" s="459">
        <f t="shared" si="1"/>
        <v>0</v>
      </c>
      <c r="AB38" s="459"/>
      <c r="AC38" s="459"/>
      <c r="AD38" s="459">
        <f t="shared" si="2"/>
        <v>0.5</v>
      </c>
      <c r="AE38" s="456" t="s">
        <v>117</v>
      </c>
      <c r="AF38" s="460" t="s">
        <v>2567</v>
      </c>
      <c r="AG38" s="460" t="s">
        <v>57</v>
      </c>
      <c r="AH38" s="474" t="s">
        <v>2661</v>
      </c>
      <c r="AI38" s="474" t="s">
        <v>304</v>
      </c>
      <c r="AJ38" s="481">
        <v>0</v>
      </c>
      <c r="AK38" s="464" t="s">
        <v>305</v>
      </c>
    </row>
    <row r="39" spans="1:37" s="308" customFormat="1" ht="14.25" customHeight="1" thickBot="1" x14ac:dyDescent="0.4">
      <c r="A39" s="451">
        <v>27</v>
      </c>
      <c r="B39" s="480" t="s">
        <v>1391</v>
      </c>
      <c r="C39" s="474" t="s">
        <v>1391</v>
      </c>
      <c r="D39" s="473" t="s">
        <v>2644</v>
      </c>
      <c r="E39" s="474" t="s">
        <v>2659</v>
      </c>
      <c r="F39" s="474" t="s">
        <v>2660</v>
      </c>
      <c r="G39" s="607"/>
      <c r="H39" s="754">
        <v>42936</v>
      </c>
      <c r="I39" s="479">
        <v>1800</v>
      </c>
      <c r="J39" s="470">
        <v>20072017</v>
      </c>
      <c r="K39" s="477">
        <v>1820</v>
      </c>
      <c r="L39" s="470">
        <v>20072017</v>
      </c>
      <c r="M39" s="479">
        <v>1920</v>
      </c>
      <c r="N39" s="606" t="s">
        <v>1352</v>
      </c>
      <c r="O39" s="457"/>
      <c r="P39" s="457">
        <v>0.5</v>
      </c>
      <c r="Q39" s="457"/>
      <c r="R39" s="457"/>
      <c r="S39" s="458"/>
      <c r="T39" s="457"/>
      <c r="U39" s="457"/>
      <c r="V39" s="457"/>
      <c r="W39" s="457"/>
      <c r="X39" s="606"/>
      <c r="Y39" s="459">
        <f t="shared" si="1"/>
        <v>0</v>
      </c>
      <c r="Z39" s="459">
        <f t="shared" si="1"/>
        <v>0.5</v>
      </c>
      <c r="AA39" s="459">
        <f t="shared" si="1"/>
        <v>0</v>
      </c>
      <c r="AB39" s="459"/>
      <c r="AC39" s="459"/>
      <c r="AD39" s="459">
        <f t="shared" si="2"/>
        <v>0.5</v>
      </c>
      <c r="AE39" s="456" t="s">
        <v>117</v>
      </c>
      <c r="AF39" s="460" t="s">
        <v>2567</v>
      </c>
      <c r="AG39" s="460" t="s">
        <v>57</v>
      </c>
      <c r="AH39" s="474" t="s">
        <v>2662</v>
      </c>
      <c r="AI39" s="474" t="s">
        <v>304</v>
      </c>
      <c r="AJ39" s="481">
        <v>0</v>
      </c>
      <c r="AK39" s="464" t="s">
        <v>305</v>
      </c>
    </row>
    <row r="40" spans="1:37" s="308" customFormat="1" ht="14.25" customHeight="1" thickBot="1" x14ac:dyDescent="0.4">
      <c r="A40" s="451">
        <v>28</v>
      </c>
      <c r="B40" s="478" t="s">
        <v>208</v>
      </c>
      <c r="C40" s="474" t="s">
        <v>2005</v>
      </c>
      <c r="D40" s="474" t="s">
        <v>2640</v>
      </c>
      <c r="E40" s="474" t="s">
        <v>2663</v>
      </c>
      <c r="F40" s="474" t="s">
        <v>2664</v>
      </c>
      <c r="G40" s="607"/>
      <c r="H40" s="754">
        <v>42937</v>
      </c>
      <c r="I40" s="479">
        <v>1145</v>
      </c>
      <c r="J40" s="470">
        <v>21072017</v>
      </c>
      <c r="K40" s="477">
        <v>1200</v>
      </c>
      <c r="L40" s="470">
        <v>21072017</v>
      </c>
      <c r="M40" s="479">
        <v>1400</v>
      </c>
      <c r="N40" s="606" t="s">
        <v>1517</v>
      </c>
      <c r="O40" s="457"/>
      <c r="P40" s="457">
        <v>0.03</v>
      </c>
      <c r="Q40" s="457"/>
      <c r="R40" s="457"/>
      <c r="S40" s="458"/>
      <c r="T40" s="457"/>
      <c r="U40" s="457"/>
      <c r="V40" s="457"/>
      <c r="W40" s="457"/>
      <c r="X40" s="606"/>
      <c r="Y40" s="459">
        <f t="shared" si="1"/>
        <v>0</v>
      </c>
      <c r="Z40" s="459">
        <f t="shared" si="1"/>
        <v>0.03</v>
      </c>
      <c r="AA40" s="459">
        <f t="shared" si="1"/>
        <v>0</v>
      </c>
      <c r="AB40" s="459"/>
      <c r="AC40" s="459"/>
      <c r="AD40" s="459">
        <f t="shared" si="2"/>
        <v>0.03</v>
      </c>
      <c r="AE40" s="456" t="s">
        <v>2581</v>
      </c>
      <c r="AF40" s="460" t="s">
        <v>2567</v>
      </c>
      <c r="AG40" s="460" t="s">
        <v>72</v>
      </c>
      <c r="AH40" s="474" t="s">
        <v>2665</v>
      </c>
      <c r="AI40" s="474" t="s">
        <v>2598</v>
      </c>
      <c r="AJ40" s="481">
        <v>4000</v>
      </c>
      <c r="AK40" s="464" t="s">
        <v>305</v>
      </c>
    </row>
    <row r="41" spans="1:37" s="308" customFormat="1" ht="14.25" customHeight="1" thickBot="1" x14ac:dyDescent="0.4">
      <c r="A41" s="451">
        <v>29</v>
      </c>
      <c r="B41" s="478" t="s">
        <v>198</v>
      </c>
      <c r="C41" s="468" t="s">
        <v>199</v>
      </c>
      <c r="D41" s="468" t="s">
        <v>2574</v>
      </c>
      <c r="E41" s="474" t="s">
        <v>2666</v>
      </c>
      <c r="F41" s="474" t="s">
        <v>2667</v>
      </c>
      <c r="G41" s="607"/>
      <c r="H41" s="754">
        <v>42939</v>
      </c>
      <c r="I41" s="477">
        <v>1445</v>
      </c>
      <c r="J41" s="470">
        <v>23072017</v>
      </c>
      <c r="K41" s="477">
        <v>1500</v>
      </c>
      <c r="L41" s="470">
        <v>23072017</v>
      </c>
      <c r="M41" s="477">
        <v>1800</v>
      </c>
      <c r="N41" s="606" t="s">
        <v>1517</v>
      </c>
      <c r="O41" s="457"/>
      <c r="P41" s="457">
        <v>0.25</v>
      </c>
      <c r="Q41" s="457"/>
      <c r="R41" s="457"/>
      <c r="S41" s="458"/>
      <c r="T41" s="457"/>
      <c r="U41" s="457"/>
      <c r="V41" s="457"/>
      <c r="W41" s="457"/>
      <c r="X41" s="606"/>
      <c r="Y41" s="459">
        <f t="shared" si="1"/>
        <v>0</v>
      </c>
      <c r="Z41" s="459">
        <f t="shared" si="1"/>
        <v>0.25</v>
      </c>
      <c r="AA41" s="459">
        <f t="shared" si="1"/>
        <v>0</v>
      </c>
      <c r="AB41" s="459"/>
      <c r="AC41" s="459"/>
      <c r="AD41" s="459">
        <f t="shared" si="2"/>
        <v>0.25</v>
      </c>
      <c r="AE41" s="456" t="s">
        <v>2581</v>
      </c>
      <c r="AF41" s="460" t="s">
        <v>2567</v>
      </c>
      <c r="AG41" s="460" t="s">
        <v>57</v>
      </c>
      <c r="AH41" s="454" t="s">
        <v>2643</v>
      </c>
      <c r="AI41" s="474" t="s">
        <v>304</v>
      </c>
      <c r="AJ41" s="481">
        <v>8000</v>
      </c>
      <c r="AK41" s="464" t="s">
        <v>305</v>
      </c>
    </row>
    <row r="42" spans="1:37" s="308" customFormat="1" ht="14.25" customHeight="1" thickBot="1" x14ac:dyDescent="0.4">
      <c r="A42" s="451">
        <v>30</v>
      </c>
      <c r="B42" s="445" t="s">
        <v>242</v>
      </c>
      <c r="C42" s="468" t="s">
        <v>101</v>
      </c>
      <c r="D42" s="468" t="s">
        <v>2574</v>
      </c>
      <c r="E42" s="474" t="s">
        <v>2668</v>
      </c>
      <c r="F42" s="475" t="s">
        <v>2669</v>
      </c>
      <c r="G42" s="607"/>
      <c r="H42" s="754">
        <v>42939</v>
      </c>
      <c r="I42" s="477">
        <v>1915</v>
      </c>
      <c r="J42" s="470">
        <v>23072017</v>
      </c>
      <c r="K42" s="477">
        <v>1930</v>
      </c>
      <c r="L42" s="470">
        <v>24072017</v>
      </c>
      <c r="M42" s="479">
        <v>950</v>
      </c>
      <c r="N42" s="483" t="s">
        <v>62</v>
      </c>
      <c r="O42" s="457"/>
      <c r="P42" s="457"/>
      <c r="Q42" s="457"/>
      <c r="R42" s="457"/>
      <c r="S42" s="458"/>
      <c r="T42" s="457">
        <v>3</v>
      </c>
      <c r="U42" s="457"/>
      <c r="V42" s="457"/>
      <c r="W42" s="457"/>
      <c r="X42" s="606"/>
      <c r="Y42" s="459">
        <f t="shared" si="1"/>
        <v>3</v>
      </c>
      <c r="Z42" s="459">
        <f t="shared" si="1"/>
        <v>0</v>
      </c>
      <c r="AA42" s="459">
        <f t="shared" si="1"/>
        <v>0</v>
      </c>
      <c r="AB42" s="459"/>
      <c r="AC42" s="459"/>
      <c r="AD42" s="459">
        <f t="shared" si="2"/>
        <v>3</v>
      </c>
      <c r="AE42" s="460" t="s">
        <v>117</v>
      </c>
      <c r="AF42" s="460" t="s">
        <v>2567</v>
      </c>
      <c r="AG42" s="460" t="s">
        <v>72</v>
      </c>
      <c r="AH42" s="474" t="s">
        <v>2670</v>
      </c>
      <c r="AI42" s="474" t="s">
        <v>2671</v>
      </c>
      <c r="AJ42" s="484"/>
      <c r="AK42" s="464" t="s">
        <v>305</v>
      </c>
    </row>
    <row r="43" spans="1:37" s="308" customFormat="1" ht="14.25" customHeight="1" thickBot="1" x14ac:dyDescent="0.4">
      <c r="A43" s="451">
        <v>31</v>
      </c>
      <c r="B43" s="478" t="s">
        <v>208</v>
      </c>
      <c r="C43" s="468" t="s">
        <v>2005</v>
      </c>
      <c r="D43" s="474" t="s">
        <v>2640</v>
      </c>
      <c r="E43" s="474" t="s">
        <v>2672</v>
      </c>
      <c r="F43" s="474" t="s">
        <v>2673</v>
      </c>
      <c r="G43" s="607"/>
      <c r="H43" s="754">
        <v>42942</v>
      </c>
      <c r="I43" s="479">
        <v>1820</v>
      </c>
      <c r="J43" s="470">
        <v>26072017</v>
      </c>
      <c r="K43" s="477">
        <v>1835</v>
      </c>
      <c r="L43" s="470">
        <v>26072017</v>
      </c>
      <c r="M43" s="479">
        <v>2000</v>
      </c>
      <c r="N43" s="606" t="s">
        <v>1339</v>
      </c>
      <c r="O43" s="457"/>
      <c r="P43" s="457"/>
      <c r="Q43" s="457">
        <v>0.05</v>
      </c>
      <c r="R43" s="457"/>
      <c r="S43" s="458"/>
      <c r="T43" s="457"/>
      <c r="U43" s="457"/>
      <c r="V43" s="457"/>
      <c r="W43" s="457"/>
      <c r="X43" s="606"/>
      <c r="Y43" s="459">
        <f t="shared" si="1"/>
        <v>0</v>
      </c>
      <c r="Z43" s="459">
        <f t="shared" si="1"/>
        <v>0</v>
      </c>
      <c r="AA43" s="459">
        <f t="shared" si="1"/>
        <v>0.05</v>
      </c>
      <c r="AB43" s="459"/>
      <c r="AC43" s="459"/>
      <c r="AD43" s="459">
        <f t="shared" si="2"/>
        <v>0.05</v>
      </c>
      <c r="AE43" s="456" t="s">
        <v>2581</v>
      </c>
      <c r="AF43" s="460" t="s">
        <v>2567</v>
      </c>
      <c r="AG43" s="460" t="s">
        <v>57</v>
      </c>
      <c r="AH43" s="454" t="s">
        <v>2651</v>
      </c>
      <c r="AI43" s="474" t="s">
        <v>304</v>
      </c>
      <c r="AJ43" s="481">
        <v>0</v>
      </c>
      <c r="AK43" s="464" t="s">
        <v>305</v>
      </c>
    </row>
    <row r="44" spans="1:37" s="308" customFormat="1" ht="14.25" customHeight="1" thickBot="1" x14ac:dyDescent="0.4">
      <c r="A44" s="451">
        <v>32</v>
      </c>
      <c r="B44" s="478" t="s">
        <v>198</v>
      </c>
      <c r="C44" s="468" t="s">
        <v>199</v>
      </c>
      <c r="D44" s="468" t="s">
        <v>2674</v>
      </c>
      <c r="E44" s="474" t="s">
        <v>2675</v>
      </c>
      <c r="F44" s="474" t="s">
        <v>2676</v>
      </c>
      <c r="G44" s="607"/>
      <c r="H44" s="754">
        <v>42943</v>
      </c>
      <c r="I44" s="479">
        <v>1130</v>
      </c>
      <c r="J44" s="470">
        <v>27072017</v>
      </c>
      <c r="K44" s="477">
        <v>1145</v>
      </c>
      <c r="L44" s="470">
        <v>27072017</v>
      </c>
      <c r="M44" s="479">
        <v>1415</v>
      </c>
      <c r="N44" s="606" t="s">
        <v>1517</v>
      </c>
      <c r="O44" s="457"/>
      <c r="P44" s="457">
        <v>0.5</v>
      </c>
      <c r="Q44" s="457"/>
      <c r="R44" s="457"/>
      <c r="S44" s="458"/>
      <c r="T44" s="457"/>
      <c r="U44" s="457"/>
      <c r="V44" s="457"/>
      <c r="W44" s="457"/>
      <c r="X44" s="606"/>
      <c r="Y44" s="459">
        <f t="shared" si="1"/>
        <v>0</v>
      </c>
      <c r="Z44" s="459">
        <f t="shared" si="1"/>
        <v>0.5</v>
      </c>
      <c r="AA44" s="459">
        <f t="shared" si="1"/>
        <v>0</v>
      </c>
      <c r="AB44" s="459"/>
      <c r="AC44" s="459"/>
      <c r="AD44" s="459">
        <f t="shared" si="2"/>
        <v>0.5</v>
      </c>
      <c r="AE44" s="456" t="s">
        <v>2581</v>
      </c>
      <c r="AF44" s="460" t="s">
        <v>2567</v>
      </c>
      <c r="AG44" s="460" t="s">
        <v>72</v>
      </c>
      <c r="AH44" s="454" t="s">
        <v>2677</v>
      </c>
      <c r="AI44" s="474" t="s">
        <v>304</v>
      </c>
      <c r="AJ44" s="481">
        <v>16000</v>
      </c>
      <c r="AK44" s="464" t="s">
        <v>305</v>
      </c>
    </row>
    <row r="45" spans="1:37" s="308" customFormat="1" ht="14.25" customHeight="1" thickBot="1" x14ac:dyDescent="0.4">
      <c r="A45" s="451">
        <v>33</v>
      </c>
      <c r="B45" s="478" t="s">
        <v>49</v>
      </c>
      <c r="C45" s="468" t="s">
        <v>1386</v>
      </c>
      <c r="D45" s="473" t="s">
        <v>2600</v>
      </c>
      <c r="E45" s="474" t="s">
        <v>2678</v>
      </c>
      <c r="F45" s="474" t="s">
        <v>2679</v>
      </c>
      <c r="G45" s="607"/>
      <c r="H45" s="754">
        <v>42943</v>
      </c>
      <c r="I45" s="479">
        <v>1230</v>
      </c>
      <c r="J45" s="470">
        <v>27072017</v>
      </c>
      <c r="K45" s="477">
        <v>1245</v>
      </c>
      <c r="L45" s="470">
        <v>27072017</v>
      </c>
      <c r="M45" s="479">
        <v>1730</v>
      </c>
      <c r="N45" s="606" t="s">
        <v>62</v>
      </c>
      <c r="O45" s="457">
        <v>1</v>
      </c>
      <c r="P45" s="457"/>
      <c r="Q45" s="457">
        <v>0.5</v>
      </c>
      <c r="R45" s="457"/>
      <c r="S45" s="458"/>
      <c r="T45" s="457"/>
      <c r="U45" s="457"/>
      <c r="V45" s="457"/>
      <c r="W45" s="457"/>
      <c r="X45" s="606"/>
      <c r="Y45" s="459">
        <f t="shared" si="1"/>
        <v>1</v>
      </c>
      <c r="Z45" s="459">
        <f t="shared" si="1"/>
        <v>0</v>
      </c>
      <c r="AA45" s="459">
        <f t="shared" si="1"/>
        <v>0.5</v>
      </c>
      <c r="AB45" s="459"/>
      <c r="AC45" s="459"/>
      <c r="AD45" s="459">
        <f t="shared" si="2"/>
        <v>1.5</v>
      </c>
      <c r="AE45" s="456" t="s">
        <v>117</v>
      </c>
      <c r="AF45" s="460" t="s">
        <v>2567</v>
      </c>
      <c r="AG45" s="460" t="s">
        <v>72</v>
      </c>
      <c r="AH45" s="474" t="s">
        <v>2680</v>
      </c>
      <c r="AI45" s="474" t="s">
        <v>2681</v>
      </c>
      <c r="AJ45" s="481">
        <v>250000</v>
      </c>
      <c r="AK45" s="464" t="s">
        <v>305</v>
      </c>
    </row>
    <row r="46" spans="1:37" s="308" customFormat="1" ht="14.25" customHeight="1" thickBot="1" x14ac:dyDescent="0.4">
      <c r="A46" s="451">
        <v>34</v>
      </c>
      <c r="B46" s="478" t="s">
        <v>49</v>
      </c>
      <c r="C46" s="468" t="s">
        <v>150</v>
      </c>
      <c r="D46" s="468" t="s">
        <v>2574</v>
      </c>
      <c r="E46" s="474" t="s">
        <v>2682</v>
      </c>
      <c r="F46" s="474" t="s">
        <v>2683</v>
      </c>
      <c r="G46" s="607"/>
      <c r="H46" s="754">
        <v>42943</v>
      </c>
      <c r="I46" s="479">
        <v>1300</v>
      </c>
      <c r="J46" s="470">
        <v>27072017</v>
      </c>
      <c r="K46" s="477">
        <v>1330</v>
      </c>
      <c r="L46" s="470">
        <v>27072017</v>
      </c>
      <c r="M46" s="479">
        <v>1700</v>
      </c>
      <c r="N46" s="606" t="s">
        <v>1352</v>
      </c>
      <c r="O46" s="457"/>
      <c r="P46" s="457"/>
      <c r="Q46" s="457"/>
      <c r="R46" s="457"/>
      <c r="S46" s="458"/>
      <c r="T46" s="457"/>
      <c r="U46" s="457">
        <v>1</v>
      </c>
      <c r="V46" s="457"/>
      <c r="W46" s="457"/>
      <c r="X46" s="606"/>
      <c r="Y46" s="459">
        <f t="shared" si="1"/>
        <v>0</v>
      </c>
      <c r="Z46" s="459">
        <f t="shared" si="1"/>
        <v>1</v>
      </c>
      <c r="AA46" s="459">
        <f t="shared" si="1"/>
        <v>0</v>
      </c>
      <c r="AB46" s="459"/>
      <c r="AC46" s="459"/>
      <c r="AD46" s="459">
        <f t="shared" si="2"/>
        <v>1</v>
      </c>
      <c r="AE46" s="456" t="s">
        <v>117</v>
      </c>
      <c r="AF46" s="460" t="s">
        <v>2567</v>
      </c>
      <c r="AG46" s="460" t="s">
        <v>72</v>
      </c>
      <c r="AH46" s="474" t="s">
        <v>2610</v>
      </c>
      <c r="AI46" s="474" t="s">
        <v>2684</v>
      </c>
      <c r="AJ46" s="481">
        <v>50000</v>
      </c>
      <c r="AK46" s="464" t="s">
        <v>305</v>
      </c>
    </row>
    <row r="47" spans="1:37" s="308" customFormat="1" ht="14.25" customHeight="1" thickBot="1" x14ac:dyDescent="0.4">
      <c r="A47" s="451">
        <v>35</v>
      </c>
      <c r="B47" s="478" t="s">
        <v>208</v>
      </c>
      <c r="C47" s="468" t="s">
        <v>2005</v>
      </c>
      <c r="D47" s="468" t="s">
        <v>2578</v>
      </c>
      <c r="E47" s="474" t="s">
        <v>2685</v>
      </c>
      <c r="F47" s="474" t="s">
        <v>2686</v>
      </c>
      <c r="G47" s="607"/>
      <c r="H47" s="754">
        <v>42943</v>
      </c>
      <c r="I47" s="479">
        <v>1500</v>
      </c>
      <c r="J47" s="470">
        <v>27072017</v>
      </c>
      <c r="K47" s="477">
        <v>1515</v>
      </c>
      <c r="L47" s="470">
        <v>27072017</v>
      </c>
      <c r="M47" s="479">
        <v>1700</v>
      </c>
      <c r="N47" s="606" t="s">
        <v>1339</v>
      </c>
      <c r="O47" s="457"/>
      <c r="P47" s="457"/>
      <c r="Q47" s="457">
        <v>0.04</v>
      </c>
      <c r="R47" s="457"/>
      <c r="S47" s="458"/>
      <c r="T47" s="457"/>
      <c r="U47" s="457"/>
      <c r="V47" s="457"/>
      <c r="W47" s="457"/>
      <c r="X47" s="606"/>
      <c r="Y47" s="459">
        <f t="shared" si="1"/>
        <v>0</v>
      </c>
      <c r="Z47" s="459">
        <f t="shared" si="1"/>
        <v>0</v>
      </c>
      <c r="AA47" s="459">
        <f t="shared" si="1"/>
        <v>0.04</v>
      </c>
      <c r="AB47" s="459"/>
      <c r="AC47" s="459"/>
      <c r="AD47" s="459">
        <f t="shared" si="2"/>
        <v>0.04</v>
      </c>
      <c r="AE47" s="456" t="s">
        <v>2581</v>
      </c>
      <c r="AF47" s="460" t="s">
        <v>2567</v>
      </c>
      <c r="AG47" s="460" t="s">
        <v>57</v>
      </c>
      <c r="AH47" s="474" t="s">
        <v>2665</v>
      </c>
      <c r="AI47" s="474" t="s">
        <v>304</v>
      </c>
      <c r="AJ47" s="481">
        <v>32000</v>
      </c>
      <c r="AK47" s="464" t="s">
        <v>305</v>
      </c>
    </row>
    <row r="48" spans="1:37" s="308" customFormat="1" ht="14.25" customHeight="1" thickBot="1" x14ac:dyDescent="0.4">
      <c r="A48" s="451">
        <v>36</v>
      </c>
      <c r="B48" s="478" t="s">
        <v>208</v>
      </c>
      <c r="C48" s="468" t="s">
        <v>214</v>
      </c>
      <c r="D48" s="468" t="s">
        <v>2574</v>
      </c>
      <c r="E48" s="474" t="s">
        <v>2687</v>
      </c>
      <c r="F48" s="474" t="s">
        <v>2688</v>
      </c>
      <c r="G48" s="607"/>
      <c r="H48" s="754">
        <v>42943</v>
      </c>
      <c r="I48" s="479">
        <v>1800</v>
      </c>
      <c r="J48" s="470">
        <v>27072017</v>
      </c>
      <c r="K48" s="477">
        <v>1815</v>
      </c>
      <c r="L48" s="470">
        <v>27072017</v>
      </c>
      <c r="M48" s="479">
        <v>2000</v>
      </c>
      <c r="N48" s="606" t="s">
        <v>62</v>
      </c>
      <c r="O48" s="457"/>
      <c r="P48" s="457"/>
      <c r="Q48" s="457"/>
      <c r="R48" s="457"/>
      <c r="S48" s="458"/>
      <c r="T48" s="457">
        <v>0.5</v>
      </c>
      <c r="U48" s="457"/>
      <c r="V48" s="457"/>
      <c r="W48" s="457"/>
      <c r="X48" s="606"/>
      <c r="Y48" s="459">
        <f t="shared" si="1"/>
        <v>0.5</v>
      </c>
      <c r="Z48" s="459">
        <f t="shared" si="1"/>
        <v>0</v>
      </c>
      <c r="AA48" s="459">
        <f t="shared" si="1"/>
        <v>0</v>
      </c>
      <c r="AB48" s="459"/>
      <c r="AC48" s="459"/>
      <c r="AD48" s="459">
        <f t="shared" si="2"/>
        <v>0.5</v>
      </c>
      <c r="AE48" s="456" t="s">
        <v>2581</v>
      </c>
      <c r="AF48" s="460" t="s">
        <v>2567</v>
      </c>
      <c r="AG48" s="460" t="s">
        <v>72</v>
      </c>
      <c r="AH48" s="474" t="s">
        <v>2607</v>
      </c>
      <c r="AI48" s="474" t="s">
        <v>304</v>
      </c>
      <c r="AJ48" s="481">
        <v>32000</v>
      </c>
      <c r="AK48" s="464" t="s">
        <v>305</v>
      </c>
    </row>
    <row r="49" spans="1:37" s="308" customFormat="1" ht="14.25" customHeight="1" thickBot="1" x14ac:dyDescent="0.4">
      <c r="A49" s="451">
        <v>37</v>
      </c>
      <c r="B49" s="445" t="s">
        <v>2170</v>
      </c>
      <c r="C49" s="468" t="s">
        <v>2170</v>
      </c>
      <c r="D49" s="468" t="s">
        <v>2689</v>
      </c>
      <c r="E49" s="474" t="s">
        <v>2690</v>
      </c>
      <c r="F49" s="474" t="s">
        <v>2691</v>
      </c>
      <c r="G49" s="607"/>
      <c r="H49" s="754">
        <v>42944</v>
      </c>
      <c r="I49" s="479">
        <v>1100</v>
      </c>
      <c r="J49" s="470">
        <v>28072017</v>
      </c>
      <c r="K49" s="477">
        <v>1120</v>
      </c>
      <c r="L49" s="470">
        <v>28072017</v>
      </c>
      <c r="M49" s="479">
        <v>1800</v>
      </c>
      <c r="N49" s="606" t="s">
        <v>62</v>
      </c>
      <c r="O49" s="457">
        <v>1</v>
      </c>
      <c r="P49" s="457"/>
      <c r="Q49" s="457"/>
      <c r="R49" s="457"/>
      <c r="S49" s="458"/>
      <c r="T49" s="457"/>
      <c r="U49" s="457"/>
      <c r="V49" s="457"/>
      <c r="W49" s="457"/>
      <c r="X49" s="606"/>
      <c r="Y49" s="459">
        <f t="shared" si="1"/>
        <v>1</v>
      </c>
      <c r="Z49" s="459">
        <f t="shared" si="1"/>
        <v>0</v>
      </c>
      <c r="AA49" s="459">
        <f t="shared" si="1"/>
        <v>0</v>
      </c>
      <c r="AB49" s="459"/>
      <c r="AC49" s="459"/>
      <c r="AD49" s="459">
        <f t="shared" si="2"/>
        <v>1</v>
      </c>
      <c r="AE49" s="456" t="s">
        <v>117</v>
      </c>
      <c r="AF49" s="460" t="s">
        <v>2567</v>
      </c>
      <c r="AG49" s="460" t="s">
        <v>72</v>
      </c>
      <c r="AH49" s="474" t="s">
        <v>2692</v>
      </c>
      <c r="AI49" s="474" t="s">
        <v>348</v>
      </c>
      <c r="AJ49" s="481">
        <v>62488.33</v>
      </c>
      <c r="AK49" s="464" t="s">
        <v>305</v>
      </c>
    </row>
    <row r="50" spans="1:37" s="308" customFormat="1" ht="14.25" customHeight="1" thickBot="1" x14ac:dyDescent="0.4">
      <c r="A50" s="451">
        <v>38</v>
      </c>
      <c r="B50" s="478" t="s">
        <v>208</v>
      </c>
      <c r="C50" s="468" t="s">
        <v>208</v>
      </c>
      <c r="D50" s="468" t="s">
        <v>2574</v>
      </c>
      <c r="E50" s="474" t="s">
        <v>2693</v>
      </c>
      <c r="F50" s="474" t="s">
        <v>2694</v>
      </c>
      <c r="G50" s="607"/>
      <c r="H50" s="754">
        <v>42944</v>
      </c>
      <c r="I50" s="479">
        <v>1245</v>
      </c>
      <c r="J50" s="470">
        <v>28072017</v>
      </c>
      <c r="K50" s="477">
        <v>1255</v>
      </c>
      <c r="L50" s="470">
        <v>28072017</v>
      </c>
      <c r="M50" s="479">
        <v>2000</v>
      </c>
      <c r="N50" s="606" t="s">
        <v>62</v>
      </c>
      <c r="O50" s="457"/>
      <c r="P50" s="457"/>
      <c r="Q50" s="457"/>
      <c r="R50" s="457"/>
      <c r="S50" s="458"/>
      <c r="T50" s="457">
        <v>2</v>
      </c>
      <c r="U50" s="457"/>
      <c r="V50" s="457"/>
      <c r="W50" s="457"/>
      <c r="X50" s="606"/>
      <c r="Y50" s="459">
        <f t="shared" si="1"/>
        <v>2</v>
      </c>
      <c r="Z50" s="459">
        <f t="shared" si="1"/>
        <v>0</v>
      </c>
      <c r="AA50" s="459">
        <f t="shared" si="1"/>
        <v>0</v>
      </c>
      <c r="AB50" s="459"/>
      <c r="AC50" s="459"/>
      <c r="AD50" s="459">
        <f t="shared" si="2"/>
        <v>2</v>
      </c>
      <c r="AE50" s="456" t="s">
        <v>2581</v>
      </c>
      <c r="AF50" s="460" t="s">
        <v>2567</v>
      </c>
      <c r="AG50" s="460" t="s">
        <v>72</v>
      </c>
      <c r="AH50" s="474" t="s">
        <v>2695</v>
      </c>
      <c r="AI50" s="474" t="s">
        <v>304</v>
      </c>
      <c r="AJ50" s="481">
        <v>20000</v>
      </c>
      <c r="AK50" s="464" t="s">
        <v>305</v>
      </c>
    </row>
    <row r="51" spans="1:37" s="308" customFormat="1" ht="14.25" customHeight="1" thickBot="1" x14ac:dyDescent="0.4">
      <c r="A51" s="451">
        <v>39</v>
      </c>
      <c r="B51" s="478" t="s">
        <v>78</v>
      </c>
      <c r="C51" s="468" t="s">
        <v>107</v>
      </c>
      <c r="D51" s="468" t="s">
        <v>2574</v>
      </c>
      <c r="E51" s="485" t="s">
        <v>2696</v>
      </c>
      <c r="F51" s="485" t="s">
        <v>2697</v>
      </c>
      <c r="G51" s="607"/>
      <c r="H51" s="754">
        <v>42944</v>
      </c>
      <c r="I51" s="479">
        <v>1730</v>
      </c>
      <c r="J51" s="470">
        <v>28072017</v>
      </c>
      <c r="K51" s="477">
        <v>1800</v>
      </c>
      <c r="L51" s="470">
        <v>29072017</v>
      </c>
      <c r="M51" s="479">
        <v>250</v>
      </c>
      <c r="N51" s="606" t="s">
        <v>1352</v>
      </c>
      <c r="O51" s="457"/>
      <c r="P51" s="457"/>
      <c r="Q51" s="457"/>
      <c r="R51" s="457"/>
      <c r="S51" s="458"/>
      <c r="T51" s="457"/>
      <c r="U51" s="457">
        <v>1</v>
      </c>
      <c r="V51" s="457"/>
      <c r="W51" s="457"/>
      <c r="X51" s="606"/>
      <c r="Y51" s="459">
        <f t="shared" si="1"/>
        <v>0</v>
      </c>
      <c r="Z51" s="459">
        <f t="shared" si="1"/>
        <v>1</v>
      </c>
      <c r="AA51" s="459">
        <f t="shared" si="1"/>
        <v>0</v>
      </c>
      <c r="AB51" s="459"/>
      <c r="AC51" s="459"/>
      <c r="AD51" s="459">
        <f t="shared" si="2"/>
        <v>1</v>
      </c>
      <c r="AE51" s="460" t="s">
        <v>2571</v>
      </c>
      <c r="AF51" s="460" t="s">
        <v>2567</v>
      </c>
      <c r="AG51" s="460" t="s">
        <v>72</v>
      </c>
      <c r="AH51" s="474" t="s">
        <v>2610</v>
      </c>
      <c r="AI51" s="474" t="s">
        <v>2698</v>
      </c>
      <c r="AJ51" s="481">
        <v>0</v>
      </c>
      <c r="AK51" s="464" t="s">
        <v>305</v>
      </c>
    </row>
    <row r="52" spans="1:37" s="308" customFormat="1" ht="14.25" customHeight="1" thickBot="1" x14ac:dyDescent="0.4">
      <c r="A52" s="451">
        <v>40</v>
      </c>
      <c r="B52" s="445" t="s">
        <v>242</v>
      </c>
      <c r="C52" s="474" t="s">
        <v>186</v>
      </c>
      <c r="D52" s="468" t="s">
        <v>2699</v>
      </c>
      <c r="E52" s="474" t="s">
        <v>2700</v>
      </c>
      <c r="F52" s="475" t="s">
        <v>2701</v>
      </c>
      <c r="G52" s="607"/>
      <c r="H52" s="754">
        <v>42944</v>
      </c>
      <c r="I52" s="479">
        <v>1700</v>
      </c>
      <c r="J52" s="470">
        <v>28072017</v>
      </c>
      <c r="K52" s="477">
        <v>1730</v>
      </c>
      <c r="L52" s="470">
        <v>28072017</v>
      </c>
      <c r="M52" s="479">
        <v>1900</v>
      </c>
      <c r="N52" s="606" t="s">
        <v>1352</v>
      </c>
      <c r="O52" s="457"/>
      <c r="P52" s="457">
        <v>1</v>
      </c>
      <c r="Q52" s="457"/>
      <c r="R52" s="457"/>
      <c r="S52" s="458"/>
      <c r="T52" s="457"/>
      <c r="U52" s="457"/>
      <c r="V52" s="457"/>
      <c r="W52" s="457"/>
      <c r="X52" s="606"/>
      <c r="Y52" s="459">
        <f t="shared" si="1"/>
        <v>0</v>
      </c>
      <c r="Z52" s="459">
        <f t="shared" si="1"/>
        <v>1</v>
      </c>
      <c r="AA52" s="459">
        <f t="shared" si="1"/>
        <v>0</v>
      </c>
      <c r="AB52" s="459"/>
      <c r="AC52" s="459"/>
      <c r="AD52" s="459">
        <f t="shared" si="2"/>
        <v>1</v>
      </c>
      <c r="AE52" s="456" t="s">
        <v>117</v>
      </c>
      <c r="AF52" s="460" t="s">
        <v>2567</v>
      </c>
      <c r="AG52" s="460" t="s">
        <v>72</v>
      </c>
      <c r="AH52" s="474" t="s">
        <v>2702</v>
      </c>
      <c r="AI52" s="474" t="s">
        <v>304</v>
      </c>
      <c r="AJ52" s="481"/>
      <c r="AK52" s="464" t="s">
        <v>305</v>
      </c>
    </row>
    <row r="53" spans="1:37" s="308" customFormat="1" ht="14.25" customHeight="1" thickBot="1" x14ac:dyDescent="0.4">
      <c r="A53" s="451">
        <v>41</v>
      </c>
      <c r="B53" s="478" t="s">
        <v>49</v>
      </c>
      <c r="C53" s="468" t="s">
        <v>150</v>
      </c>
      <c r="D53" s="468" t="s">
        <v>2703</v>
      </c>
      <c r="E53" s="474" t="s">
        <v>2704</v>
      </c>
      <c r="F53" s="474" t="s">
        <v>2705</v>
      </c>
      <c r="G53" s="607"/>
      <c r="H53" s="754">
        <v>42944</v>
      </c>
      <c r="I53" s="479">
        <v>2045</v>
      </c>
      <c r="J53" s="470">
        <v>28072017</v>
      </c>
      <c r="K53" s="477">
        <v>2100</v>
      </c>
      <c r="L53" s="470">
        <v>28072017</v>
      </c>
      <c r="M53" s="479">
        <v>2310</v>
      </c>
      <c r="N53" s="606" t="s">
        <v>62</v>
      </c>
      <c r="O53" s="457">
        <v>1</v>
      </c>
      <c r="P53" s="457"/>
      <c r="Q53" s="457"/>
      <c r="R53" s="457"/>
      <c r="S53" s="458"/>
      <c r="T53" s="457"/>
      <c r="U53" s="457"/>
      <c r="V53" s="457"/>
      <c r="W53" s="457"/>
      <c r="X53" s="606"/>
      <c r="Y53" s="459">
        <f t="shared" si="1"/>
        <v>1</v>
      </c>
      <c r="Z53" s="459">
        <f t="shared" si="1"/>
        <v>0</v>
      </c>
      <c r="AA53" s="459">
        <f t="shared" si="1"/>
        <v>0</v>
      </c>
      <c r="AB53" s="459"/>
      <c r="AC53" s="459"/>
      <c r="AD53" s="459">
        <f t="shared" si="2"/>
        <v>1</v>
      </c>
      <c r="AE53" s="460" t="s">
        <v>117</v>
      </c>
      <c r="AF53" s="460" t="s">
        <v>2567</v>
      </c>
      <c r="AG53" s="460" t="s">
        <v>72</v>
      </c>
      <c r="AH53" s="474" t="s">
        <v>2610</v>
      </c>
      <c r="AI53" s="474" t="s">
        <v>2684</v>
      </c>
      <c r="AJ53" s="481">
        <v>170000</v>
      </c>
      <c r="AK53" s="464" t="s">
        <v>305</v>
      </c>
    </row>
    <row r="54" spans="1:37" s="308" customFormat="1" ht="14.25" customHeight="1" thickBot="1" x14ac:dyDescent="0.4">
      <c r="A54" s="451">
        <v>42</v>
      </c>
      <c r="B54" s="478" t="s">
        <v>208</v>
      </c>
      <c r="C54" s="468" t="s">
        <v>208</v>
      </c>
      <c r="D54" s="468" t="s">
        <v>2574</v>
      </c>
      <c r="E54" s="474" t="s">
        <v>2706</v>
      </c>
      <c r="F54" s="474" t="s">
        <v>2707</v>
      </c>
      <c r="G54" s="607"/>
      <c r="H54" s="754">
        <v>42945</v>
      </c>
      <c r="I54" s="479">
        <v>1430</v>
      </c>
      <c r="J54" s="470">
        <v>29072017</v>
      </c>
      <c r="K54" s="477">
        <v>1445</v>
      </c>
      <c r="L54" s="470">
        <v>29072017</v>
      </c>
      <c r="M54" s="479">
        <v>1700</v>
      </c>
      <c r="N54" s="606" t="s">
        <v>62</v>
      </c>
      <c r="O54" s="457"/>
      <c r="P54" s="457"/>
      <c r="Q54" s="457"/>
      <c r="R54" s="457"/>
      <c r="S54" s="458"/>
      <c r="T54" s="457">
        <v>0.1</v>
      </c>
      <c r="U54" s="457"/>
      <c r="V54" s="457"/>
      <c r="W54" s="457"/>
      <c r="X54" s="606"/>
      <c r="Y54" s="459">
        <f t="shared" si="1"/>
        <v>0.1</v>
      </c>
      <c r="Z54" s="459">
        <f t="shared" si="1"/>
        <v>0</v>
      </c>
      <c r="AA54" s="459">
        <f t="shared" si="1"/>
        <v>0</v>
      </c>
      <c r="AB54" s="459"/>
      <c r="AC54" s="459"/>
      <c r="AD54" s="459">
        <f t="shared" si="2"/>
        <v>0.1</v>
      </c>
      <c r="AE54" s="456" t="s">
        <v>2581</v>
      </c>
      <c r="AF54" s="460" t="s">
        <v>2567</v>
      </c>
      <c r="AG54" s="460" t="s">
        <v>72</v>
      </c>
      <c r="AH54" s="474" t="s">
        <v>2708</v>
      </c>
      <c r="AI54" s="474" t="s">
        <v>304</v>
      </c>
      <c r="AJ54" s="481">
        <v>52000</v>
      </c>
      <c r="AK54" s="464" t="s">
        <v>305</v>
      </c>
    </row>
    <row r="55" spans="1:37" s="308" customFormat="1" ht="14.25" customHeight="1" thickBot="1" x14ac:dyDescent="0.4">
      <c r="A55" s="451">
        <v>43</v>
      </c>
      <c r="B55" s="478" t="s">
        <v>78</v>
      </c>
      <c r="C55" s="468" t="s">
        <v>2709</v>
      </c>
      <c r="D55" s="468" t="s">
        <v>2574</v>
      </c>
      <c r="E55" s="474" t="s">
        <v>2710</v>
      </c>
      <c r="F55" s="474" t="s">
        <v>2711</v>
      </c>
      <c r="G55" s="607"/>
      <c r="H55" s="754">
        <v>42945</v>
      </c>
      <c r="I55" s="479">
        <v>1430</v>
      </c>
      <c r="J55" s="470">
        <v>29072017</v>
      </c>
      <c r="K55" s="477">
        <v>1500</v>
      </c>
      <c r="L55" s="470">
        <v>29072017</v>
      </c>
      <c r="M55" s="479">
        <v>1540</v>
      </c>
      <c r="N55" s="606" t="s">
        <v>62</v>
      </c>
      <c r="O55" s="457"/>
      <c r="P55" s="457"/>
      <c r="Q55" s="457"/>
      <c r="R55" s="457"/>
      <c r="S55" s="458"/>
      <c r="T55" s="457">
        <v>0.5</v>
      </c>
      <c r="U55" s="457"/>
      <c r="V55" s="457"/>
      <c r="W55" s="457"/>
      <c r="X55" s="606"/>
      <c r="Y55" s="459">
        <f t="shared" si="1"/>
        <v>0.5</v>
      </c>
      <c r="Z55" s="459">
        <f t="shared" si="1"/>
        <v>0</v>
      </c>
      <c r="AA55" s="459">
        <f t="shared" si="1"/>
        <v>0</v>
      </c>
      <c r="AB55" s="459"/>
      <c r="AC55" s="459"/>
      <c r="AD55" s="459">
        <f t="shared" si="2"/>
        <v>0.5</v>
      </c>
      <c r="AE55" s="456" t="s">
        <v>117</v>
      </c>
      <c r="AF55" s="460" t="s">
        <v>2567</v>
      </c>
      <c r="AG55" s="460" t="s">
        <v>72</v>
      </c>
      <c r="AH55" s="474" t="s">
        <v>2610</v>
      </c>
      <c r="AI55" s="474" t="s">
        <v>2684</v>
      </c>
      <c r="AJ55" s="481">
        <v>12000</v>
      </c>
      <c r="AK55" s="464" t="s">
        <v>305</v>
      </c>
    </row>
    <row r="56" spans="1:37" s="308" customFormat="1" ht="14.25" customHeight="1" thickBot="1" x14ac:dyDescent="0.4">
      <c r="A56" s="451">
        <v>44</v>
      </c>
      <c r="B56" s="478" t="s">
        <v>78</v>
      </c>
      <c r="C56" s="468" t="s">
        <v>107</v>
      </c>
      <c r="D56" s="468" t="s">
        <v>2574</v>
      </c>
      <c r="E56" s="474" t="s">
        <v>2712</v>
      </c>
      <c r="F56" s="474" t="s">
        <v>2713</v>
      </c>
      <c r="G56" s="607"/>
      <c r="H56" s="754">
        <v>42945</v>
      </c>
      <c r="I56" s="479">
        <v>1545</v>
      </c>
      <c r="J56" s="470">
        <v>29072017</v>
      </c>
      <c r="K56" s="477">
        <v>1620</v>
      </c>
      <c r="L56" s="470">
        <v>29072017</v>
      </c>
      <c r="M56" s="479">
        <v>1730</v>
      </c>
      <c r="N56" s="606" t="s">
        <v>1352</v>
      </c>
      <c r="O56" s="457"/>
      <c r="P56" s="457"/>
      <c r="Q56" s="457"/>
      <c r="R56" s="457"/>
      <c r="S56" s="458"/>
      <c r="T56" s="457"/>
      <c r="U56" s="457">
        <v>0.1</v>
      </c>
      <c r="V56" s="457"/>
      <c r="W56" s="457"/>
      <c r="X56" s="606"/>
      <c r="Y56" s="459">
        <f t="shared" si="1"/>
        <v>0</v>
      </c>
      <c r="Z56" s="459">
        <f t="shared" si="1"/>
        <v>0.1</v>
      </c>
      <c r="AA56" s="459">
        <f t="shared" si="1"/>
        <v>0</v>
      </c>
      <c r="AB56" s="459"/>
      <c r="AC56" s="459"/>
      <c r="AD56" s="459">
        <f t="shared" si="2"/>
        <v>0.1</v>
      </c>
      <c r="AE56" s="456" t="s">
        <v>117</v>
      </c>
      <c r="AF56" s="460" t="s">
        <v>2567</v>
      </c>
      <c r="AG56" s="460" t="s">
        <v>72</v>
      </c>
      <c r="AH56" s="474" t="s">
        <v>2610</v>
      </c>
      <c r="AI56" s="474" t="s">
        <v>2684</v>
      </c>
      <c r="AJ56" s="481">
        <v>50000</v>
      </c>
      <c r="AK56" s="464" t="s">
        <v>305</v>
      </c>
    </row>
    <row r="57" spans="1:37" s="308" customFormat="1" ht="14.25" customHeight="1" thickBot="1" x14ac:dyDescent="0.4">
      <c r="A57" s="451">
        <v>45</v>
      </c>
      <c r="B57" s="478" t="s">
        <v>78</v>
      </c>
      <c r="C57" s="468" t="s">
        <v>107</v>
      </c>
      <c r="D57" s="468" t="s">
        <v>2574</v>
      </c>
      <c r="E57" s="474" t="s">
        <v>2714</v>
      </c>
      <c r="F57" s="474" t="s">
        <v>2715</v>
      </c>
      <c r="G57" s="607"/>
      <c r="H57" s="754">
        <v>42945</v>
      </c>
      <c r="I57" s="479">
        <v>1745</v>
      </c>
      <c r="J57" s="470">
        <v>29072017</v>
      </c>
      <c r="K57" s="477">
        <v>1755</v>
      </c>
      <c r="L57" s="470">
        <v>30072017</v>
      </c>
      <c r="M57" s="479">
        <v>230</v>
      </c>
      <c r="N57" s="606" t="s">
        <v>1339</v>
      </c>
      <c r="O57" s="457"/>
      <c r="P57" s="457"/>
      <c r="Q57" s="457"/>
      <c r="R57" s="457"/>
      <c r="S57" s="458"/>
      <c r="T57" s="457"/>
      <c r="U57" s="457">
        <v>0.5</v>
      </c>
      <c r="V57" s="457">
        <v>1.5</v>
      </c>
      <c r="W57" s="457"/>
      <c r="X57" s="606"/>
      <c r="Y57" s="459">
        <f t="shared" si="1"/>
        <v>0</v>
      </c>
      <c r="Z57" s="459">
        <f t="shared" si="1"/>
        <v>0.5</v>
      </c>
      <c r="AA57" s="459">
        <f t="shared" si="1"/>
        <v>1.5</v>
      </c>
      <c r="AB57" s="459"/>
      <c r="AC57" s="459"/>
      <c r="AD57" s="459">
        <f t="shared" si="2"/>
        <v>2</v>
      </c>
      <c r="AE57" s="460" t="s">
        <v>2571</v>
      </c>
      <c r="AF57" s="460" t="s">
        <v>2567</v>
      </c>
      <c r="AG57" s="460" t="s">
        <v>72</v>
      </c>
      <c r="AH57" s="474" t="s">
        <v>2610</v>
      </c>
      <c r="AI57" s="474" t="s">
        <v>2716</v>
      </c>
      <c r="AJ57" s="481">
        <v>180000</v>
      </c>
      <c r="AK57" s="464" t="s">
        <v>305</v>
      </c>
    </row>
    <row r="58" spans="1:37" s="308" customFormat="1" ht="14.25" customHeight="1" thickBot="1" x14ac:dyDescent="0.4">
      <c r="A58" s="451">
        <v>46</v>
      </c>
      <c r="B58" s="478" t="s">
        <v>78</v>
      </c>
      <c r="C58" s="468" t="s">
        <v>107</v>
      </c>
      <c r="D58" s="454" t="s">
        <v>2564</v>
      </c>
      <c r="E58" s="474" t="s">
        <v>2717</v>
      </c>
      <c r="F58" s="474" t="s">
        <v>2718</v>
      </c>
      <c r="G58" s="607"/>
      <c r="H58" s="754">
        <v>42945</v>
      </c>
      <c r="I58" s="479">
        <v>1900</v>
      </c>
      <c r="J58" s="470">
        <v>29072017</v>
      </c>
      <c r="K58" s="477">
        <v>1940</v>
      </c>
      <c r="L58" s="470">
        <v>30072017</v>
      </c>
      <c r="M58" s="479">
        <v>2110</v>
      </c>
      <c r="N58" s="606" t="s">
        <v>1352</v>
      </c>
      <c r="O58" s="457">
        <v>0.5</v>
      </c>
      <c r="P58" s="457">
        <v>2.5</v>
      </c>
      <c r="Q58" s="457"/>
      <c r="R58" s="457"/>
      <c r="S58" s="458"/>
      <c r="T58" s="457"/>
      <c r="U58" s="457"/>
      <c r="V58" s="457"/>
      <c r="W58" s="457"/>
      <c r="X58" s="606"/>
      <c r="Y58" s="459">
        <f t="shared" si="1"/>
        <v>0.5</v>
      </c>
      <c r="Z58" s="459">
        <f t="shared" si="1"/>
        <v>2.5</v>
      </c>
      <c r="AA58" s="459">
        <f t="shared" si="1"/>
        <v>0</v>
      </c>
      <c r="AB58" s="459"/>
      <c r="AC58" s="459"/>
      <c r="AD58" s="459">
        <f t="shared" si="2"/>
        <v>3</v>
      </c>
      <c r="AE58" s="456" t="s">
        <v>117</v>
      </c>
      <c r="AF58" s="460" t="s">
        <v>2567</v>
      </c>
      <c r="AG58" s="460" t="s">
        <v>72</v>
      </c>
      <c r="AH58" s="474" t="s">
        <v>2719</v>
      </c>
      <c r="AI58" s="474" t="s">
        <v>2720</v>
      </c>
      <c r="AJ58" s="481">
        <v>120000</v>
      </c>
      <c r="AK58" s="464" t="s">
        <v>305</v>
      </c>
    </row>
    <row r="59" spans="1:37" s="308" customFormat="1" ht="14.25" customHeight="1" thickBot="1" x14ac:dyDescent="0.4">
      <c r="A59" s="451">
        <v>47</v>
      </c>
      <c r="B59" s="478" t="s">
        <v>83</v>
      </c>
      <c r="C59" s="474" t="s">
        <v>95</v>
      </c>
      <c r="D59" s="473" t="s">
        <v>2594</v>
      </c>
      <c r="E59" s="474" t="s">
        <v>2721</v>
      </c>
      <c r="F59" s="474" t="s">
        <v>2722</v>
      </c>
      <c r="G59" s="607"/>
      <c r="H59" s="754">
        <v>42946</v>
      </c>
      <c r="I59" s="479">
        <v>1330</v>
      </c>
      <c r="J59" s="470">
        <v>30072017</v>
      </c>
      <c r="K59" s="477">
        <v>1345</v>
      </c>
      <c r="L59" s="470">
        <v>30072017</v>
      </c>
      <c r="M59" s="479">
        <v>1715</v>
      </c>
      <c r="N59" s="606" t="s">
        <v>62</v>
      </c>
      <c r="O59" s="457">
        <v>0.5</v>
      </c>
      <c r="P59" s="457">
        <v>0.5</v>
      </c>
      <c r="Q59" s="457"/>
      <c r="R59" s="457"/>
      <c r="S59" s="458"/>
      <c r="T59" s="457"/>
      <c r="U59" s="457"/>
      <c r="V59" s="457"/>
      <c r="W59" s="457"/>
      <c r="X59" s="606"/>
      <c r="Y59" s="459">
        <f t="shared" si="1"/>
        <v>0.5</v>
      </c>
      <c r="Z59" s="459">
        <f t="shared" si="1"/>
        <v>0.5</v>
      </c>
      <c r="AA59" s="459">
        <f t="shared" si="1"/>
        <v>0</v>
      </c>
      <c r="AB59" s="459"/>
      <c r="AC59" s="459"/>
      <c r="AD59" s="459">
        <f t="shared" si="2"/>
        <v>1</v>
      </c>
      <c r="AE59" s="460" t="s">
        <v>117</v>
      </c>
      <c r="AF59" s="460" t="s">
        <v>2567</v>
      </c>
      <c r="AG59" s="460" t="s">
        <v>72</v>
      </c>
      <c r="AH59" s="474" t="s">
        <v>2723</v>
      </c>
      <c r="AI59" s="474" t="s">
        <v>348</v>
      </c>
      <c r="AJ59" s="481">
        <v>244500</v>
      </c>
      <c r="AK59" s="464" t="s">
        <v>305</v>
      </c>
    </row>
    <row r="60" spans="1:37" s="308" customFormat="1" ht="14.25" customHeight="1" thickBot="1" x14ac:dyDescent="0.4">
      <c r="A60" s="451">
        <v>48</v>
      </c>
      <c r="B60" s="478" t="s">
        <v>208</v>
      </c>
      <c r="C60" s="468" t="s">
        <v>208</v>
      </c>
      <c r="D60" s="474" t="s">
        <v>2640</v>
      </c>
      <c r="E60" s="474" t="s">
        <v>2724</v>
      </c>
      <c r="F60" s="474" t="s">
        <v>2725</v>
      </c>
      <c r="G60" s="607"/>
      <c r="H60" s="754">
        <v>42946</v>
      </c>
      <c r="I60" s="479">
        <v>1530</v>
      </c>
      <c r="J60" s="470">
        <v>30072017</v>
      </c>
      <c r="K60" s="477">
        <v>1540</v>
      </c>
      <c r="L60" s="470">
        <v>30072017</v>
      </c>
      <c r="M60" s="479">
        <v>2130</v>
      </c>
      <c r="N60" s="606" t="s">
        <v>1517</v>
      </c>
      <c r="O60" s="457"/>
      <c r="P60" s="457">
        <v>1</v>
      </c>
      <c r="Q60" s="457"/>
      <c r="R60" s="457"/>
      <c r="S60" s="458"/>
      <c r="T60" s="457"/>
      <c r="U60" s="457"/>
      <c r="V60" s="457"/>
      <c r="W60" s="457"/>
      <c r="X60" s="606"/>
      <c r="Y60" s="459">
        <f t="shared" si="1"/>
        <v>0</v>
      </c>
      <c r="Z60" s="459">
        <f t="shared" si="1"/>
        <v>1</v>
      </c>
      <c r="AA60" s="459">
        <f t="shared" si="1"/>
        <v>0</v>
      </c>
      <c r="AB60" s="459"/>
      <c r="AC60" s="459"/>
      <c r="AD60" s="459">
        <f t="shared" si="2"/>
        <v>1</v>
      </c>
      <c r="AE60" s="456" t="s">
        <v>2581</v>
      </c>
      <c r="AF60" s="460" t="s">
        <v>2567</v>
      </c>
      <c r="AG60" s="460" t="s">
        <v>57</v>
      </c>
      <c r="AH60" s="474" t="s">
        <v>2607</v>
      </c>
      <c r="AI60" s="474" t="s">
        <v>304</v>
      </c>
      <c r="AJ60" s="481">
        <v>32000</v>
      </c>
      <c r="AK60" s="464" t="s">
        <v>305</v>
      </c>
    </row>
    <row r="61" spans="1:37" s="308" customFormat="1" ht="14.25" customHeight="1" thickBot="1" x14ac:dyDescent="0.4">
      <c r="A61" s="451">
        <v>49</v>
      </c>
      <c r="B61" s="478" t="s">
        <v>49</v>
      </c>
      <c r="C61" s="468" t="s">
        <v>150</v>
      </c>
      <c r="D61" s="468" t="s">
        <v>2703</v>
      </c>
      <c r="E61" s="474" t="s">
        <v>2726</v>
      </c>
      <c r="F61" s="474" t="s">
        <v>2727</v>
      </c>
      <c r="G61" s="607"/>
      <c r="H61" s="754">
        <v>42946</v>
      </c>
      <c r="I61" s="479">
        <v>1620</v>
      </c>
      <c r="J61" s="470">
        <v>30072017</v>
      </c>
      <c r="K61" s="477">
        <v>1650</v>
      </c>
      <c r="L61" s="470">
        <v>30072017</v>
      </c>
      <c r="M61" s="479">
        <v>2130</v>
      </c>
      <c r="N61" s="606" t="s">
        <v>62</v>
      </c>
      <c r="O61" s="457">
        <v>0.5</v>
      </c>
      <c r="P61" s="457"/>
      <c r="Q61" s="457"/>
      <c r="R61" s="457"/>
      <c r="S61" s="458"/>
      <c r="T61" s="457"/>
      <c r="U61" s="457"/>
      <c r="V61" s="457"/>
      <c r="W61" s="457"/>
      <c r="X61" s="606"/>
      <c r="Y61" s="459">
        <f t="shared" si="1"/>
        <v>0.5</v>
      </c>
      <c r="Z61" s="459">
        <f t="shared" si="1"/>
        <v>0</v>
      </c>
      <c r="AA61" s="459">
        <f t="shared" si="1"/>
        <v>0</v>
      </c>
      <c r="AB61" s="459"/>
      <c r="AC61" s="459"/>
      <c r="AD61" s="459">
        <f t="shared" si="2"/>
        <v>0.5</v>
      </c>
      <c r="AE61" s="456" t="s">
        <v>117</v>
      </c>
      <c r="AF61" s="460" t="s">
        <v>2567</v>
      </c>
      <c r="AG61" s="460" t="s">
        <v>72</v>
      </c>
      <c r="AH61" s="474" t="s">
        <v>2603</v>
      </c>
      <c r="AI61" s="474" t="s">
        <v>348</v>
      </c>
      <c r="AJ61" s="481">
        <v>60000</v>
      </c>
      <c r="AK61" s="464" t="s">
        <v>305</v>
      </c>
    </row>
    <row r="62" spans="1:37" s="308" customFormat="1" ht="14.25" customHeight="1" thickBot="1" x14ac:dyDescent="0.4">
      <c r="A62" s="451">
        <v>50</v>
      </c>
      <c r="B62" s="478" t="s">
        <v>208</v>
      </c>
      <c r="C62" s="473" t="s">
        <v>208</v>
      </c>
      <c r="D62" s="474" t="s">
        <v>2640</v>
      </c>
      <c r="E62" s="474" t="s">
        <v>2728</v>
      </c>
      <c r="F62" s="474" t="s">
        <v>2729</v>
      </c>
      <c r="G62" s="607"/>
      <c r="H62" s="754">
        <v>42947</v>
      </c>
      <c r="I62" s="479">
        <v>1100</v>
      </c>
      <c r="J62" s="470">
        <v>31072017</v>
      </c>
      <c r="K62" s="477">
        <v>1110</v>
      </c>
      <c r="L62" s="470">
        <v>31072017</v>
      </c>
      <c r="M62" s="479">
        <v>1400</v>
      </c>
      <c r="N62" s="606" t="s">
        <v>1517</v>
      </c>
      <c r="O62" s="457"/>
      <c r="P62" s="457">
        <v>0.5</v>
      </c>
      <c r="Q62" s="457"/>
      <c r="R62" s="457"/>
      <c r="S62" s="458"/>
      <c r="T62" s="457"/>
      <c r="U62" s="457"/>
      <c r="V62" s="457"/>
      <c r="W62" s="457"/>
      <c r="X62" s="606"/>
      <c r="Y62" s="459">
        <f t="shared" si="1"/>
        <v>0</v>
      </c>
      <c r="Z62" s="459">
        <f t="shared" si="1"/>
        <v>0.5</v>
      </c>
      <c r="AA62" s="459">
        <f t="shared" si="1"/>
        <v>0</v>
      </c>
      <c r="AB62" s="459"/>
      <c r="AC62" s="459"/>
      <c r="AD62" s="459">
        <f t="shared" si="2"/>
        <v>0.5</v>
      </c>
      <c r="AE62" s="456" t="s">
        <v>2581</v>
      </c>
      <c r="AF62" s="460" t="s">
        <v>2567</v>
      </c>
      <c r="AG62" s="460" t="s">
        <v>57</v>
      </c>
      <c r="AH62" s="474" t="s">
        <v>2607</v>
      </c>
      <c r="AI62" s="474" t="s">
        <v>304</v>
      </c>
      <c r="AJ62" s="481">
        <v>16000</v>
      </c>
      <c r="AK62" s="464" t="s">
        <v>305</v>
      </c>
    </row>
    <row r="63" spans="1:37" s="308" customFormat="1" ht="14.25" customHeight="1" thickBot="1" x14ac:dyDescent="0.4">
      <c r="A63" s="451">
        <v>51</v>
      </c>
      <c r="B63" s="478" t="s">
        <v>208</v>
      </c>
      <c r="C63" s="473" t="s">
        <v>208</v>
      </c>
      <c r="D63" s="468" t="s">
        <v>2574</v>
      </c>
      <c r="E63" s="474" t="s">
        <v>2730</v>
      </c>
      <c r="F63" s="474" t="s">
        <v>2731</v>
      </c>
      <c r="G63" s="607"/>
      <c r="H63" s="754">
        <v>42947</v>
      </c>
      <c r="I63" s="479">
        <v>1200</v>
      </c>
      <c r="J63" s="470">
        <v>31072017</v>
      </c>
      <c r="K63" s="477">
        <v>1215</v>
      </c>
      <c r="L63" s="470">
        <v>31072017</v>
      </c>
      <c r="M63" s="479">
        <v>2230</v>
      </c>
      <c r="N63" s="606" t="s">
        <v>62</v>
      </c>
      <c r="O63" s="457"/>
      <c r="P63" s="457"/>
      <c r="Q63" s="457"/>
      <c r="R63" s="457"/>
      <c r="S63" s="458"/>
      <c r="T63" s="457">
        <v>0.5</v>
      </c>
      <c r="U63" s="457"/>
      <c r="V63" s="457"/>
      <c r="W63" s="457"/>
      <c r="X63" s="606"/>
      <c r="Y63" s="459">
        <f t="shared" si="1"/>
        <v>0.5</v>
      </c>
      <c r="Z63" s="459">
        <f t="shared" si="1"/>
        <v>0</v>
      </c>
      <c r="AA63" s="459">
        <f t="shared" si="1"/>
        <v>0</v>
      </c>
      <c r="AB63" s="459"/>
      <c r="AC63" s="459"/>
      <c r="AD63" s="459">
        <f t="shared" si="2"/>
        <v>0.5</v>
      </c>
      <c r="AE63" s="456" t="s">
        <v>2581</v>
      </c>
      <c r="AF63" s="460" t="s">
        <v>2567</v>
      </c>
      <c r="AG63" s="460" t="s">
        <v>72</v>
      </c>
      <c r="AH63" s="474" t="s">
        <v>2732</v>
      </c>
      <c r="AI63" s="474" t="s">
        <v>2733</v>
      </c>
      <c r="AJ63" s="481">
        <v>84000</v>
      </c>
      <c r="AK63" s="464" t="s">
        <v>305</v>
      </c>
    </row>
    <row r="64" spans="1:37" s="308" customFormat="1" ht="14.25" customHeight="1" thickBot="1" x14ac:dyDescent="0.4">
      <c r="A64" s="451">
        <v>52</v>
      </c>
      <c r="B64" s="478" t="s">
        <v>83</v>
      </c>
      <c r="C64" s="473" t="s">
        <v>95</v>
      </c>
      <c r="D64" s="473" t="s">
        <v>2594</v>
      </c>
      <c r="E64" s="474"/>
      <c r="F64" s="474"/>
      <c r="G64" s="607"/>
      <c r="H64" s="754">
        <v>42947</v>
      </c>
      <c r="I64" s="479">
        <v>1445</v>
      </c>
      <c r="J64" s="470">
        <v>31072017</v>
      </c>
      <c r="K64" s="477">
        <v>1500</v>
      </c>
      <c r="L64" s="470">
        <v>31072017</v>
      </c>
      <c r="M64" s="479">
        <v>1600</v>
      </c>
      <c r="N64" s="606" t="s">
        <v>1352</v>
      </c>
      <c r="O64" s="457"/>
      <c r="P64" s="457">
        <v>0.04</v>
      </c>
      <c r="Q64" s="457"/>
      <c r="R64" s="457"/>
      <c r="S64" s="458"/>
      <c r="T64" s="457"/>
      <c r="U64" s="457"/>
      <c r="V64" s="457"/>
      <c r="W64" s="457"/>
      <c r="X64" s="606"/>
      <c r="Y64" s="459">
        <f t="shared" si="1"/>
        <v>0</v>
      </c>
      <c r="Z64" s="459">
        <f t="shared" si="1"/>
        <v>0.04</v>
      </c>
      <c r="AA64" s="459">
        <f t="shared" si="1"/>
        <v>0</v>
      </c>
      <c r="AB64" s="459"/>
      <c r="AC64" s="459"/>
      <c r="AD64" s="459">
        <f t="shared" si="2"/>
        <v>0.04</v>
      </c>
      <c r="AE64" s="460" t="s">
        <v>117</v>
      </c>
      <c r="AF64" s="460" t="s">
        <v>2567</v>
      </c>
      <c r="AG64" s="460" t="s">
        <v>57</v>
      </c>
      <c r="AH64" s="474"/>
      <c r="AI64" s="474" t="s">
        <v>304</v>
      </c>
      <c r="AJ64" s="481"/>
      <c r="AK64" s="464" t="s">
        <v>305</v>
      </c>
    </row>
    <row r="65" spans="1:37" s="308" customFormat="1" ht="14.25" customHeight="1" thickBot="1" x14ac:dyDescent="0.4">
      <c r="A65" s="451">
        <v>53</v>
      </c>
      <c r="B65" s="478" t="s">
        <v>2624</v>
      </c>
      <c r="C65" s="473" t="s">
        <v>1424</v>
      </c>
      <c r="D65" s="468" t="s">
        <v>2574</v>
      </c>
      <c r="E65" s="474" t="s">
        <v>2734</v>
      </c>
      <c r="F65" s="474" t="s">
        <v>2735</v>
      </c>
      <c r="G65" s="607"/>
      <c r="H65" s="754">
        <v>42947</v>
      </c>
      <c r="I65" s="479">
        <v>1540</v>
      </c>
      <c r="J65" s="470">
        <v>31072017</v>
      </c>
      <c r="K65" s="477">
        <v>1545</v>
      </c>
      <c r="L65" s="470">
        <v>31072017</v>
      </c>
      <c r="M65" s="479">
        <v>1800</v>
      </c>
      <c r="N65" s="606" t="s">
        <v>62</v>
      </c>
      <c r="O65" s="457"/>
      <c r="P65" s="457"/>
      <c r="Q65" s="486"/>
      <c r="R65" s="457"/>
      <c r="S65" s="458"/>
      <c r="T65" s="457">
        <v>0.25</v>
      </c>
      <c r="U65" s="457"/>
      <c r="V65" s="457"/>
      <c r="W65" s="457"/>
      <c r="X65" s="606"/>
      <c r="Y65" s="459">
        <f t="shared" si="1"/>
        <v>0.25</v>
      </c>
      <c r="Z65" s="459">
        <f t="shared" si="1"/>
        <v>0</v>
      </c>
      <c r="AA65" s="459">
        <f t="shared" si="1"/>
        <v>0</v>
      </c>
      <c r="AB65" s="459"/>
      <c r="AC65" s="459"/>
      <c r="AD65" s="459">
        <f t="shared" si="2"/>
        <v>0.25</v>
      </c>
      <c r="AE65" s="456" t="s">
        <v>117</v>
      </c>
      <c r="AF65" s="460" t="s">
        <v>2567</v>
      </c>
      <c r="AG65" s="460" t="s">
        <v>57</v>
      </c>
      <c r="AH65" s="474" t="s">
        <v>2736</v>
      </c>
      <c r="AI65" s="474" t="s">
        <v>2737</v>
      </c>
      <c r="AJ65" s="481">
        <v>1658.33</v>
      </c>
      <c r="AK65" s="464" t="s">
        <v>305</v>
      </c>
    </row>
    <row r="66" spans="1:37" s="308" customFormat="1" ht="14.25" customHeight="1" thickBot="1" x14ac:dyDescent="0.4">
      <c r="A66" s="451">
        <v>54</v>
      </c>
      <c r="B66" s="478" t="s">
        <v>198</v>
      </c>
      <c r="C66" s="473" t="s">
        <v>1691</v>
      </c>
      <c r="D66" s="468" t="s">
        <v>2574</v>
      </c>
      <c r="E66" s="474" t="s">
        <v>2738</v>
      </c>
      <c r="F66" s="474" t="s">
        <v>2739</v>
      </c>
      <c r="G66" s="607"/>
      <c r="H66" s="754">
        <v>42947</v>
      </c>
      <c r="I66" s="479">
        <v>1710</v>
      </c>
      <c r="J66" s="470">
        <v>31072017</v>
      </c>
      <c r="K66" s="477">
        <v>1725</v>
      </c>
      <c r="L66" s="470">
        <v>1082017</v>
      </c>
      <c r="M66" s="479">
        <v>1930</v>
      </c>
      <c r="N66" s="606" t="s">
        <v>62</v>
      </c>
      <c r="O66" s="486"/>
      <c r="P66" s="486"/>
      <c r="Q66" s="457"/>
      <c r="R66" s="457"/>
      <c r="S66" s="458"/>
      <c r="T66" s="457">
        <v>10</v>
      </c>
      <c r="U66" s="457"/>
      <c r="V66" s="457">
        <v>5</v>
      </c>
      <c r="W66" s="457"/>
      <c r="X66" s="606"/>
      <c r="Y66" s="459">
        <f t="shared" si="1"/>
        <v>10</v>
      </c>
      <c r="Z66" s="459">
        <f t="shared" si="1"/>
        <v>0</v>
      </c>
      <c r="AA66" s="459">
        <f t="shared" si="1"/>
        <v>5</v>
      </c>
      <c r="AB66" s="459"/>
      <c r="AC66" s="459"/>
      <c r="AD66" s="459">
        <f t="shared" si="2"/>
        <v>15</v>
      </c>
      <c r="AE66" s="456" t="s">
        <v>2581</v>
      </c>
      <c r="AF66" s="460" t="s">
        <v>2567</v>
      </c>
      <c r="AG66" s="460" t="s">
        <v>72</v>
      </c>
      <c r="AH66" s="474" t="s">
        <v>2732</v>
      </c>
      <c r="AI66" s="474" t="s">
        <v>348</v>
      </c>
      <c r="AJ66" s="481">
        <v>460000</v>
      </c>
      <c r="AK66" s="464" t="s">
        <v>305</v>
      </c>
    </row>
    <row r="67" spans="1:37" s="308" customFormat="1" ht="14.25" customHeight="1" thickBot="1" x14ac:dyDescent="0.4">
      <c r="A67" s="451">
        <v>55</v>
      </c>
      <c r="B67" s="478" t="s">
        <v>83</v>
      </c>
      <c r="C67" s="473" t="s">
        <v>83</v>
      </c>
      <c r="D67" s="473" t="s">
        <v>2740</v>
      </c>
      <c r="E67" s="474" t="s">
        <v>2741</v>
      </c>
      <c r="F67" s="474" t="s">
        <v>2742</v>
      </c>
      <c r="G67" s="607"/>
      <c r="H67" s="754">
        <v>42948</v>
      </c>
      <c r="I67" s="479">
        <v>1000</v>
      </c>
      <c r="J67" s="470">
        <v>1082017</v>
      </c>
      <c r="K67" s="477">
        <v>1010</v>
      </c>
      <c r="L67" s="470">
        <v>1082017</v>
      </c>
      <c r="M67" s="479">
        <v>1530</v>
      </c>
      <c r="N67" s="606" t="s">
        <v>1352</v>
      </c>
      <c r="O67" s="457"/>
      <c r="P67" s="457">
        <v>0.5</v>
      </c>
      <c r="Q67" s="457"/>
      <c r="R67" s="457"/>
      <c r="S67" s="458"/>
      <c r="T67" s="457"/>
      <c r="U67" s="457"/>
      <c r="V67" s="457"/>
      <c r="W67" s="457"/>
      <c r="X67" s="606"/>
      <c r="Y67" s="459">
        <f t="shared" si="1"/>
        <v>0</v>
      </c>
      <c r="Z67" s="459">
        <f t="shared" si="1"/>
        <v>0.5</v>
      </c>
      <c r="AA67" s="459">
        <f t="shared" si="1"/>
        <v>0</v>
      </c>
      <c r="AB67" s="459"/>
      <c r="AC67" s="459"/>
      <c r="AD67" s="459">
        <f t="shared" si="2"/>
        <v>0.5</v>
      </c>
      <c r="AE67" s="456" t="s">
        <v>117</v>
      </c>
      <c r="AF67" s="456" t="s">
        <v>2567</v>
      </c>
      <c r="AG67" s="460" t="s">
        <v>57</v>
      </c>
      <c r="AH67" s="454" t="s">
        <v>2743</v>
      </c>
      <c r="AI67" s="454" t="s">
        <v>2744</v>
      </c>
      <c r="AJ67" s="467">
        <v>122250</v>
      </c>
      <c r="AK67" s="464" t="s">
        <v>305</v>
      </c>
    </row>
    <row r="68" spans="1:37" s="308" customFormat="1" ht="14.25" customHeight="1" thickBot="1" x14ac:dyDescent="0.4">
      <c r="A68" s="451">
        <v>56</v>
      </c>
      <c r="B68" s="478" t="s">
        <v>198</v>
      </c>
      <c r="C68" s="473" t="s">
        <v>1356</v>
      </c>
      <c r="D68" s="473" t="s">
        <v>2745</v>
      </c>
      <c r="E68" s="474" t="s">
        <v>2746</v>
      </c>
      <c r="F68" s="474" t="s">
        <v>2747</v>
      </c>
      <c r="G68" s="607"/>
      <c r="H68" s="754">
        <v>42948</v>
      </c>
      <c r="I68" s="479">
        <v>1120</v>
      </c>
      <c r="J68" s="470">
        <v>1082017</v>
      </c>
      <c r="K68" s="477">
        <v>1135</v>
      </c>
      <c r="L68" s="470">
        <v>1082017</v>
      </c>
      <c r="M68" s="479">
        <v>1240</v>
      </c>
      <c r="N68" s="606" t="s">
        <v>62</v>
      </c>
      <c r="O68" s="457">
        <v>0.5</v>
      </c>
      <c r="P68" s="457"/>
      <c r="Q68" s="457"/>
      <c r="R68" s="457"/>
      <c r="S68" s="458"/>
      <c r="T68" s="457"/>
      <c r="U68" s="457"/>
      <c r="V68" s="457"/>
      <c r="W68" s="457"/>
      <c r="X68" s="606"/>
      <c r="Y68" s="459">
        <f t="shared" si="1"/>
        <v>0.5</v>
      </c>
      <c r="Z68" s="459">
        <f t="shared" si="1"/>
        <v>0</v>
      </c>
      <c r="AA68" s="459">
        <f t="shared" si="1"/>
        <v>0</v>
      </c>
      <c r="AB68" s="459"/>
      <c r="AC68" s="459"/>
      <c r="AD68" s="459">
        <f t="shared" si="2"/>
        <v>0.5</v>
      </c>
      <c r="AE68" s="456" t="s">
        <v>2571</v>
      </c>
      <c r="AF68" s="460" t="s">
        <v>2567</v>
      </c>
      <c r="AG68" s="456" t="s">
        <v>72</v>
      </c>
      <c r="AH68" s="474" t="s">
        <v>2607</v>
      </c>
      <c r="AI68" s="474" t="s">
        <v>65</v>
      </c>
      <c r="AJ68" s="467">
        <v>20000</v>
      </c>
      <c r="AK68" s="464" t="s">
        <v>305</v>
      </c>
    </row>
    <row r="69" spans="1:37" s="308" customFormat="1" ht="14.25" customHeight="1" thickBot="1" x14ac:dyDescent="0.4">
      <c r="A69" s="451">
        <v>57</v>
      </c>
      <c r="B69" s="478" t="s">
        <v>2748</v>
      </c>
      <c r="C69" s="473" t="s">
        <v>1424</v>
      </c>
      <c r="D69" s="468" t="s">
        <v>2574</v>
      </c>
      <c r="E69" s="474" t="s">
        <v>2749</v>
      </c>
      <c r="F69" s="474" t="s">
        <v>2750</v>
      </c>
      <c r="G69" s="607"/>
      <c r="H69" s="754">
        <v>42948</v>
      </c>
      <c r="I69" s="479">
        <v>1320</v>
      </c>
      <c r="J69" s="470">
        <v>1082017</v>
      </c>
      <c r="K69" s="477">
        <v>1345</v>
      </c>
      <c r="L69" s="470">
        <v>1082017</v>
      </c>
      <c r="M69" s="479">
        <v>1520</v>
      </c>
      <c r="N69" s="606" t="s">
        <v>1339</v>
      </c>
      <c r="O69" s="457"/>
      <c r="P69" s="457"/>
      <c r="Q69" s="457">
        <v>0.5</v>
      </c>
      <c r="R69" s="457"/>
      <c r="S69" s="458"/>
      <c r="T69" s="457"/>
      <c r="U69" s="457"/>
      <c r="V69" s="457"/>
      <c r="W69" s="457"/>
      <c r="X69" s="606"/>
      <c r="Y69" s="459">
        <f t="shared" si="1"/>
        <v>0</v>
      </c>
      <c r="Z69" s="459">
        <f t="shared" si="1"/>
        <v>0</v>
      </c>
      <c r="AA69" s="459">
        <f t="shared" si="1"/>
        <v>0.5</v>
      </c>
      <c r="AB69" s="459"/>
      <c r="AC69" s="459"/>
      <c r="AD69" s="459">
        <f t="shared" si="2"/>
        <v>0.5</v>
      </c>
      <c r="AE69" s="456" t="s">
        <v>117</v>
      </c>
      <c r="AF69" s="456" t="s">
        <v>2567</v>
      </c>
      <c r="AG69" s="456" t="s">
        <v>72</v>
      </c>
      <c r="AH69" s="454" t="s">
        <v>2751</v>
      </c>
      <c r="AI69" s="454" t="s">
        <v>348</v>
      </c>
      <c r="AJ69" s="467">
        <v>0</v>
      </c>
      <c r="AK69" s="464" t="s">
        <v>305</v>
      </c>
    </row>
    <row r="70" spans="1:37" s="308" customFormat="1" ht="14.25" customHeight="1" thickBot="1" x14ac:dyDescent="0.4">
      <c r="A70" s="451">
        <v>58</v>
      </c>
      <c r="B70" s="478" t="s">
        <v>208</v>
      </c>
      <c r="C70" s="473" t="s">
        <v>208</v>
      </c>
      <c r="D70" s="474" t="s">
        <v>2640</v>
      </c>
      <c r="E70" s="474" t="s">
        <v>2752</v>
      </c>
      <c r="F70" s="474" t="s">
        <v>2753</v>
      </c>
      <c r="G70" s="607"/>
      <c r="H70" s="754">
        <v>42948</v>
      </c>
      <c r="I70" s="479">
        <v>1830</v>
      </c>
      <c r="J70" s="470">
        <v>1082017</v>
      </c>
      <c r="K70" s="477">
        <v>1845</v>
      </c>
      <c r="L70" s="470">
        <v>1082017</v>
      </c>
      <c r="M70" s="479">
        <v>2055</v>
      </c>
      <c r="N70" s="606" t="s">
        <v>1517</v>
      </c>
      <c r="O70" s="457"/>
      <c r="P70" s="457">
        <v>0.05</v>
      </c>
      <c r="Q70" s="457"/>
      <c r="R70" s="457"/>
      <c r="S70" s="458"/>
      <c r="T70" s="457"/>
      <c r="U70" s="457"/>
      <c r="V70" s="457"/>
      <c r="W70" s="457"/>
      <c r="X70" s="606"/>
      <c r="Y70" s="459">
        <f t="shared" si="1"/>
        <v>0</v>
      </c>
      <c r="Z70" s="459">
        <f t="shared" si="1"/>
        <v>0.05</v>
      </c>
      <c r="AA70" s="459">
        <f t="shared" si="1"/>
        <v>0</v>
      </c>
      <c r="AB70" s="459"/>
      <c r="AC70" s="459"/>
      <c r="AD70" s="459">
        <f t="shared" si="2"/>
        <v>0.05</v>
      </c>
      <c r="AE70" s="456" t="s">
        <v>2581</v>
      </c>
      <c r="AF70" s="460" t="s">
        <v>2567</v>
      </c>
      <c r="AG70" s="456" t="s">
        <v>57</v>
      </c>
      <c r="AH70" s="474" t="s">
        <v>2607</v>
      </c>
      <c r="AI70" s="454" t="s">
        <v>2598</v>
      </c>
      <c r="AJ70" s="467">
        <v>1600</v>
      </c>
      <c r="AK70" s="464" t="s">
        <v>305</v>
      </c>
    </row>
    <row r="71" spans="1:37" s="308" customFormat="1" ht="14.25" customHeight="1" thickBot="1" x14ac:dyDescent="0.4">
      <c r="A71" s="451">
        <v>59</v>
      </c>
      <c r="B71" s="478" t="s">
        <v>83</v>
      </c>
      <c r="C71" s="473" t="s">
        <v>83</v>
      </c>
      <c r="D71" s="473" t="s">
        <v>2740</v>
      </c>
      <c r="E71" s="474" t="s">
        <v>2754</v>
      </c>
      <c r="F71" s="474" t="s">
        <v>2755</v>
      </c>
      <c r="G71" s="607"/>
      <c r="H71" s="754">
        <v>42952</v>
      </c>
      <c r="I71" s="479">
        <v>1400</v>
      </c>
      <c r="J71" s="470">
        <v>5082017</v>
      </c>
      <c r="K71" s="477">
        <v>1440</v>
      </c>
      <c r="L71" s="470">
        <v>5082017</v>
      </c>
      <c r="M71" s="479">
        <v>1900</v>
      </c>
      <c r="N71" s="606" t="s">
        <v>1352</v>
      </c>
      <c r="O71" s="457"/>
      <c r="P71" s="457">
        <v>0.03</v>
      </c>
      <c r="Q71" s="457">
        <v>0.02</v>
      </c>
      <c r="R71" s="457"/>
      <c r="S71" s="458"/>
      <c r="T71" s="457"/>
      <c r="U71" s="457"/>
      <c r="V71" s="457"/>
      <c r="W71" s="457"/>
      <c r="X71" s="606"/>
      <c r="Y71" s="459">
        <f t="shared" si="1"/>
        <v>0</v>
      </c>
      <c r="Z71" s="459">
        <f t="shared" si="1"/>
        <v>0.03</v>
      </c>
      <c r="AA71" s="459">
        <f t="shared" si="1"/>
        <v>0.02</v>
      </c>
      <c r="AB71" s="459"/>
      <c r="AC71" s="459"/>
      <c r="AD71" s="459">
        <f t="shared" si="2"/>
        <v>0.05</v>
      </c>
      <c r="AE71" s="456" t="s">
        <v>117</v>
      </c>
      <c r="AF71" s="456" t="s">
        <v>2567</v>
      </c>
      <c r="AG71" s="456" t="s">
        <v>57</v>
      </c>
      <c r="AH71" s="454" t="s">
        <v>2756</v>
      </c>
      <c r="AI71" s="454" t="s">
        <v>304</v>
      </c>
      <c r="AJ71" s="467">
        <v>12000</v>
      </c>
      <c r="AK71" s="464" t="s">
        <v>305</v>
      </c>
    </row>
    <row r="72" spans="1:37" s="308" customFormat="1" ht="14.25" customHeight="1" thickBot="1" x14ac:dyDescent="0.4">
      <c r="A72" s="451">
        <v>60</v>
      </c>
      <c r="B72" s="478" t="s">
        <v>78</v>
      </c>
      <c r="C72" s="473" t="s">
        <v>173</v>
      </c>
      <c r="D72" s="473" t="s">
        <v>2757</v>
      </c>
      <c r="E72" s="474" t="s">
        <v>2758</v>
      </c>
      <c r="F72" s="474" t="s">
        <v>2759</v>
      </c>
      <c r="G72" s="607"/>
      <c r="H72" s="754">
        <v>42952</v>
      </c>
      <c r="I72" s="479">
        <v>1600</v>
      </c>
      <c r="J72" s="470">
        <v>5082017</v>
      </c>
      <c r="K72" s="477">
        <v>1630</v>
      </c>
      <c r="L72" s="470">
        <v>5082017</v>
      </c>
      <c r="M72" s="479">
        <v>1845</v>
      </c>
      <c r="N72" s="606" t="s">
        <v>62</v>
      </c>
      <c r="O72" s="457">
        <v>1</v>
      </c>
      <c r="P72" s="457">
        <v>0.5</v>
      </c>
      <c r="Q72" s="457"/>
      <c r="R72" s="457"/>
      <c r="S72" s="458"/>
      <c r="T72" s="457"/>
      <c r="U72" s="457"/>
      <c r="V72" s="457"/>
      <c r="W72" s="457"/>
      <c r="X72" s="606"/>
      <c r="Y72" s="459">
        <f t="shared" si="1"/>
        <v>1</v>
      </c>
      <c r="Z72" s="459">
        <f t="shared" si="1"/>
        <v>0.5</v>
      </c>
      <c r="AA72" s="459">
        <f t="shared" si="1"/>
        <v>0</v>
      </c>
      <c r="AB72" s="459"/>
      <c r="AC72" s="459"/>
      <c r="AD72" s="459">
        <f t="shared" si="2"/>
        <v>1.5</v>
      </c>
      <c r="AE72" s="456" t="s">
        <v>117</v>
      </c>
      <c r="AF72" s="460" t="s">
        <v>2567</v>
      </c>
      <c r="AG72" s="456" t="s">
        <v>72</v>
      </c>
      <c r="AH72" s="454" t="s">
        <v>2610</v>
      </c>
      <c r="AI72" s="454" t="s">
        <v>304</v>
      </c>
      <c r="AJ72" s="467">
        <v>180000</v>
      </c>
      <c r="AK72" s="464" t="s">
        <v>305</v>
      </c>
    </row>
    <row r="73" spans="1:37" s="308" customFormat="1" ht="14.25" customHeight="1" thickBot="1" x14ac:dyDescent="0.4">
      <c r="A73" s="451">
        <v>61</v>
      </c>
      <c r="B73" s="445" t="s">
        <v>2573</v>
      </c>
      <c r="C73" s="473" t="s">
        <v>157</v>
      </c>
      <c r="D73" s="474" t="s">
        <v>2588</v>
      </c>
      <c r="E73" s="474" t="s">
        <v>2760</v>
      </c>
      <c r="F73" s="475" t="s">
        <v>2761</v>
      </c>
      <c r="G73" s="607"/>
      <c r="H73" s="754">
        <v>42954</v>
      </c>
      <c r="I73" s="479">
        <v>1250</v>
      </c>
      <c r="J73" s="470">
        <v>7082017</v>
      </c>
      <c r="K73" s="477">
        <v>1310</v>
      </c>
      <c r="L73" s="470">
        <v>7082017</v>
      </c>
      <c r="M73" s="479">
        <v>1450</v>
      </c>
      <c r="N73" s="606" t="s">
        <v>62</v>
      </c>
      <c r="O73" s="457">
        <v>0.25</v>
      </c>
      <c r="P73" s="457"/>
      <c r="Q73" s="457"/>
      <c r="R73" s="457"/>
      <c r="S73" s="458"/>
      <c r="T73" s="457"/>
      <c r="U73" s="457"/>
      <c r="V73" s="457"/>
      <c r="W73" s="457"/>
      <c r="X73" s="606"/>
      <c r="Y73" s="459">
        <f t="shared" si="1"/>
        <v>0.25</v>
      </c>
      <c r="Z73" s="459">
        <f t="shared" si="1"/>
        <v>0</v>
      </c>
      <c r="AA73" s="459">
        <f t="shared" si="1"/>
        <v>0</v>
      </c>
      <c r="AB73" s="459"/>
      <c r="AC73" s="459"/>
      <c r="AD73" s="459">
        <f t="shared" si="2"/>
        <v>0.25</v>
      </c>
      <c r="AE73" s="456" t="s">
        <v>117</v>
      </c>
      <c r="AF73" s="460" t="s">
        <v>2567</v>
      </c>
      <c r="AG73" s="456" t="s">
        <v>72</v>
      </c>
      <c r="AH73" s="454" t="s">
        <v>2762</v>
      </c>
      <c r="AI73" s="454" t="s">
        <v>304</v>
      </c>
      <c r="AJ73" s="467"/>
      <c r="AK73" s="464" t="s">
        <v>305</v>
      </c>
    </row>
    <row r="74" spans="1:37" s="308" customFormat="1" ht="14.25" customHeight="1" thickBot="1" x14ac:dyDescent="0.4">
      <c r="A74" s="451">
        <v>62</v>
      </c>
      <c r="B74" s="478" t="s">
        <v>145</v>
      </c>
      <c r="C74" s="473" t="s">
        <v>1475</v>
      </c>
      <c r="D74" s="473" t="s">
        <v>2594</v>
      </c>
      <c r="E74" s="474" t="s">
        <v>2763</v>
      </c>
      <c r="F74" s="474" t="s">
        <v>2764</v>
      </c>
      <c r="G74" s="607"/>
      <c r="H74" s="754">
        <v>42955</v>
      </c>
      <c r="I74" s="479">
        <v>2115</v>
      </c>
      <c r="J74" s="470">
        <v>8082017</v>
      </c>
      <c r="K74" s="477">
        <v>2130</v>
      </c>
      <c r="L74" s="470">
        <v>8082017</v>
      </c>
      <c r="M74" s="479">
        <v>2205</v>
      </c>
      <c r="N74" s="606" t="s">
        <v>1339</v>
      </c>
      <c r="O74" s="457"/>
      <c r="P74" s="457"/>
      <c r="Q74" s="457">
        <v>0.02</v>
      </c>
      <c r="R74" s="457"/>
      <c r="S74" s="458"/>
      <c r="T74" s="457"/>
      <c r="U74" s="457"/>
      <c r="V74" s="457"/>
      <c r="W74" s="457"/>
      <c r="X74" s="606"/>
      <c r="Y74" s="459">
        <f t="shared" si="1"/>
        <v>0</v>
      </c>
      <c r="Z74" s="459">
        <f t="shared" si="1"/>
        <v>0</v>
      </c>
      <c r="AA74" s="459">
        <f t="shared" si="1"/>
        <v>0.02</v>
      </c>
      <c r="AB74" s="459"/>
      <c r="AC74" s="459"/>
      <c r="AD74" s="459">
        <f t="shared" si="2"/>
        <v>0.02</v>
      </c>
      <c r="AE74" s="456" t="s">
        <v>117</v>
      </c>
      <c r="AF74" s="456" t="s">
        <v>2567</v>
      </c>
      <c r="AG74" s="456" t="s">
        <v>72</v>
      </c>
      <c r="AH74" s="454" t="s">
        <v>2765</v>
      </c>
      <c r="AI74" s="454" t="s">
        <v>304</v>
      </c>
      <c r="AJ74" s="467">
        <v>2884</v>
      </c>
      <c r="AK74" s="464" t="s">
        <v>305</v>
      </c>
    </row>
    <row r="75" spans="1:37" s="308" customFormat="1" ht="14.25" customHeight="1" thickBot="1" x14ac:dyDescent="0.4">
      <c r="A75" s="451">
        <v>63</v>
      </c>
      <c r="B75" s="478" t="s">
        <v>208</v>
      </c>
      <c r="C75" s="473" t="s">
        <v>208</v>
      </c>
      <c r="D75" s="474" t="s">
        <v>2640</v>
      </c>
      <c r="E75" s="474" t="s">
        <v>2766</v>
      </c>
      <c r="F75" s="474" t="s">
        <v>2767</v>
      </c>
      <c r="G75" s="607"/>
      <c r="H75" s="754">
        <v>42956</v>
      </c>
      <c r="I75" s="479">
        <v>1115</v>
      </c>
      <c r="J75" s="470">
        <v>9082017</v>
      </c>
      <c r="K75" s="477">
        <v>1130</v>
      </c>
      <c r="L75" s="470">
        <v>9082017</v>
      </c>
      <c r="M75" s="479">
        <v>1345</v>
      </c>
      <c r="N75" s="606" t="s">
        <v>1517</v>
      </c>
      <c r="O75" s="486"/>
      <c r="P75" s="486">
        <v>0.5</v>
      </c>
      <c r="Q75" s="486"/>
      <c r="R75" s="457"/>
      <c r="S75" s="458"/>
      <c r="T75" s="457"/>
      <c r="U75" s="457"/>
      <c r="V75" s="457"/>
      <c r="W75" s="457"/>
      <c r="X75" s="606"/>
      <c r="Y75" s="459">
        <f t="shared" si="1"/>
        <v>0</v>
      </c>
      <c r="Z75" s="459">
        <f t="shared" si="1"/>
        <v>0.5</v>
      </c>
      <c r="AA75" s="459">
        <f t="shared" si="1"/>
        <v>0</v>
      </c>
      <c r="AB75" s="459"/>
      <c r="AC75" s="459"/>
      <c r="AD75" s="459">
        <f t="shared" si="2"/>
        <v>0.5</v>
      </c>
      <c r="AE75" s="456" t="s">
        <v>2581</v>
      </c>
      <c r="AF75" s="456" t="s">
        <v>2567</v>
      </c>
      <c r="AG75" s="456" t="s">
        <v>72</v>
      </c>
      <c r="AH75" s="474" t="s">
        <v>2768</v>
      </c>
      <c r="AI75" s="454" t="s">
        <v>304</v>
      </c>
      <c r="AJ75" s="467">
        <v>16000</v>
      </c>
      <c r="AK75" s="464" t="s">
        <v>305</v>
      </c>
    </row>
    <row r="76" spans="1:37" s="308" customFormat="1" ht="14.25" customHeight="1" thickBot="1" x14ac:dyDescent="0.4">
      <c r="A76" s="451">
        <v>64</v>
      </c>
      <c r="B76" s="478" t="s">
        <v>78</v>
      </c>
      <c r="C76" s="473" t="s">
        <v>107</v>
      </c>
      <c r="D76" s="454" t="s">
        <v>2564</v>
      </c>
      <c r="E76" s="474" t="s">
        <v>2769</v>
      </c>
      <c r="F76" s="474" t="s">
        <v>2770</v>
      </c>
      <c r="G76" s="607"/>
      <c r="H76" s="754">
        <v>42956</v>
      </c>
      <c r="I76" s="479">
        <v>1100</v>
      </c>
      <c r="J76" s="470">
        <v>9082017</v>
      </c>
      <c r="K76" s="477">
        <v>1120</v>
      </c>
      <c r="L76" s="470">
        <v>9082017</v>
      </c>
      <c r="M76" s="479">
        <v>1830</v>
      </c>
      <c r="N76" s="606" t="s">
        <v>1352</v>
      </c>
      <c r="O76" s="457"/>
      <c r="P76" s="457">
        <v>1.5</v>
      </c>
      <c r="Q76" s="457"/>
      <c r="R76" s="457"/>
      <c r="S76" s="458"/>
      <c r="T76" s="457"/>
      <c r="U76" s="457"/>
      <c r="V76" s="457"/>
      <c r="W76" s="457"/>
      <c r="X76" s="606"/>
      <c r="Y76" s="459">
        <f t="shared" si="1"/>
        <v>0</v>
      </c>
      <c r="Z76" s="459">
        <f t="shared" si="1"/>
        <v>1.5</v>
      </c>
      <c r="AA76" s="459">
        <f t="shared" si="1"/>
        <v>0</v>
      </c>
      <c r="AB76" s="459"/>
      <c r="AC76" s="459"/>
      <c r="AD76" s="459">
        <f t="shared" si="2"/>
        <v>1.5</v>
      </c>
      <c r="AE76" s="456" t="s">
        <v>117</v>
      </c>
      <c r="AF76" s="460" t="s">
        <v>2567</v>
      </c>
      <c r="AG76" s="456" t="s">
        <v>72</v>
      </c>
      <c r="AH76" s="454" t="s">
        <v>2771</v>
      </c>
      <c r="AI76" s="454" t="s">
        <v>2772</v>
      </c>
      <c r="AJ76" s="467">
        <v>315400</v>
      </c>
      <c r="AK76" s="464" t="s">
        <v>305</v>
      </c>
    </row>
    <row r="77" spans="1:37" s="308" customFormat="1" ht="14.25" customHeight="1" thickBot="1" x14ac:dyDescent="0.4">
      <c r="A77" s="451">
        <v>65</v>
      </c>
      <c r="B77" s="478" t="s">
        <v>145</v>
      </c>
      <c r="C77" s="473" t="s">
        <v>1475</v>
      </c>
      <c r="D77" s="473" t="s">
        <v>2594</v>
      </c>
      <c r="E77" s="474" t="s">
        <v>2763</v>
      </c>
      <c r="F77" s="474" t="s">
        <v>2773</v>
      </c>
      <c r="G77" s="607"/>
      <c r="H77" s="754">
        <v>42956</v>
      </c>
      <c r="I77" s="479">
        <v>2030</v>
      </c>
      <c r="J77" s="470">
        <v>9082017</v>
      </c>
      <c r="K77" s="477">
        <v>2045</v>
      </c>
      <c r="L77" s="470">
        <v>9082017</v>
      </c>
      <c r="M77" s="479">
        <v>2300</v>
      </c>
      <c r="N77" s="606" t="s">
        <v>1339</v>
      </c>
      <c r="O77" s="457"/>
      <c r="P77" s="457"/>
      <c r="Q77" s="457">
        <v>0.02</v>
      </c>
      <c r="R77" s="457"/>
      <c r="S77" s="458"/>
      <c r="T77" s="457"/>
      <c r="U77" s="457"/>
      <c r="V77" s="457"/>
      <c r="W77" s="457"/>
      <c r="X77" s="606"/>
      <c r="Y77" s="459">
        <f t="shared" si="1"/>
        <v>0</v>
      </c>
      <c r="Z77" s="459">
        <f t="shared" si="1"/>
        <v>0</v>
      </c>
      <c r="AA77" s="459">
        <f t="shared" si="1"/>
        <v>0.02</v>
      </c>
      <c r="AB77" s="459"/>
      <c r="AC77" s="459"/>
      <c r="AD77" s="459">
        <f t="shared" si="2"/>
        <v>0.02</v>
      </c>
      <c r="AE77" s="456" t="s">
        <v>117</v>
      </c>
      <c r="AF77" s="460" t="s">
        <v>2567</v>
      </c>
      <c r="AG77" s="456" t="s">
        <v>72</v>
      </c>
      <c r="AH77" s="454" t="s">
        <v>2774</v>
      </c>
      <c r="AI77" s="454" t="s">
        <v>304</v>
      </c>
      <c r="AJ77" s="467">
        <v>2884</v>
      </c>
      <c r="AK77" s="464" t="s">
        <v>305</v>
      </c>
    </row>
    <row r="78" spans="1:37" s="308" customFormat="1" ht="14.25" customHeight="1" thickBot="1" x14ac:dyDescent="0.4">
      <c r="A78" s="451">
        <v>66</v>
      </c>
      <c r="B78" s="478" t="s">
        <v>198</v>
      </c>
      <c r="C78" s="473" t="s">
        <v>1691</v>
      </c>
      <c r="D78" s="468" t="s">
        <v>2574</v>
      </c>
      <c r="E78" s="474" t="s">
        <v>2775</v>
      </c>
      <c r="F78" s="474" t="s">
        <v>2776</v>
      </c>
      <c r="G78" s="607"/>
      <c r="H78" s="754">
        <v>42956</v>
      </c>
      <c r="I78" s="479">
        <v>1900</v>
      </c>
      <c r="J78" s="470">
        <v>9082017</v>
      </c>
      <c r="K78" s="477">
        <v>1920</v>
      </c>
      <c r="L78" s="470">
        <v>9082017</v>
      </c>
      <c r="M78" s="477">
        <v>2350</v>
      </c>
      <c r="N78" s="606" t="s">
        <v>62</v>
      </c>
      <c r="O78" s="457"/>
      <c r="P78" s="457"/>
      <c r="Q78" s="457"/>
      <c r="R78" s="457"/>
      <c r="S78" s="458"/>
      <c r="T78" s="457">
        <v>1</v>
      </c>
      <c r="U78" s="457"/>
      <c r="V78" s="457"/>
      <c r="W78" s="457"/>
      <c r="X78" s="606"/>
      <c r="Y78" s="459">
        <f t="shared" ref="Y78:AA96" si="3">O78+T78</f>
        <v>1</v>
      </c>
      <c r="Z78" s="459">
        <f t="shared" si="3"/>
        <v>0</v>
      </c>
      <c r="AA78" s="459">
        <f t="shared" si="3"/>
        <v>0</v>
      </c>
      <c r="AB78" s="459"/>
      <c r="AC78" s="459"/>
      <c r="AD78" s="459">
        <f t="shared" si="2"/>
        <v>1</v>
      </c>
      <c r="AE78" s="456" t="s">
        <v>2571</v>
      </c>
      <c r="AF78" s="456" t="s">
        <v>2567</v>
      </c>
      <c r="AG78" s="456" t="s">
        <v>72</v>
      </c>
      <c r="AH78" s="474" t="s">
        <v>2777</v>
      </c>
      <c r="AI78" s="454" t="s">
        <v>2630</v>
      </c>
      <c r="AJ78" s="467">
        <v>52000</v>
      </c>
      <c r="AK78" s="464" t="s">
        <v>305</v>
      </c>
    </row>
    <row r="79" spans="1:37" s="308" customFormat="1" ht="14.25" customHeight="1" thickBot="1" x14ac:dyDescent="0.4">
      <c r="A79" s="451">
        <v>67</v>
      </c>
      <c r="B79" s="478" t="s">
        <v>83</v>
      </c>
      <c r="C79" s="473" t="s">
        <v>83</v>
      </c>
      <c r="D79" s="473" t="s">
        <v>2740</v>
      </c>
      <c r="E79" s="474" t="s">
        <v>2778</v>
      </c>
      <c r="F79" s="474" t="s">
        <v>2779</v>
      </c>
      <c r="G79" s="607"/>
      <c r="H79" s="754">
        <v>42958</v>
      </c>
      <c r="I79" s="479">
        <v>1530</v>
      </c>
      <c r="J79" s="470">
        <v>11082017</v>
      </c>
      <c r="K79" s="477">
        <v>1540</v>
      </c>
      <c r="L79" s="470">
        <v>11082017</v>
      </c>
      <c r="M79" s="479">
        <v>1630</v>
      </c>
      <c r="N79" s="606" t="s">
        <v>1339</v>
      </c>
      <c r="O79" s="457"/>
      <c r="P79" s="457"/>
      <c r="Q79" s="457">
        <v>0.01</v>
      </c>
      <c r="R79" s="457"/>
      <c r="S79" s="458"/>
      <c r="T79" s="457"/>
      <c r="U79" s="457"/>
      <c r="V79" s="457"/>
      <c r="W79" s="457"/>
      <c r="X79" s="606"/>
      <c r="Y79" s="459">
        <f t="shared" si="3"/>
        <v>0</v>
      </c>
      <c r="Z79" s="459">
        <f t="shared" si="3"/>
        <v>0</v>
      </c>
      <c r="AA79" s="459">
        <f t="shared" si="3"/>
        <v>0.01</v>
      </c>
      <c r="AB79" s="459"/>
      <c r="AC79" s="459"/>
      <c r="AD79" s="459">
        <f t="shared" si="2"/>
        <v>0.01</v>
      </c>
      <c r="AE79" s="456" t="s">
        <v>117</v>
      </c>
      <c r="AF79" s="460" t="s">
        <v>2567</v>
      </c>
      <c r="AG79" s="461" t="s">
        <v>57</v>
      </c>
      <c r="AH79" s="454" t="s">
        <v>2756</v>
      </c>
      <c r="AI79" s="462" t="s">
        <v>304</v>
      </c>
      <c r="AJ79" s="463">
        <v>2400</v>
      </c>
      <c r="AK79" s="464" t="s">
        <v>305</v>
      </c>
    </row>
    <row r="80" spans="1:37" s="308" customFormat="1" ht="14.25" customHeight="1" thickBot="1" x14ac:dyDescent="0.4">
      <c r="A80" s="451">
        <v>68</v>
      </c>
      <c r="B80" s="478" t="s">
        <v>208</v>
      </c>
      <c r="C80" s="473" t="s">
        <v>214</v>
      </c>
      <c r="D80" s="468" t="s">
        <v>2574</v>
      </c>
      <c r="E80" s="474" t="s">
        <v>2780</v>
      </c>
      <c r="F80" s="474" t="s">
        <v>2781</v>
      </c>
      <c r="G80" s="607"/>
      <c r="H80" s="754">
        <v>42960</v>
      </c>
      <c r="I80" s="479">
        <v>1615</v>
      </c>
      <c r="J80" s="470">
        <v>13082017</v>
      </c>
      <c r="K80" s="477">
        <v>1630</v>
      </c>
      <c r="L80" s="470">
        <v>13082017</v>
      </c>
      <c r="M80" s="479">
        <v>1840</v>
      </c>
      <c r="N80" s="606" t="s">
        <v>1339</v>
      </c>
      <c r="O80" s="457"/>
      <c r="P80" s="457"/>
      <c r="Q80" s="486"/>
      <c r="R80" s="457"/>
      <c r="S80" s="458"/>
      <c r="T80" s="457"/>
      <c r="U80" s="457"/>
      <c r="V80" s="457">
        <v>1</v>
      </c>
      <c r="W80" s="457"/>
      <c r="X80" s="606"/>
      <c r="Y80" s="459">
        <f t="shared" si="3"/>
        <v>0</v>
      </c>
      <c r="Z80" s="459">
        <f t="shared" si="3"/>
        <v>0</v>
      </c>
      <c r="AA80" s="459">
        <f t="shared" si="3"/>
        <v>1</v>
      </c>
      <c r="AB80" s="459"/>
      <c r="AC80" s="459"/>
      <c r="AD80" s="459">
        <f t="shared" si="2"/>
        <v>1</v>
      </c>
      <c r="AE80" s="456" t="s">
        <v>2581</v>
      </c>
      <c r="AF80" s="460" t="s">
        <v>2567</v>
      </c>
      <c r="AG80" s="461" t="s">
        <v>57</v>
      </c>
      <c r="AH80" s="454" t="s">
        <v>2651</v>
      </c>
      <c r="AI80" s="462" t="s">
        <v>304</v>
      </c>
      <c r="AJ80" s="467">
        <v>16000</v>
      </c>
      <c r="AK80" s="464" t="s">
        <v>305</v>
      </c>
    </row>
    <row r="81" spans="1:37" s="308" customFormat="1" ht="14.25" customHeight="1" thickBot="1" x14ac:dyDescent="0.4">
      <c r="A81" s="451">
        <v>69</v>
      </c>
      <c r="B81" s="478" t="s">
        <v>78</v>
      </c>
      <c r="C81" s="473" t="s">
        <v>79</v>
      </c>
      <c r="D81" s="454" t="s">
        <v>2564</v>
      </c>
      <c r="E81" s="474" t="s">
        <v>2782</v>
      </c>
      <c r="F81" s="474" t="s">
        <v>2783</v>
      </c>
      <c r="G81" s="607"/>
      <c r="H81" s="754">
        <v>42965</v>
      </c>
      <c r="I81" s="479">
        <v>1605</v>
      </c>
      <c r="J81" s="470">
        <v>18082017</v>
      </c>
      <c r="K81" s="477">
        <v>1630</v>
      </c>
      <c r="L81" s="470">
        <v>18082017</v>
      </c>
      <c r="M81" s="479">
        <v>2200</v>
      </c>
      <c r="N81" s="606" t="s">
        <v>1352</v>
      </c>
      <c r="O81" s="457"/>
      <c r="P81" s="457">
        <v>5</v>
      </c>
      <c r="Q81" s="457"/>
      <c r="R81" s="457"/>
      <c r="S81" s="458"/>
      <c r="T81" s="457"/>
      <c r="U81" s="457"/>
      <c r="V81" s="457"/>
      <c r="W81" s="457"/>
      <c r="X81" s="606"/>
      <c r="Y81" s="459">
        <f t="shared" si="3"/>
        <v>0</v>
      </c>
      <c r="Z81" s="459">
        <f t="shared" si="3"/>
        <v>5</v>
      </c>
      <c r="AA81" s="459">
        <f t="shared" si="3"/>
        <v>0</v>
      </c>
      <c r="AB81" s="459"/>
      <c r="AC81" s="459"/>
      <c r="AD81" s="459">
        <f t="shared" si="2"/>
        <v>5</v>
      </c>
      <c r="AE81" s="456" t="s">
        <v>117</v>
      </c>
      <c r="AF81" s="460" t="s">
        <v>2567</v>
      </c>
      <c r="AG81" s="461" t="s">
        <v>57</v>
      </c>
      <c r="AH81" s="454" t="s">
        <v>2572</v>
      </c>
      <c r="AI81" s="462" t="s">
        <v>304</v>
      </c>
      <c r="AJ81" s="467">
        <v>800000</v>
      </c>
      <c r="AK81" s="464" t="s">
        <v>305</v>
      </c>
    </row>
    <row r="82" spans="1:37" s="308" customFormat="1" ht="14.25" customHeight="1" thickBot="1" x14ac:dyDescent="0.4">
      <c r="A82" s="451">
        <v>70</v>
      </c>
      <c r="B82" s="478" t="s">
        <v>145</v>
      </c>
      <c r="C82" s="473" t="s">
        <v>145</v>
      </c>
      <c r="D82" s="473" t="s">
        <v>2594</v>
      </c>
      <c r="E82" s="474" t="s">
        <v>2784</v>
      </c>
      <c r="F82" s="474" t="s">
        <v>2785</v>
      </c>
      <c r="G82" s="607"/>
      <c r="H82" s="754">
        <v>42970</v>
      </c>
      <c r="I82" s="479">
        <v>2135</v>
      </c>
      <c r="J82" s="470">
        <v>23082017</v>
      </c>
      <c r="K82" s="477">
        <v>2145</v>
      </c>
      <c r="L82" s="470">
        <v>23082017</v>
      </c>
      <c r="M82" s="479">
        <v>1810</v>
      </c>
      <c r="N82" s="606" t="s">
        <v>1339</v>
      </c>
      <c r="O82" s="457"/>
      <c r="P82" s="457"/>
      <c r="Q82" s="457">
        <v>5.0000000000000001E-3</v>
      </c>
      <c r="R82" s="457"/>
      <c r="S82" s="458"/>
      <c r="T82" s="457"/>
      <c r="U82" s="457"/>
      <c r="V82" s="457"/>
      <c r="W82" s="457"/>
      <c r="X82" s="606"/>
      <c r="Y82" s="459">
        <f t="shared" si="3"/>
        <v>0</v>
      </c>
      <c r="Z82" s="459">
        <f t="shared" si="3"/>
        <v>0</v>
      </c>
      <c r="AA82" s="459">
        <f t="shared" si="3"/>
        <v>5.0000000000000001E-3</v>
      </c>
      <c r="AB82" s="459"/>
      <c r="AC82" s="459"/>
      <c r="AD82" s="459">
        <f t="shared" ref="AD82:AD105" si="4">Y82+Z82+AA82+AB82+AC82</f>
        <v>5.0000000000000001E-3</v>
      </c>
      <c r="AE82" s="460" t="s">
        <v>117</v>
      </c>
      <c r="AF82" s="460" t="s">
        <v>2567</v>
      </c>
      <c r="AG82" s="472" t="s">
        <v>57</v>
      </c>
      <c r="AH82" s="454" t="s">
        <v>2692</v>
      </c>
      <c r="AI82" s="462" t="s">
        <v>304</v>
      </c>
      <c r="AJ82" s="467">
        <v>1222.5</v>
      </c>
      <c r="AK82" s="464" t="s">
        <v>305</v>
      </c>
    </row>
    <row r="83" spans="1:37" s="308" customFormat="1" ht="14.25" customHeight="1" thickBot="1" x14ac:dyDescent="0.4">
      <c r="A83" s="451">
        <v>71</v>
      </c>
      <c r="B83" s="487" t="s">
        <v>208</v>
      </c>
      <c r="C83" s="454" t="s">
        <v>208</v>
      </c>
      <c r="D83" s="474" t="s">
        <v>2640</v>
      </c>
      <c r="E83" s="474" t="s">
        <v>2786</v>
      </c>
      <c r="F83" s="474" t="s">
        <v>2787</v>
      </c>
      <c r="G83" s="607"/>
      <c r="H83" s="754">
        <v>42973</v>
      </c>
      <c r="I83" s="479">
        <v>1530</v>
      </c>
      <c r="J83" s="470">
        <v>26082017</v>
      </c>
      <c r="K83" s="477">
        <v>1545</v>
      </c>
      <c r="L83" s="470">
        <v>26082017</v>
      </c>
      <c r="M83" s="479">
        <v>1810</v>
      </c>
      <c r="N83" s="606" t="s">
        <v>1517</v>
      </c>
      <c r="O83" s="457"/>
      <c r="P83" s="457">
        <v>0.25</v>
      </c>
      <c r="Q83" s="486"/>
      <c r="R83" s="486"/>
      <c r="S83" s="488"/>
      <c r="T83" s="486"/>
      <c r="U83" s="486"/>
      <c r="V83" s="486"/>
      <c r="W83" s="457"/>
      <c r="X83" s="606"/>
      <c r="Y83" s="459">
        <f t="shared" si="3"/>
        <v>0</v>
      </c>
      <c r="Z83" s="459">
        <f t="shared" si="3"/>
        <v>0.25</v>
      </c>
      <c r="AA83" s="459">
        <f t="shared" si="3"/>
        <v>0</v>
      </c>
      <c r="AB83" s="459"/>
      <c r="AC83" s="459"/>
      <c r="AD83" s="459">
        <f t="shared" si="4"/>
        <v>0.25</v>
      </c>
      <c r="AE83" s="456" t="s">
        <v>2581</v>
      </c>
      <c r="AF83" s="460" t="s">
        <v>2567</v>
      </c>
      <c r="AG83" s="472" t="s">
        <v>57</v>
      </c>
      <c r="AH83" s="454" t="s">
        <v>2788</v>
      </c>
      <c r="AI83" s="462" t="s">
        <v>304</v>
      </c>
      <c r="AJ83" s="467">
        <v>8000</v>
      </c>
      <c r="AK83" s="464" t="s">
        <v>305</v>
      </c>
    </row>
    <row r="84" spans="1:37" s="308" customFormat="1" ht="14.25" customHeight="1" thickBot="1" x14ac:dyDescent="0.4">
      <c r="A84" s="451">
        <v>72</v>
      </c>
      <c r="B84" s="487" t="s">
        <v>198</v>
      </c>
      <c r="C84" s="454" t="s">
        <v>198</v>
      </c>
      <c r="D84" s="468" t="s">
        <v>2574</v>
      </c>
      <c r="E84" s="474" t="s">
        <v>2789</v>
      </c>
      <c r="F84" s="474" t="s">
        <v>2790</v>
      </c>
      <c r="G84" s="607"/>
      <c r="H84" s="754">
        <v>42973</v>
      </c>
      <c r="I84" s="479">
        <v>1710</v>
      </c>
      <c r="J84" s="470">
        <v>26082017</v>
      </c>
      <c r="K84" s="477">
        <v>1730</v>
      </c>
      <c r="L84" s="470">
        <v>26082017</v>
      </c>
      <c r="M84" s="479">
        <v>1920</v>
      </c>
      <c r="N84" s="606" t="s">
        <v>1339</v>
      </c>
      <c r="O84" s="457"/>
      <c r="P84" s="486"/>
      <c r="Q84" s="486"/>
      <c r="R84" s="486"/>
      <c r="S84" s="488"/>
      <c r="T84" s="486"/>
      <c r="U84" s="486"/>
      <c r="V84" s="457">
        <v>0.5</v>
      </c>
      <c r="W84" s="457"/>
      <c r="X84" s="606"/>
      <c r="Y84" s="459">
        <f t="shared" si="3"/>
        <v>0</v>
      </c>
      <c r="Z84" s="459">
        <f t="shared" si="3"/>
        <v>0</v>
      </c>
      <c r="AA84" s="459">
        <f t="shared" si="3"/>
        <v>0.5</v>
      </c>
      <c r="AB84" s="459"/>
      <c r="AC84" s="459"/>
      <c r="AD84" s="459">
        <f t="shared" si="4"/>
        <v>0.5</v>
      </c>
      <c r="AE84" s="456" t="s">
        <v>2581</v>
      </c>
      <c r="AF84" s="456" t="s">
        <v>2567</v>
      </c>
      <c r="AG84" s="472" t="s">
        <v>57</v>
      </c>
      <c r="AH84" s="454" t="s">
        <v>2788</v>
      </c>
      <c r="AI84" s="462" t="s">
        <v>2630</v>
      </c>
      <c r="AJ84" s="467">
        <v>8000</v>
      </c>
      <c r="AK84" s="464" t="s">
        <v>305</v>
      </c>
    </row>
    <row r="85" spans="1:37" s="308" customFormat="1" ht="14.25" customHeight="1" thickBot="1" x14ac:dyDescent="0.4">
      <c r="A85" s="451">
        <v>73</v>
      </c>
      <c r="B85" s="487" t="s">
        <v>208</v>
      </c>
      <c r="C85" s="454" t="s">
        <v>208</v>
      </c>
      <c r="D85" s="474" t="s">
        <v>2640</v>
      </c>
      <c r="E85" s="474" t="s">
        <v>2791</v>
      </c>
      <c r="F85" s="474" t="s">
        <v>2792</v>
      </c>
      <c r="G85" s="607"/>
      <c r="H85" s="754">
        <v>42975</v>
      </c>
      <c r="I85" s="479">
        <v>1340</v>
      </c>
      <c r="J85" s="470">
        <v>28082017</v>
      </c>
      <c r="K85" s="477">
        <v>1355</v>
      </c>
      <c r="L85" s="470">
        <v>28082017</v>
      </c>
      <c r="M85" s="479">
        <v>1600</v>
      </c>
      <c r="N85" s="606" t="s">
        <v>1517</v>
      </c>
      <c r="O85" s="457"/>
      <c r="P85" s="457">
        <v>0.5</v>
      </c>
      <c r="Q85" s="486"/>
      <c r="R85" s="457"/>
      <c r="S85" s="458"/>
      <c r="T85" s="457"/>
      <c r="U85" s="457"/>
      <c r="V85" s="457"/>
      <c r="W85" s="457"/>
      <c r="X85" s="606"/>
      <c r="Y85" s="459">
        <f t="shared" si="3"/>
        <v>0</v>
      </c>
      <c r="Z85" s="459">
        <f t="shared" si="3"/>
        <v>0.5</v>
      </c>
      <c r="AA85" s="459">
        <f t="shared" si="3"/>
        <v>0</v>
      </c>
      <c r="AB85" s="459"/>
      <c r="AC85" s="459"/>
      <c r="AD85" s="459">
        <f t="shared" si="4"/>
        <v>0.5</v>
      </c>
      <c r="AE85" s="456" t="s">
        <v>2581</v>
      </c>
      <c r="AF85" s="460" t="s">
        <v>2567</v>
      </c>
      <c r="AG85" s="460" t="s">
        <v>57</v>
      </c>
      <c r="AH85" s="454" t="s">
        <v>2793</v>
      </c>
      <c r="AI85" s="474" t="s">
        <v>304</v>
      </c>
      <c r="AJ85" s="481">
        <v>16000</v>
      </c>
      <c r="AK85" s="464" t="s">
        <v>305</v>
      </c>
    </row>
    <row r="86" spans="1:37" s="308" customFormat="1" ht="14.25" customHeight="1" thickBot="1" x14ac:dyDescent="0.4">
      <c r="A86" s="451">
        <v>74</v>
      </c>
      <c r="B86" s="487" t="s">
        <v>83</v>
      </c>
      <c r="C86" s="454" t="s">
        <v>83</v>
      </c>
      <c r="D86" s="473" t="s">
        <v>2740</v>
      </c>
      <c r="E86" s="474" t="s">
        <v>2794</v>
      </c>
      <c r="F86" s="474" t="s">
        <v>2795</v>
      </c>
      <c r="G86" s="607"/>
      <c r="H86" s="754">
        <v>42975</v>
      </c>
      <c r="I86" s="479">
        <v>1740</v>
      </c>
      <c r="J86" s="470">
        <v>28082017</v>
      </c>
      <c r="K86" s="477">
        <v>1755</v>
      </c>
      <c r="L86" s="470">
        <v>28082017</v>
      </c>
      <c r="M86" s="479">
        <v>1900</v>
      </c>
      <c r="N86" s="606" t="s">
        <v>1352</v>
      </c>
      <c r="O86" s="457"/>
      <c r="P86" s="486">
        <v>0.25</v>
      </c>
      <c r="Q86" s="486">
        <v>0.25</v>
      </c>
      <c r="R86" s="457"/>
      <c r="S86" s="458"/>
      <c r="T86" s="457"/>
      <c r="U86" s="457"/>
      <c r="V86" s="457"/>
      <c r="W86" s="457"/>
      <c r="X86" s="606"/>
      <c r="Y86" s="459">
        <f t="shared" si="3"/>
        <v>0</v>
      </c>
      <c r="Z86" s="459">
        <f t="shared" si="3"/>
        <v>0.25</v>
      </c>
      <c r="AA86" s="459">
        <f t="shared" si="3"/>
        <v>0.25</v>
      </c>
      <c r="AB86" s="459"/>
      <c r="AC86" s="459"/>
      <c r="AD86" s="459">
        <f t="shared" si="4"/>
        <v>0.5</v>
      </c>
      <c r="AE86" s="460" t="s">
        <v>117</v>
      </c>
      <c r="AF86" s="460" t="s">
        <v>2567</v>
      </c>
      <c r="AG86" s="460" t="s">
        <v>57</v>
      </c>
      <c r="AH86" s="474" t="s">
        <v>2796</v>
      </c>
      <c r="AI86" s="474" t="s">
        <v>304</v>
      </c>
      <c r="AJ86" s="481">
        <v>122250</v>
      </c>
      <c r="AK86" s="464" t="s">
        <v>305</v>
      </c>
    </row>
    <row r="87" spans="1:37" s="308" customFormat="1" ht="14.25" customHeight="1" thickBot="1" x14ac:dyDescent="0.35">
      <c r="A87" s="451">
        <v>75</v>
      </c>
      <c r="B87" s="487" t="s">
        <v>78</v>
      </c>
      <c r="C87" s="454" t="s">
        <v>79</v>
      </c>
      <c r="D87" s="454" t="s">
        <v>2564</v>
      </c>
      <c r="E87" s="489" t="s">
        <v>2797</v>
      </c>
      <c r="F87" s="489" t="s">
        <v>2798</v>
      </c>
      <c r="G87" s="607"/>
      <c r="H87" s="754">
        <v>42979</v>
      </c>
      <c r="I87" s="490">
        <v>0</v>
      </c>
      <c r="J87" s="470">
        <v>1092017</v>
      </c>
      <c r="K87" s="490">
        <v>20</v>
      </c>
      <c r="L87" s="470">
        <v>1092017</v>
      </c>
      <c r="M87" s="479">
        <v>130</v>
      </c>
      <c r="N87" s="606" t="s">
        <v>1352</v>
      </c>
      <c r="O87" s="457"/>
      <c r="P87" s="457">
        <v>0.5</v>
      </c>
      <c r="Q87" s="486"/>
      <c r="R87" s="457"/>
      <c r="S87" s="458"/>
      <c r="T87" s="457"/>
      <c r="U87" s="457"/>
      <c r="V87" s="457"/>
      <c r="W87" s="457"/>
      <c r="X87" s="606"/>
      <c r="Y87" s="459">
        <f t="shared" si="3"/>
        <v>0</v>
      </c>
      <c r="Z87" s="459">
        <f t="shared" si="3"/>
        <v>0.5</v>
      </c>
      <c r="AA87" s="459">
        <f t="shared" si="3"/>
        <v>0</v>
      </c>
      <c r="AB87" s="459"/>
      <c r="AC87" s="459"/>
      <c r="AD87" s="459">
        <f t="shared" si="4"/>
        <v>0.5</v>
      </c>
      <c r="AE87" s="460" t="s">
        <v>2571</v>
      </c>
      <c r="AF87" s="456" t="s">
        <v>2567</v>
      </c>
      <c r="AG87" s="456" t="s">
        <v>72</v>
      </c>
      <c r="AH87" s="454" t="s">
        <v>2610</v>
      </c>
      <c r="AI87" s="454" t="s">
        <v>2587</v>
      </c>
      <c r="AJ87" s="467">
        <v>150000</v>
      </c>
      <c r="AK87" s="464" t="s">
        <v>305</v>
      </c>
    </row>
    <row r="88" spans="1:37" s="308" customFormat="1" ht="14.25" customHeight="1" thickBot="1" x14ac:dyDescent="0.4">
      <c r="A88" s="451">
        <v>76</v>
      </c>
      <c r="B88" s="487" t="s">
        <v>83</v>
      </c>
      <c r="C88" s="454" t="s">
        <v>95</v>
      </c>
      <c r="D88" s="473" t="s">
        <v>2594</v>
      </c>
      <c r="E88" s="491" t="s">
        <v>2799</v>
      </c>
      <c r="F88" s="491" t="s">
        <v>2800</v>
      </c>
      <c r="G88" s="607"/>
      <c r="H88" s="754">
        <v>42981</v>
      </c>
      <c r="I88" s="470">
        <v>1300</v>
      </c>
      <c r="J88" s="470">
        <v>3092017</v>
      </c>
      <c r="K88" s="476">
        <v>1345</v>
      </c>
      <c r="L88" s="470">
        <v>3092017</v>
      </c>
      <c r="M88" s="470">
        <v>1830</v>
      </c>
      <c r="N88" s="606" t="s">
        <v>62</v>
      </c>
      <c r="O88" s="457">
        <v>0.5</v>
      </c>
      <c r="P88" s="457"/>
      <c r="Q88" s="486"/>
      <c r="R88" s="457"/>
      <c r="S88" s="458"/>
      <c r="T88" s="457"/>
      <c r="U88" s="457"/>
      <c r="V88" s="457"/>
      <c r="W88" s="457"/>
      <c r="X88" s="606"/>
      <c r="Y88" s="459">
        <f t="shared" si="3"/>
        <v>0.5</v>
      </c>
      <c r="Z88" s="459">
        <f t="shared" si="3"/>
        <v>0</v>
      </c>
      <c r="AA88" s="459">
        <f t="shared" si="3"/>
        <v>0</v>
      </c>
      <c r="AB88" s="459"/>
      <c r="AC88" s="459"/>
      <c r="AD88" s="459">
        <f t="shared" si="4"/>
        <v>0.5</v>
      </c>
      <c r="AE88" s="456" t="s">
        <v>117</v>
      </c>
      <c r="AF88" s="456" t="s">
        <v>2567</v>
      </c>
      <c r="AG88" s="456" t="s">
        <v>57</v>
      </c>
      <c r="AH88" s="454" t="s">
        <v>2597</v>
      </c>
      <c r="AI88" s="454" t="s">
        <v>2598</v>
      </c>
      <c r="AJ88" s="467">
        <v>122250</v>
      </c>
      <c r="AK88" s="464" t="s">
        <v>305</v>
      </c>
    </row>
    <row r="89" spans="1:37" s="308" customFormat="1" ht="14.25" customHeight="1" thickBot="1" x14ac:dyDescent="0.4">
      <c r="A89" s="451">
        <v>77</v>
      </c>
      <c r="B89" s="487" t="s">
        <v>83</v>
      </c>
      <c r="C89" s="454" t="s">
        <v>83</v>
      </c>
      <c r="D89" s="473" t="s">
        <v>2740</v>
      </c>
      <c r="E89" s="474" t="s">
        <v>2801</v>
      </c>
      <c r="F89" s="474" t="s">
        <v>1843</v>
      </c>
      <c r="G89" s="607"/>
      <c r="H89" s="754">
        <v>42981</v>
      </c>
      <c r="I89" s="470">
        <v>1330</v>
      </c>
      <c r="J89" s="470">
        <v>3092017</v>
      </c>
      <c r="K89" s="476">
        <v>1345</v>
      </c>
      <c r="L89" s="470">
        <v>3092017</v>
      </c>
      <c r="M89" s="470">
        <v>1830</v>
      </c>
      <c r="N89" s="606" t="s">
        <v>1352</v>
      </c>
      <c r="O89" s="457"/>
      <c r="P89" s="486">
        <v>0.5</v>
      </c>
      <c r="Q89" s="486"/>
      <c r="R89" s="457"/>
      <c r="S89" s="458"/>
      <c r="T89" s="457"/>
      <c r="U89" s="457"/>
      <c r="V89" s="457"/>
      <c r="W89" s="457"/>
      <c r="X89" s="606"/>
      <c r="Y89" s="459">
        <f t="shared" si="3"/>
        <v>0</v>
      </c>
      <c r="Z89" s="459">
        <f t="shared" si="3"/>
        <v>0.5</v>
      </c>
      <c r="AA89" s="459">
        <f t="shared" si="3"/>
        <v>0</v>
      </c>
      <c r="AB89" s="459"/>
      <c r="AC89" s="459"/>
      <c r="AD89" s="459">
        <f t="shared" si="4"/>
        <v>0.5</v>
      </c>
      <c r="AE89" s="456" t="s">
        <v>117</v>
      </c>
      <c r="AF89" s="456" t="s">
        <v>2567</v>
      </c>
      <c r="AG89" s="456" t="s">
        <v>57</v>
      </c>
      <c r="AH89" s="454" t="s">
        <v>2802</v>
      </c>
      <c r="AI89" s="454" t="s">
        <v>2720</v>
      </c>
      <c r="AJ89" s="467">
        <v>122250</v>
      </c>
      <c r="AK89" s="464" t="s">
        <v>305</v>
      </c>
    </row>
    <row r="90" spans="1:37" s="308" customFormat="1" ht="14.25" customHeight="1" thickBot="1" x14ac:dyDescent="0.4">
      <c r="A90" s="451">
        <v>78</v>
      </c>
      <c r="B90" s="487" t="s">
        <v>145</v>
      </c>
      <c r="C90" s="454" t="s">
        <v>1475</v>
      </c>
      <c r="D90" s="473" t="s">
        <v>2594</v>
      </c>
      <c r="E90" s="474" t="s">
        <v>2763</v>
      </c>
      <c r="F90" s="474" t="s">
        <v>2764</v>
      </c>
      <c r="G90" s="607"/>
      <c r="H90" s="754">
        <v>42981</v>
      </c>
      <c r="I90" s="470">
        <v>2240</v>
      </c>
      <c r="J90" s="470">
        <v>3092017</v>
      </c>
      <c r="K90" s="476">
        <v>2250</v>
      </c>
      <c r="L90" s="470">
        <v>4092017</v>
      </c>
      <c r="M90" s="479">
        <v>230</v>
      </c>
      <c r="N90" s="606" t="s">
        <v>1339</v>
      </c>
      <c r="O90" s="457"/>
      <c r="P90" s="486"/>
      <c r="Q90" s="486">
        <v>0.02</v>
      </c>
      <c r="R90" s="457"/>
      <c r="S90" s="458"/>
      <c r="T90" s="457"/>
      <c r="U90" s="457"/>
      <c r="V90" s="457"/>
      <c r="W90" s="457"/>
      <c r="X90" s="606"/>
      <c r="Y90" s="459">
        <f t="shared" si="3"/>
        <v>0</v>
      </c>
      <c r="Z90" s="459">
        <f t="shared" si="3"/>
        <v>0</v>
      </c>
      <c r="AA90" s="459">
        <f t="shared" si="3"/>
        <v>0.02</v>
      </c>
      <c r="AB90" s="459"/>
      <c r="AC90" s="459"/>
      <c r="AD90" s="459">
        <f t="shared" si="4"/>
        <v>0.02</v>
      </c>
      <c r="AE90" s="456" t="s">
        <v>117</v>
      </c>
      <c r="AF90" s="456" t="s">
        <v>2567</v>
      </c>
      <c r="AG90" s="456" t="s">
        <v>72</v>
      </c>
      <c r="AH90" s="454" t="s">
        <v>2803</v>
      </c>
      <c r="AI90" s="454" t="s">
        <v>2598</v>
      </c>
      <c r="AJ90" s="467">
        <v>2884</v>
      </c>
      <c r="AK90" s="464" t="s">
        <v>305</v>
      </c>
    </row>
    <row r="91" spans="1:37" s="308" customFormat="1" ht="14.25" customHeight="1" thickBot="1" x14ac:dyDescent="0.35">
      <c r="A91" s="451">
        <v>79</v>
      </c>
      <c r="B91" s="487" t="s">
        <v>78</v>
      </c>
      <c r="C91" s="454" t="s">
        <v>79</v>
      </c>
      <c r="D91" s="454" t="s">
        <v>2564</v>
      </c>
      <c r="E91" s="489" t="s">
        <v>2804</v>
      </c>
      <c r="F91" s="489" t="s">
        <v>2805</v>
      </c>
      <c r="G91" s="607"/>
      <c r="H91" s="754">
        <v>42982</v>
      </c>
      <c r="I91" s="470">
        <v>2200</v>
      </c>
      <c r="J91" s="470">
        <v>4092017</v>
      </c>
      <c r="K91" s="476">
        <v>2220</v>
      </c>
      <c r="L91" s="470">
        <v>4092017</v>
      </c>
      <c r="M91" s="470">
        <v>2330</v>
      </c>
      <c r="N91" s="606" t="s">
        <v>1352</v>
      </c>
      <c r="O91" s="457"/>
      <c r="P91" s="457">
        <v>0.5</v>
      </c>
      <c r="Q91" s="457"/>
      <c r="R91" s="457"/>
      <c r="S91" s="458"/>
      <c r="T91" s="457"/>
      <c r="U91" s="457"/>
      <c r="V91" s="457"/>
      <c r="W91" s="457"/>
      <c r="X91" s="606"/>
      <c r="Y91" s="459">
        <f t="shared" si="3"/>
        <v>0</v>
      </c>
      <c r="Z91" s="459">
        <f t="shared" si="3"/>
        <v>0.5</v>
      </c>
      <c r="AA91" s="459">
        <f t="shared" si="3"/>
        <v>0</v>
      </c>
      <c r="AB91" s="459"/>
      <c r="AC91" s="459"/>
      <c r="AD91" s="459">
        <f t="shared" si="4"/>
        <v>0.5</v>
      </c>
      <c r="AE91" s="460" t="s">
        <v>2571</v>
      </c>
      <c r="AF91" s="456" t="s">
        <v>2567</v>
      </c>
      <c r="AG91" s="456" t="s">
        <v>72</v>
      </c>
      <c r="AH91" s="454" t="s">
        <v>2610</v>
      </c>
      <c r="AI91" s="454" t="s">
        <v>2806</v>
      </c>
      <c r="AJ91" s="467">
        <v>200000</v>
      </c>
      <c r="AK91" s="464" t="s">
        <v>305</v>
      </c>
    </row>
    <row r="92" spans="1:37" s="308" customFormat="1" ht="14.25" customHeight="1" thickBot="1" x14ac:dyDescent="0.4">
      <c r="A92" s="451">
        <v>80</v>
      </c>
      <c r="B92" s="487" t="s">
        <v>208</v>
      </c>
      <c r="C92" s="454" t="s">
        <v>2005</v>
      </c>
      <c r="D92" s="474" t="s">
        <v>2640</v>
      </c>
      <c r="E92" s="474" t="s">
        <v>2807</v>
      </c>
      <c r="F92" s="474" t="s">
        <v>2808</v>
      </c>
      <c r="G92" s="607"/>
      <c r="H92" s="754">
        <v>42983</v>
      </c>
      <c r="I92" s="470">
        <v>1345</v>
      </c>
      <c r="J92" s="470">
        <v>5092017</v>
      </c>
      <c r="K92" s="476">
        <v>1405</v>
      </c>
      <c r="L92" s="470">
        <v>5092017</v>
      </c>
      <c r="M92" s="470">
        <v>1940</v>
      </c>
      <c r="N92" s="606" t="s">
        <v>1517</v>
      </c>
      <c r="O92" s="457"/>
      <c r="P92" s="457">
        <v>0.5</v>
      </c>
      <c r="Q92" s="486"/>
      <c r="R92" s="486"/>
      <c r="S92" s="488"/>
      <c r="T92" s="486"/>
      <c r="U92" s="486"/>
      <c r="V92" s="457"/>
      <c r="W92" s="457"/>
      <c r="X92" s="606"/>
      <c r="Y92" s="459">
        <f t="shared" si="3"/>
        <v>0</v>
      </c>
      <c r="Z92" s="459">
        <f t="shared" si="3"/>
        <v>0.5</v>
      </c>
      <c r="AA92" s="459">
        <f t="shared" si="3"/>
        <v>0</v>
      </c>
      <c r="AB92" s="459"/>
      <c r="AC92" s="459"/>
      <c r="AD92" s="459">
        <f t="shared" si="4"/>
        <v>0.5</v>
      </c>
      <c r="AE92" s="456" t="s">
        <v>2581</v>
      </c>
      <c r="AF92" s="456" t="s">
        <v>2567</v>
      </c>
      <c r="AG92" s="456" t="s">
        <v>72</v>
      </c>
      <c r="AH92" s="454" t="s">
        <v>2809</v>
      </c>
      <c r="AI92" s="454" t="s">
        <v>304</v>
      </c>
      <c r="AJ92" s="467">
        <v>16000</v>
      </c>
      <c r="AK92" s="464" t="s">
        <v>305</v>
      </c>
    </row>
    <row r="93" spans="1:37" s="308" customFormat="1" ht="14.25" customHeight="1" thickBot="1" x14ac:dyDescent="0.4">
      <c r="A93" s="451">
        <v>81</v>
      </c>
      <c r="B93" s="487" t="s">
        <v>49</v>
      </c>
      <c r="C93" s="454" t="s">
        <v>278</v>
      </c>
      <c r="D93" s="468" t="s">
        <v>2574</v>
      </c>
      <c r="E93" s="474" t="s">
        <v>2810</v>
      </c>
      <c r="F93" s="474" t="s">
        <v>2811</v>
      </c>
      <c r="G93" s="607"/>
      <c r="H93" s="754">
        <v>42983</v>
      </c>
      <c r="I93" s="470">
        <v>1530</v>
      </c>
      <c r="J93" s="470">
        <v>5092017</v>
      </c>
      <c r="K93" s="476">
        <v>1600</v>
      </c>
      <c r="L93" s="470">
        <v>5092017</v>
      </c>
      <c r="M93" s="470">
        <v>1730</v>
      </c>
      <c r="N93" s="606" t="s">
        <v>1352</v>
      </c>
      <c r="O93" s="457"/>
      <c r="P93" s="457"/>
      <c r="Q93" s="486"/>
      <c r="R93" s="486"/>
      <c r="S93" s="488"/>
      <c r="T93" s="486"/>
      <c r="U93" s="486">
        <v>0.5</v>
      </c>
      <c r="V93" s="457"/>
      <c r="W93" s="457"/>
      <c r="X93" s="606"/>
      <c r="Y93" s="459">
        <f t="shared" si="3"/>
        <v>0</v>
      </c>
      <c r="Z93" s="459">
        <f t="shared" si="3"/>
        <v>0.5</v>
      </c>
      <c r="AA93" s="459">
        <f t="shared" si="3"/>
        <v>0</v>
      </c>
      <c r="AB93" s="459"/>
      <c r="AC93" s="459"/>
      <c r="AD93" s="459">
        <f t="shared" si="4"/>
        <v>0.5</v>
      </c>
      <c r="AE93" s="456" t="s">
        <v>2581</v>
      </c>
      <c r="AF93" s="456" t="s">
        <v>2567</v>
      </c>
      <c r="AG93" s="456" t="s">
        <v>72</v>
      </c>
      <c r="AH93" s="454" t="s">
        <v>2610</v>
      </c>
      <c r="AI93" s="454" t="s">
        <v>2587</v>
      </c>
      <c r="AJ93" s="467">
        <v>120000</v>
      </c>
      <c r="AK93" s="464" t="s">
        <v>305</v>
      </c>
    </row>
    <row r="94" spans="1:37" s="308" customFormat="1" ht="14.25" customHeight="1" thickBot="1" x14ac:dyDescent="0.4">
      <c r="A94" s="451">
        <v>82</v>
      </c>
      <c r="B94" s="487" t="s">
        <v>208</v>
      </c>
      <c r="C94" s="454" t="s">
        <v>208</v>
      </c>
      <c r="D94" s="474" t="s">
        <v>2640</v>
      </c>
      <c r="E94" s="474" t="s">
        <v>2812</v>
      </c>
      <c r="F94" s="474" t="s">
        <v>2813</v>
      </c>
      <c r="G94" s="607"/>
      <c r="H94" s="754">
        <v>42984</v>
      </c>
      <c r="I94" s="470">
        <v>1730</v>
      </c>
      <c r="J94" s="470">
        <v>6092017</v>
      </c>
      <c r="K94" s="476">
        <v>1800</v>
      </c>
      <c r="L94" s="470">
        <v>6092017</v>
      </c>
      <c r="M94" s="470">
        <v>2000</v>
      </c>
      <c r="N94" s="606" t="s">
        <v>1517</v>
      </c>
      <c r="O94" s="457"/>
      <c r="P94" s="457">
        <v>0.5</v>
      </c>
      <c r="Q94" s="457"/>
      <c r="R94" s="457"/>
      <c r="S94" s="458"/>
      <c r="T94" s="457"/>
      <c r="U94" s="457"/>
      <c r="V94" s="457"/>
      <c r="W94" s="457"/>
      <c r="X94" s="606"/>
      <c r="Y94" s="459">
        <f t="shared" si="3"/>
        <v>0</v>
      </c>
      <c r="Z94" s="459">
        <f t="shared" si="3"/>
        <v>0.5</v>
      </c>
      <c r="AA94" s="459">
        <f t="shared" si="3"/>
        <v>0</v>
      </c>
      <c r="AB94" s="459"/>
      <c r="AC94" s="459"/>
      <c r="AD94" s="459">
        <f t="shared" si="4"/>
        <v>0.5</v>
      </c>
      <c r="AE94" s="456" t="s">
        <v>2581</v>
      </c>
      <c r="AF94" s="456" t="s">
        <v>2567</v>
      </c>
      <c r="AG94" s="456" t="s">
        <v>72</v>
      </c>
      <c r="AH94" s="454" t="s">
        <v>2814</v>
      </c>
      <c r="AI94" s="454" t="s">
        <v>304</v>
      </c>
      <c r="AJ94" s="467">
        <v>16000</v>
      </c>
      <c r="AK94" s="464" t="s">
        <v>305</v>
      </c>
    </row>
    <row r="95" spans="1:37" s="308" customFormat="1" ht="14.25" customHeight="1" thickBot="1" x14ac:dyDescent="0.4">
      <c r="A95" s="451">
        <v>83</v>
      </c>
      <c r="B95" s="487" t="s">
        <v>198</v>
      </c>
      <c r="C95" s="454" t="s">
        <v>1356</v>
      </c>
      <c r="D95" s="468" t="s">
        <v>2574</v>
      </c>
      <c r="E95" s="474" t="s">
        <v>2815</v>
      </c>
      <c r="F95" s="474" t="s">
        <v>2816</v>
      </c>
      <c r="G95" s="607"/>
      <c r="H95" s="754">
        <v>42986</v>
      </c>
      <c r="I95" s="470">
        <v>1520</v>
      </c>
      <c r="J95" s="470">
        <v>8092017</v>
      </c>
      <c r="K95" s="476">
        <v>1540</v>
      </c>
      <c r="L95" s="470">
        <v>8092017</v>
      </c>
      <c r="M95" s="470">
        <v>2320</v>
      </c>
      <c r="N95" s="606" t="s">
        <v>62</v>
      </c>
      <c r="O95" s="457"/>
      <c r="P95" s="457"/>
      <c r="Q95" s="486"/>
      <c r="R95" s="486"/>
      <c r="S95" s="488"/>
      <c r="T95" s="486">
        <v>1</v>
      </c>
      <c r="U95" s="457"/>
      <c r="V95" s="457"/>
      <c r="W95" s="457"/>
      <c r="X95" s="606"/>
      <c r="Y95" s="459">
        <f t="shared" si="3"/>
        <v>1</v>
      </c>
      <c r="Z95" s="459">
        <f t="shared" si="3"/>
        <v>0</v>
      </c>
      <c r="AA95" s="459">
        <f t="shared" si="3"/>
        <v>0</v>
      </c>
      <c r="AB95" s="459"/>
      <c r="AC95" s="459"/>
      <c r="AD95" s="459">
        <f t="shared" si="4"/>
        <v>1</v>
      </c>
      <c r="AE95" s="456" t="s">
        <v>2571</v>
      </c>
      <c r="AF95" s="456" t="s">
        <v>2567</v>
      </c>
      <c r="AG95" s="456" t="s">
        <v>72</v>
      </c>
      <c r="AH95" s="454" t="s">
        <v>2788</v>
      </c>
      <c r="AI95" s="454" t="s">
        <v>348</v>
      </c>
      <c r="AJ95" s="467">
        <v>66000</v>
      </c>
      <c r="AK95" s="464" t="s">
        <v>305</v>
      </c>
    </row>
    <row r="96" spans="1:37" s="308" customFormat="1" ht="14.25" customHeight="1" thickBot="1" x14ac:dyDescent="0.4">
      <c r="A96" s="451">
        <v>84</v>
      </c>
      <c r="B96" s="487" t="s">
        <v>78</v>
      </c>
      <c r="C96" s="454" t="s">
        <v>107</v>
      </c>
      <c r="D96" s="454" t="s">
        <v>2564</v>
      </c>
      <c r="E96" s="474" t="s">
        <v>2817</v>
      </c>
      <c r="F96" s="474" t="s">
        <v>2818</v>
      </c>
      <c r="G96" s="607"/>
      <c r="H96" s="754">
        <v>42987</v>
      </c>
      <c r="I96" s="470">
        <v>1400</v>
      </c>
      <c r="J96" s="470">
        <v>9092017</v>
      </c>
      <c r="K96" s="476">
        <v>1420</v>
      </c>
      <c r="L96" s="470">
        <v>9092017</v>
      </c>
      <c r="M96" s="470">
        <v>2000</v>
      </c>
      <c r="N96" s="606" t="s">
        <v>1352</v>
      </c>
      <c r="O96" s="457">
        <v>0.5</v>
      </c>
      <c r="P96" s="457">
        <v>2.5</v>
      </c>
      <c r="Q96" s="486"/>
      <c r="R96" s="486"/>
      <c r="S96" s="488"/>
      <c r="T96" s="486"/>
      <c r="U96" s="457"/>
      <c r="V96" s="457"/>
      <c r="W96" s="457"/>
      <c r="X96" s="606"/>
      <c r="Y96" s="459">
        <f t="shared" si="3"/>
        <v>0.5</v>
      </c>
      <c r="Z96" s="459">
        <f t="shared" si="3"/>
        <v>2.5</v>
      </c>
      <c r="AA96" s="459">
        <f t="shared" si="3"/>
        <v>0</v>
      </c>
      <c r="AB96" s="459"/>
      <c r="AC96" s="459"/>
      <c r="AD96" s="459">
        <f t="shared" si="4"/>
        <v>3</v>
      </c>
      <c r="AE96" s="456" t="s">
        <v>2581</v>
      </c>
      <c r="AF96" s="456" t="s">
        <v>2567</v>
      </c>
      <c r="AG96" s="456" t="s">
        <v>72</v>
      </c>
      <c r="AH96" s="454" t="s">
        <v>2610</v>
      </c>
      <c r="AI96" s="454" t="s">
        <v>2819</v>
      </c>
      <c r="AJ96" s="467">
        <v>330000</v>
      </c>
      <c r="AK96" s="464" t="s">
        <v>305</v>
      </c>
    </row>
    <row r="97" spans="1:37" s="308" customFormat="1" ht="14.25" customHeight="1" thickBot="1" x14ac:dyDescent="0.4">
      <c r="A97" s="451">
        <v>85</v>
      </c>
      <c r="B97" s="487" t="s">
        <v>78</v>
      </c>
      <c r="C97" s="454" t="s">
        <v>107</v>
      </c>
      <c r="D97" s="454" t="s">
        <v>2820</v>
      </c>
      <c r="E97" s="474" t="s">
        <v>2821</v>
      </c>
      <c r="F97" s="474" t="s">
        <v>2822</v>
      </c>
      <c r="G97" s="607"/>
      <c r="H97" s="754">
        <v>42993</v>
      </c>
      <c r="I97" s="470">
        <v>1245</v>
      </c>
      <c r="J97" s="470">
        <v>15092017</v>
      </c>
      <c r="K97" s="476">
        <v>1315</v>
      </c>
      <c r="L97" s="470">
        <v>15092017</v>
      </c>
      <c r="M97" s="470">
        <v>1630</v>
      </c>
      <c r="N97" s="606" t="s">
        <v>1352</v>
      </c>
      <c r="O97" s="457"/>
      <c r="P97" s="457">
        <v>0.5</v>
      </c>
      <c r="Q97" s="486"/>
      <c r="R97" s="486"/>
      <c r="S97" s="488"/>
      <c r="T97" s="486"/>
      <c r="U97" s="457">
        <v>0.5</v>
      </c>
      <c r="V97" s="457"/>
      <c r="W97" s="457"/>
      <c r="X97" s="606"/>
      <c r="Y97" s="459">
        <f t="shared" ref="Y97:AA105" si="5">O97+T97</f>
        <v>0</v>
      </c>
      <c r="Z97" s="459">
        <f t="shared" si="5"/>
        <v>1</v>
      </c>
      <c r="AA97" s="459">
        <f t="shared" si="5"/>
        <v>0</v>
      </c>
      <c r="AB97" s="459"/>
      <c r="AC97" s="459"/>
      <c r="AD97" s="459">
        <f t="shared" si="4"/>
        <v>1</v>
      </c>
      <c r="AE97" s="456" t="s">
        <v>2581</v>
      </c>
      <c r="AF97" s="456" t="s">
        <v>2567</v>
      </c>
      <c r="AG97" s="456" t="s">
        <v>72</v>
      </c>
      <c r="AH97" s="454" t="s">
        <v>2610</v>
      </c>
      <c r="AI97" s="454" t="s">
        <v>2819</v>
      </c>
      <c r="AJ97" s="467">
        <v>800000</v>
      </c>
      <c r="AK97" s="464" t="s">
        <v>305</v>
      </c>
    </row>
    <row r="98" spans="1:37" s="308" customFormat="1" ht="14.25" customHeight="1" thickBot="1" x14ac:dyDescent="0.4">
      <c r="A98" s="451">
        <v>86</v>
      </c>
      <c r="B98" s="487" t="s">
        <v>49</v>
      </c>
      <c r="C98" s="454" t="s">
        <v>278</v>
      </c>
      <c r="D98" s="468" t="s">
        <v>2574</v>
      </c>
      <c r="E98" s="474" t="s">
        <v>2823</v>
      </c>
      <c r="F98" s="474" t="s">
        <v>2824</v>
      </c>
      <c r="G98" s="607"/>
      <c r="H98" s="754">
        <v>42993</v>
      </c>
      <c r="I98" s="470">
        <v>1300</v>
      </c>
      <c r="J98" s="470">
        <v>15092017</v>
      </c>
      <c r="K98" s="476">
        <v>1320</v>
      </c>
      <c r="L98" s="470">
        <v>15092017</v>
      </c>
      <c r="M98" s="470">
        <v>1600</v>
      </c>
      <c r="N98" s="606" t="s">
        <v>1352</v>
      </c>
      <c r="O98" s="457"/>
      <c r="P98" s="457"/>
      <c r="Q98" s="486"/>
      <c r="R98" s="486"/>
      <c r="S98" s="488"/>
      <c r="T98" s="486"/>
      <c r="U98" s="486">
        <v>0.2</v>
      </c>
      <c r="V98" s="457"/>
      <c r="W98" s="457"/>
      <c r="X98" s="606"/>
      <c r="Y98" s="459">
        <f t="shared" si="5"/>
        <v>0</v>
      </c>
      <c r="Z98" s="459">
        <f t="shared" si="5"/>
        <v>0.2</v>
      </c>
      <c r="AA98" s="459">
        <f t="shared" si="5"/>
        <v>0</v>
      </c>
      <c r="AB98" s="459"/>
      <c r="AC98" s="459"/>
      <c r="AD98" s="459">
        <f t="shared" si="4"/>
        <v>0.2</v>
      </c>
      <c r="AE98" s="456" t="s">
        <v>117</v>
      </c>
      <c r="AF98" s="456" t="s">
        <v>2567</v>
      </c>
      <c r="AG98" s="456" t="s">
        <v>72</v>
      </c>
      <c r="AH98" s="454" t="s">
        <v>2610</v>
      </c>
      <c r="AI98" s="454" t="s">
        <v>304</v>
      </c>
      <c r="AJ98" s="467">
        <v>180000</v>
      </c>
      <c r="AK98" s="464" t="s">
        <v>305</v>
      </c>
    </row>
    <row r="99" spans="1:37" s="308" customFormat="1" ht="14.25" customHeight="1" thickBot="1" x14ac:dyDescent="0.4">
      <c r="A99" s="451">
        <v>87</v>
      </c>
      <c r="B99" s="487" t="s">
        <v>78</v>
      </c>
      <c r="C99" s="454" t="s">
        <v>107</v>
      </c>
      <c r="D99" s="454" t="s">
        <v>2564</v>
      </c>
      <c r="E99" s="474" t="s">
        <v>2825</v>
      </c>
      <c r="F99" s="474" t="s">
        <v>2826</v>
      </c>
      <c r="G99" s="607"/>
      <c r="H99" s="754">
        <v>42996</v>
      </c>
      <c r="I99" s="470">
        <v>1940</v>
      </c>
      <c r="J99" s="470">
        <v>18092017</v>
      </c>
      <c r="K99" s="476">
        <v>2010</v>
      </c>
      <c r="L99" s="470">
        <v>18092017</v>
      </c>
      <c r="M99" s="470">
        <v>2200</v>
      </c>
      <c r="N99" s="606" t="s">
        <v>1352</v>
      </c>
      <c r="O99" s="457"/>
      <c r="P99" s="457">
        <v>0.5</v>
      </c>
      <c r="Q99" s="486"/>
      <c r="R99" s="486"/>
      <c r="S99" s="488"/>
      <c r="T99" s="486"/>
      <c r="U99" s="457"/>
      <c r="V99" s="457"/>
      <c r="W99" s="457"/>
      <c r="X99" s="606"/>
      <c r="Y99" s="459">
        <f t="shared" si="5"/>
        <v>0</v>
      </c>
      <c r="Z99" s="459">
        <f t="shared" si="5"/>
        <v>0.5</v>
      </c>
      <c r="AA99" s="459">
        <f t="shared" si="5"/>
        <v>0</v>
      </c>
      <c r="AB99" s="459"/>
      <c r="AC99" s="459"/>
      <c r="AD99" s="459">
        <f t="shared" si="4"/>
        <v>0.5</v>
      </c>
      <c r="AE99" s="456" t="s">
        <v>2581</v>
      </c>
      <c r="AF99" s="456" t="s">
        <v>2567</v>
      </c>
      <c r="AG99" s="456" t="s">
        <v>72</v>
      </c>
      <c r="AH99" s="454" t="s">
        <v>2610</v>
      </c>
      <c r="AI99" s="454" t="s">
        <v>304</v>
      </c>
      <c r="AJ99" s="467">
        <v>20000</v>
      </c>
      <c r="AK99" s="464" t="s">
        <v>305</v>
      </c>
    </row>
    <row r="100" spans="1:37" s="308" customFormat="1" ht="14.25" customHeight="1" thickBot="1" x14ac:dyDescent="0.4">
      <c r="A100" s="451">
        <v>88</v>
      </c>
      <c r="B100" s="487" t="s">
        <v>208</v>
      </c>
      <c r="C100" s="454" t="s">
        <v>2005</v>
      </c>
      <c r="D100" s="454" t="s">
        <v>2640</v>
      </c>
      <c r="E100" s="474" t="s">
        <v>2827</v>
      </c>
      <c r="F100" s="474" t="s">
        <v>2828</v>
      </c>
      <c r="G100" s="607"/>
      <c r="H100" s="754">
        <v>43007</v>
      </c>
      <c r="I100" s="470">
        <v>1730</v>
      </c>
      <c r="J100" s="470">
        <v>29092017</v>
      </c>
      <c r="K100" s="476">
        <v>1745</v>
      </c>
      <c r="L100" s="470">
        <v>29092017</v>
      </c>
      <c r="M100" s="470">
        <v>1815</v>
      </c>
      <c r="N100" s="606" t="s">
        <v>2829</v>
      </c>
      <c r="O100" s="457"/>
      <c r="P100" s="457">
        <v>0.25</v>
      </c>
      <c r="Q100" s="486"/>
      <c r="R100" s="486"/>
      <c r="S100" s="488"/>
      <c r="T100" s="486"/>
      <c r="U100" s="457"/>
      <c r="V100" s="457"/>
      <c r="W100" s="457"/>
      <c r="X100" s="606"/>
      <c r="Y100" s="459">
        <f t="shared" si="5"/>
        <v>0</v>
      </c>
      <c r="Z100" s="459">
        <f t="shared" si="5"/>
        <v>0.25</v>
      </c>
      <c r="AA100" s="459">
        <f t="shared" si="5"/>
        <v>0</v>
      </c>
      <c r="AB100" s="459"/>
      <c r="AC100" s="459"/>
      <c r="AD100" s="459">
        <f t="shared" si="4"/>
        <v>0.25</v>
      </c>
      <c r="AE100" s="456" t="s">
        <v>2581</v>
      </c>
      <c r="AF100" s="456" t="s">
        <v>2567</v>
      </c>
      <c r="AG100" s="456" t="s">
        <v>57</v>
      </c>
      <c r="AH100" s="454" t="s">
        <v>2830</v>
      </c>
      <c r="AI100" s="454" t="s">
        <v>304</v>
      </c>
      <c r="AJ100" s="467">
        <v>8000</v>
      </c>
      <c r="AK100" s="464" t="s">
        <v>305</v>
      </c>
    </row>
    <row r="101" spans="1:37" s="308" customFormat="1" ht="14.25" customHeight="1" thickBot="1" x14ac:dyDescent="0.4">
      <c r="A101" s="451">
        <v>89</v>
      </c>
      <c r="B101" s="480" t="s">
        <v>198</v>
      </c>
      <c r="C101" s="474" t="s">
        <v>1523</v>
      </c>
      <c r="D101" s="474" t="s">
        <v>2574</v>
      </c>
      <c r="E101" s="474" t="s">
        <v>2831</v>
      </c>
      <c r="F101" s="474" t="s">
        <v>2832</v>
      </c>
      <c r="G101" s="607"/>
      <c r="H101" s="754">
        <v>43019</v>
      </c>
      <c r="I101" s="470">
        <v>1530</v>
      </c>
      <c r="J101" s="470">
        <v>11102017</v>
      </c>
      <c r="K101" s="482">
        <v>1610</v>
      </c>
      <c r="L101" s="470">
        <v>11102017</v>
      </c>
      <c r="M101" s="476">
        <v>1810</v>
      </c>
      <c r="N101" s="606" t="s">
        <v>62</v>
      </c>
      <c r="O101" s="457"/>
      <c r="P101" s="457"/>
      <c r="Q101" s="486"/>
      <c r="R101" s="486"/>
      <c r="S101" s="488"/>
      <c r="T101" s="486">
        <v>1.5</v>
      </c>
      <c r="U101" s="457"/>
      <c r="V101" s="457"/>
      <c r="W101" s="457"/>
      <c r="X101" s="606"/>
      <c r="Y101" s="459">
        <f t="shared" si="5"/>
        <v>1.5</v>
      </c>
      <c r="Z101" s="459">
        <f t="shared" si="5"/>
        <v>0</v>
      </c>
      <c r="AA101" s="459">
        <f t="shared" si="5"/>
        <v>0</v>
      </c>
      <c r="AB101" s="459"/>
      <c r="AC101" s="459"/>
      <c r="AD101" s="459">
        <f t="shared" si="4"/>
        <v>1.5</v>
      </c>
      <c r="AE101" s="456" t="s">
        <v>2581</v>
      </c>
      <c r="AF101" s="456" t="s">
        <v>2567</v>
      </c>
      <c r="AG101" s="456" t="s">
        <v>72</v>
      </c>
      <c r="AH101" s="454" t="s">
        <v>2833</v>
      </c>
      <c r="AI101" s="454" t="s">
        <v>991</v>
      </c>
      <c r="AJ101" s="467">
        <v>164000</v>
      </c>
      <c r="AK101" s="464" t="s">
        <v>305</v>
      </c>
    </row>
    <row r="102" spans="1:37" s="308" customFormat="1" ht="14.25" customHeight="1" thickBot="1" x14ac:dyDescent="0.4">
      <c r="A102" s="451">
        <v>90</v>
      </c>
      <c r="B102" s="478" t="s">
        <v>145</v>
      </c>
      <c r="C102" s="473" t="s">
        <v>145</v>
      </c>
      <c r="D102" s="473" t="s">
        <v>2594</v>
      </c>
      <c r="E102" s="474"/>
      <c r="F102" s="474"/>
      <c r="G102" s="607"/>
      <c r="H102" s="754">
        <v>43019</v>
      </c>
      <c r="I102" s="470">
        <v>1930</v>
      </c>
      <c r="J102" s="470">
        <v>11102017</v>
      </c>
      <c r="K102" s="470"/>
      <c r="L102" s="470">
        <v>11102017</v>
      </c>
      <c r="M102" s="470">
        <v>2030</v>
      </c>
      <c r="N102" s="606" t="s">
        <v>1495</v>
      </c>
      <c r="O102" s="457">
        <v>0.1</v>
      </c>
      <c r="P102" s="457"/>
      <c r="Q102" s="486"/>
      <c r="R102" s="486"/>
      <c r="S102" s="488"/>
      <c r="T102" s="486"/>
      <c r="U102" s="457"/>
      <c r="V102" s="457"/>
      <c r="W102" s="457"/>
      <c r="X102" s="606"/>
      <c r="Y102" s="459">
        <f t="shared" si="5"/>
        <v>0.1</v>
      </c>
      <c r="Z102" s="459">
        <f t="shared" si="5"/>
        <v>0</v>
      </c>
      <c r="AA102" s="459">
        <f t="shared" si="5"/>
        <v>0</v>
      </c>
      <c r="AB102" s="459"/>
      <c r="AC102" s="459"/>
      <c r="AD102" s="459">
        <f t="shared" si="4"/>
        <v>0.1</v>
      </c>
      <c r="AE102" s="456" t="s">
        <v>117</v>
      </c>
      <c r="AF102" s="456" t="s">
        <v>2567</v>
      </c>
      <c r="AG102" s="456" t="s">
        <v>57</v>
      </c>
      <c r="AH102" s="454"/>
      <c r="AI102" s="454" t="s">
        <v>304</v>
      </c>
      <c r="AJ102" s="467"/>
      <c r="AK102" s="464" t="s">
        <v>305</v>
      </c>
    </row>
    <row r="103" spans="1:37" s="308" customFormat="1" ht="14.25" customHeight="1" thickBot="1" x14ac:dyDescent="0.4">
      <c r="A103" s="451">
        <v>91</v>
      </c>
      <c r="B103" s="478" t="s">
        <v>198</v>
      </c>
      <c r="C103" s="473" t="s">
        <v>1356</v>
      </c>
      <c r="D103" s="473" t="s">
        <v>2574</v>
      </c>
      <c r="E103" s="474" t="s">
        <v>2834</v>
      </c>
      <c r="F103" s="474" t="s">
        <v>2835</v>
      </c>
      <c r="G103" s="607"/>
      <c r="H103" s="754">
        <v>43021</v>
      </c>
      <c r="I103" s="470">
        <v>1150</v>
      </c>
      <c r="J103" s="470">
        <v>13102017</v>
      </c>
      <c r="K103" s="482">
        <v>1220</v>
      </c>
      <c r="L103" s="470">
        <v>13102017</v>
      </c>
      <c r="M103" s="470">
        <v>1610</v>
      </c>
      <c r="N103" s="606" t="s">
        <v>62</v>
      </c>
      <c r="O103" s="457"/>
      <c r="P103" s="457"/>
      <c r="Q103" s="486"/>
      <c r="R103" s="486"/>
      <c r="S103" s="488"/>
      <c r="T103" s="486">
        <v>0.5</v>
      </c>
      <c r="U103" s="457"/>
      <c r="V103" s="457"/>
      <c r="W103" s="457"/>
      <c r="X103" s="606"/>
      <c r="Y103" s="459">
        <f t="shared" si="5"/>
        <v>0.5</v>
      </c>
      <c r="Z103" s="459">
        <f t="shared" si="5"/>
        <v>0</v>
      </c>
      <c r="AA103" s="459">
        <f t="shared" si="5"/>
        <v>0</v>
      </c>
      <c r="AB103" s="459"/>
      <c r="AC103" s="459"/>
      <c r="AD103" s="459">
        <f t="shared" si="4"/>
        <v>0.5</v>
      </c>
      <c r="AE103" s="456" t="s">
        <v>2581</v>
      </c>
      <c r="AF103" s="456" t="s">
        <v>2567</v>
      </c>
      <c r="AG103" s="456" t="s">
        <v>72</v>
      </c>
      <c r="AH103" s="454" t="s">
        <v>2836</v>
      </c>
      <c r="AI103" s="454" t="s">
        <v>991</v>
      </c>
      <c r="AJ103" s="467">
        <v>58000</v>
      </c>
      <c r="AK103" s="464" t="s">
        <v>305</v>
      </c>
    </row>
    <row r="104" spans="1:37" s="308" customFormat="1" ht="14.25" customHeight="1" thickBot="1" x14ac:dyDescent="0.4">
      <c r="A104" s="451">
        <v>92</v>
      </c>
      <c r="B104" s="487" t="s">
        <v>208</v>
      </c>
      <c r="C104" s="454" t="s">
        <v>214</v>
      </c>
      <c r="D104" s="454" t="s">
        <v>2574</v>
      </c>
      <c r="E104" s="474" t="s">
        <v>2837</v>
      </c>
      <c r="F104" s="474" t="s">
        <v>2838</v>
      </c>
      <c r="G104" s="607"/>
      <c r="H104" s="754">
        <v>43025</v>
      </c>
      <c r="I104" s="470">
        <v>1445</v>
      </c>
      <c r="J104" s="470">
        <v>17102017</v>
      </c>
      <c r="K104" s="476">
        <v>1515</v>
      </c>
      <c r="L104" s="470">
        <v>17102017</v>
      </c>
      <c r="M104" s="470">
        <v>1605</v>
      </c>
      <c r="N104" s="606" t="s">
        <v>62</v>
      </c>
      <c r="O104" s="457"/>
      <c r="P104" s="457"/>
      <c r="Q104" s="486"/>
      <c r="R104" s="486"/>
      <c r="S104" s="488"/>
      <c r="T104" s="486">
        <v>0.02</v>
      </c>
      <c r="U104" s="457"/>
      <c r="V104" s="457"/>
      <c r="W104" s="457"/>
      <c r="X104" s="606"/>
      <c r="Y104" s="459">
        <f t="shared" si="5"/>
        <v>0.02</v>
      </c>
      <c r="Z104" s="459">
        <f t="shared" si="5"/>
        <v>0</v>
      </c>
      <c r="AA104" s="459">
        <f t="shared" si="5"/>
        <v>0</v>
      </c>
      <c r="AB104" s="459"/>
      <c r="AC104" s="459"/>
      <c r="AD104" s="459">
        <f t="shared" si="4"/>
        <v>0.02</v>
      </c>
      <c r="AE104" s="456" t="s">
        <v>2581</v>
      </c>
      <c r="AF104" s="456" t="s">
        <v>2567</v>
      </c>
      <c r="AG104" s="456" t="s">
        <v>72</v>
      </c>
      <c r="AH104" s="454" t="s">
        <v>2839</v>
      </c>
      <c r="AI104" s="454" t="s">
        <v>991</v>
      </c>
      <c r="AJ104" s="467">
        <v>1800</v>
      </c>
      <c r="AK104" s="464" t="s">
        <v>305</v>
      </c>
    </row>
    <row r="105" spans="1:37" s="308" customFormat="1" ht="14.25" customHeight="1" thickBot="1" x14ac:dyDescent="0.4">
      <c r="A105" s="451">
        <v>93</v>
      </c>
      <c r="B105" s="487" t="s">
        <v>286</v>
      </c>
      <c r="C105" s="454" t="s">
        <v>1397</v>
      </c>
      <c r="D105" s="454" t="s">
        <v>2840</v>
      </c>
      <c r="E105" s="474" t="s">
        <v>2841</v>
      </c>
      <c r="F105" s="474" t="s">
        <v>2842</v>
      </c>
      <c r="G105" s="607"/>
      <c r="H105" s="754">
        <v>43043</v>
      </c>
      <c r="I105" s="470">
        <v>1900</v>
      </c>
      <c r="J105" s="470">
        <v>4112017</v>
      </c>
      <c r="K105" s="476"/>
      <c r="L105" s="470">
        <v>4112017</v>
      </c>
      <c r="M105" s="470">
        <v>2100</v>
      </c>
      <c r="N105" s="606" t="s">
        <v>1339</v>
      </c>
      <c r="O105" s="457"/>
      <c r="P105" s="457"/>
      <c r="Q105" s="486">
        <v>0.03</v>
      </c>
      <c r="R105" s="486"/>
      <c r="S105" s="488"/>
      <c r="T105" s="486"/>
      <c r="U105" s="457"/>
      <c r="V105" s="457"/>
      <c r="W105" s="457"/>
      <c r="X105" s="606"/>
      <c r="Y105" s="459">
        <f t="shared" si="5"/>
        <v>0</v>
      </c>
      <c r="Z105" s="459">
        <f t="shared" si="5"/>
        <v>0</v>
      </c>
      <c r="AA105" s="459">
        <f t="shared" si="5"/>
        <v>0.03</v>
      </c>
      <c r="AB105" s="459"/>
      <c r="AC105" s="459"/>
      <c r="AD105" s="459">
        <f t="shared" si="4"/>
        <v>0.03</v>
      </c>
      <c r="AE105" s="456" t="s">
        <v>117</v>
      </c>
      <c r="AF105" s="456" t="s">
        <v>2567</v>
      </c>
      <c r="AG105" s="456" t="s">
        <v>57</v>
      </c>
      <c r="AH105" s="454"/>
      <c r="AI105" s="454" t="s">
        <v>2843</v>
      </c>
      <c r="AJ105" s="467"/>
      <c r="AK105" s="464" t="s">
        <v>305</v>
      </c>
    </row>
    <row r="106" spans="1:37" s="309" customFormat="1" ht="18" customHeight="1" thickBot="1" x14ac:dyDescent="0.4">
      <c r="A106" s="697" t="s">
        <v>289</v>
      </c>
      <c r="B106" s="698"/>
      <c r="C106" s="698"/>
      <c r="D106" s="698"/>
      <c r="E106" s="698"/>
      <c r="F106" s="698"/>
      <c r="G106" s="698"/>
      <c r="H106" s="698"/>
      <c r="I106" s="698"/>
      <c r="J106" s="698"/>
      <c r="K106" s="698"/>
      <c r="L106" s="698"/>
      <c r="M106" s="698"/>
      <c r="N106" s="699"/>
      <c r="O106" s="492">
        <f t="shared" ref="O106:AD106" si="6">SUM(O13:O105)</f>
        <v>28.200000000000003</v>
      </c>
      <c r="P106" s="492">
        <f t="shared" si="6"/>
        <v>40.840000000000003</v>
      </c>
      <c r="Q106" s="492">
        <f t="shared" si="6"/>
        <v>3.9649999999999994</v>
      </c>
      <c r="R106" s="492">
        <f t="shared" si="6"/>
        <v>0</v>
      </c>
      <c r="S106" s="493">
        <f t="shared" si="6"/>
        <v>0</v>
      </c>
      <c r="T106" s="492">
        <f t="shared" si="6"/>
        <v>40.870000000000005</v>
      </c>
      <c r="U106" s="492">
        <f t="shared" si="6"/>
        <v>5.85</v>
      </c>
      <c r="V106" s="492">
        <f t="shared" si="6"/>
        <v>8</v>
      </c>
      <c r="W106" s="492">
        <f t="shared" si="6"/>
        <v>0</v>
      </c>
      <c r="X106" s="492">
        <f t="shared" si="6"/>
        <v>0</v>
      </c>
      <c r="Y106" s="492">
        <f t="shared" si="6"/>
        <v>69.069999999999993</v>
      </c>
      <c r="Z106" s="492">
        <f t="shared" si="6"/>
        <v>46.690000000000005</v>
      </c>
      <c r="AA106" s="492">
        <f t="shared" si="6"/>
        <v>11.964999999999998</v>
      </c>
      <c r="AB106" s="492">
        <f t="shared" si="6"/>
        <v>0</v>
      </c>
      <c r="AC106" s="492">
        <f t="shared" si="6"/>
        <v>0</v>
      </c>
      <c r="AD106" s="492">
        <f t="shared" si="6"/>
        <v>127.72499999999998</v>
      </c>
      <c r="AE106" s="494"/>
      <c r="AF106" s="494"/>
      <c r="AG106" s="494"/>
      <c r="AH106" s="494"/>
      <c r="AI106" s="494"/>
      <c r="AJ106" s="495">
        <f>SUM(AJ13:AJ105)</f>
        <v>8588774.8200000003</v>
      </c>
      <c r="AK106" s="494"/>
    </row>
  </sheetData>
  <mergeCells count="25">
    <mergeCell ref="J11:J12"/>
    <mergeCell ref="A106:N106"/>
    <mergeCell ref="A1:AI1"/>
    <mergeCell ref="A4:AI4"/>
    <mergeCell ref="AF7:AI7"/>
    <mergeCell ref="AF8:AI8"/>
    <mergeCell ref="A10:A12"/>
    <mergeCell ref="B10:B12"/>
    <mergeCell ref="C10:C12"/>
    <mergeCell ref="E10:G10"/>
    <mergeCell ref="E11:E12"/>
    <mergeCell ref="F11:F12"/>
    <mergeCell ref="G11:G12"/>
    <mergeCell ref="H11:H12"/>
    <mergeCell ref="I11:I12"/>
    <mergeCell ref="Y11:AD11"/>
    <mergeCell ref="O10:AD10"/>
    <mergeCell ref="AE10:AE12"/>
    <mergeCell ref="AF10:AF12"/>
    <mergeCell ref="AG10:AG12"/>
    <mergeCell ref="K11:K12"/>
    <mergeCell ref="L11:L12"/>
    <mergeCell ref="M11:M12"/>
    <mergeCell ref="N11:N12"/>
    <mergeCell ref="T11:X1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topLeftCell="C7" workbookViewId="0">
      <selection activeCell="G12" sqref="G12:H21"/>
    </sheetView>
  </sheetViews>
  <sheetFormatPr baseColWidth="10" defaultColWidth="11.453125" defaultRowHeight="14.5" x14ac:dyDescent="0.35"/>
  <cols>
    <col min="2" max="2" width="14.26953125" customWidth="1"/>
    <col min="3" max="3" width="11" customWidth="1"/>
    <col min="4" max="4" width="33.54296875" customWidth="1"/>
    <col min="5" max="5" width="12.7265625" customWidth="1"/>
    <col min="31" max="31" width="14.1796875" customWidth="1"/>
    <col min="34" max="34" width="20.54296875" customWidth="1"/>
    <col min="35" max="35" width="17.1796875" customWidth="1"/>
    <col min="36" max="36" width="13.54296875" customWidth="1"/>
  </cols>
  <sheetData>
    <row r="1" spans="1:37" ht="15.5" x14ac:dyDescent="0.35">
      <c r="A1" s="671" t="s">
        <v>0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  <c r="AJ1" s="496"/>
      <c r="AK1" s="497"/>
    </row>
    <row r="2" spans="1:37" ht="15.5" x14ac:dyDescent="0.35">
      <c r="A2" s="259" t="s">
        <v>2844</v>
      </c>
      <c r="B2" s="259"/>
      <c r="C2" s="259"/>
      <c r="D2" s="597"/>
      <c r="E2" s="259"/>
      <c r="F2" s="259"/>
      <c r="G2" s="259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259"/>
      <c r="AI2" s="597"/>
      <c r="AJ2" s="498"/>
      <c r="AK2" s="499"/>
    </row>
    <row r="3" spans="1:37" ht="15.5" x14ac:dyDescent="0.35">
      <c r="A3" s="259" t="s">
        <v>290</v>
      </c>
      <c r="B3" s="259"/>
      <c r="C3" s="259"/>
      <c r="D3" s="597"/>
      <c r="E3" s="259"/>
      <c r="F3" s="259"/>
      <c r="G3" s="259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7"/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259"/>
      <c r="AI3" s="597"/>
      <c r="AJ3" s="498"/>
      <c r="AK3" s="499"/>
    </row>
    <row r="4" spans="1:37" ht="15.5" x14ac:dyDescent="0.35">
      <c r="A4" s="671" t="s">
        <v>2845</v>
      </c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  <c r="AB4" s="671"/>
      <c r="AC4" s="671"/>
      <c r="AD4" s="671"/>
      <c r="AE4" s="671"/>
      <c r="AF4" s="671"/>
      <c r="AG4" s="671"/>
      <c r="AH4" s="671"/>
      <c r="AI4" s="671"/>
      <c r="AJ4" s="498"/>
      <c r="AK4" s="499"/>
    </row>
    <row r="5" spans="1:37" ht="15.5" x14ac:dyDescent="0.35">
      <c r="A5" s="597"/>
      <c r="B5" s="259"/>
      <c r="C5" s="259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  <c r="T5" s="597"/>
      <c r="U5" s="597"/>
      <c r="V5" s="597"/>
      <c r="W5" s="597"/>
      <c r="X5" s="597"/>
      <c r="Y5" s="597"/>
      <c r="Z5" s="597"/>
      <c r="AA5" s="597"/>
      <c r="AB5" s="597"/>
      <c r="AC5" s="597"/>
      <c r="AD5" s="597"/>
      <c r="AE5" s="597"/>
      <c r="AF5" s="597"/>
      <c r="AG5" s="597"/>
      <c r="AH5" s="259"/>
      <c r="AI5" s="597"/>
      <c r="AJ5" s="498"/>
      <c r="AK5" s="499"/>
    </row>
    <row r="6" spans="1:37" ht="15" x14ac:dyDescent="0.35">
      <c r="A6" s="735" t="s">
        <v>2846</v>
      </c>
      <c r="B6" s="735"/>
      <c r="C6" s="735"/>
      <c r="D6" s="735"/>
      <c r="E6" s="735"/>
      <c r="F6" s="735"/>
      <c r="G6" s="735"/>
      <c r="H6" s="735"/>
      <c r="I6" s="735"/>
      <c r="J6" s="735"/>
      <c r="K6" s="735"/>
      <c r="L6" s="735"/>
      <c r="M6" s="735"/>
      <c r="N6" s="735"/>
      <c r="O6" s="735"/>
      <c r="P6" s="735"/>
      <c r="Q6" s="735"/>
      <c r="R6" s="735"/>
      <c r="S6" s="735"/>
      <c r="T6" s="735"/>
      <c r="U6" s="735"/>
      <c r="V6" s="735"/>
      <c r="W6" s="735"/>
      <c r="X6" s="735"/>
      <c r="Y6" s="735"/>
      <c r="Z6" s="735"/>
      <c r="AA6" s="735"/>
      <c r="AB6" s="735"/>
      <c r="AC6" s="735"/>
      <c r="AD6" s="735"/>
      <c r="AE6" s="735"/>
      <c r="AF6" s="735"/>
      <c r="AG6" s="735"/>
      <c r="AH6" s="735"/>
      <c r="AI6" s="735"/>
      <c r="AJ6" s="735"/>
      <c r="AK6" s="735"/>
    </row>
    <row r="7" spans="1:37" ht="15" x14ac:dyDescent="0.35">
      <c r="A7" s="736" t="s">
        <v>2847</v>
      </c>
      <c r="B7" s="736"/>
      <c r="C7" s="736"/>
      <c r="D7" s="736"/>
      <c r="E7" s="736"/>
      <c r="F7" s="736"/>
      <c r="G7" s="736"/>
      <c r="H7" s="736"/>
      <c r="I7" s="736"/>
      <c r="J7" s="736"/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736"/>
      <c r="AA7" s="736"/>
      <c r="AB7" s="736"/>
      <c r="AC7" s="736"/>
      <c r="AD7" s="736"/>
      <c r="AE7" s="736"/>
      <c r="AF7" s="736"/>
      <c r="AG7" s="736"/>
      <c r="AH7" s="736"/>
      <c r="AI7" s="736"/>
      <c r="AJ7" s="736"/>
      <c r="AK7" s="736"/>
    </row>
    <row r="8" spans="1:37" ht="15" thickBot="1" x14ac:dyDescent="0.4">
      <c r="A8" s="737" t="s">
        <v>1991</v>
      </c>
      <c r="B8" s="738"/>
      <c r="C8" s="738"/>
      <c r="D8" s="738"/>
      <c r="E8" s="738"/>
      <c r="F8" s="738"/>
      <c r="G8" s="738"/>
      <c r="H8" s="738"/>
      <c r="I8" s="738"/>
      <c r="J8" s="738"/>
      <c r="K8" s="738"/>
      <c r="L8" s="738"/>
      <c r="M8" s="738"/>
      <c r="N8" s="738"/>
      <c r="O8" s="738"/>
      <c r="P8" s="738"/>
      <c r="Q8" s="738"/>
      <c r="R8" s="738"/>
      <c r="S8" s="738"/>
      <c r="T8" s="738"/>
      <c r="U8" s="738"/>
      <c r="V8" s="738"/>
      <c r="W8" s="738"/>
      <c r="X8" s="738"/>
      <c r="Y8" s="738"/>
      <c r="Z8" s="738"/>
      <c r="AA8" s="738"/>
      <c r="AB8" s="738"/>
      <c r="AC8" s="738"/>
      <c r="AD8" s="738"/>
      <c r="AE8" s="738"/>
      <c r="AF8" s="738"/>
      <c r="AG8" s="738"/>
      <c r="AH8" s="737"/>
      <c r="AI8" s="739"/>
      <c r="AJ8" s="498"/>
      <c r="AK8" s="499"/>
    </row>
    <row r="9" spans="1:37" ht="15" thickBot="1" x14ac:dyDescent="0.4">
      <c r="A9" s="719" t="s">
        <v>4</v>
      </c>
      <c r="B9" s="716" t="s">
        <v>5</v>
      </c>
      <c r="C9" s="720" t="s">
        <v>6</v>
      </c>
      <c r="D9" s="716" t="s">
        <v>2848</v>
      </c>
      <c r="E9" s="723" t="s">
        <v>2849</v>
      </c>
      <c r="F9" s="724"/>
      <c r="G9" s="716" t="s">
        <v>9</v>
      </c>
      <c r="H9" s="716"/>
      <c r="I9" s="716" t="s">
        <v>10</v>
      </c>
      <c r="J9" s="716"/>
      <c r="K9" s="716" t="s">
        <v>11</v>
      </c>
      <c r="L9" s="716"/>
      <c r="M9" s="716" t="s">
        <v>2850</v>
      </c>
      <c r="N9" s="716" t="s">
        <v>13</v>
      </c>
      <c r="O9" s="716"/>
      <c r="P9" s="716"/>
      <c r="Q9" s="716"/>
      <c r="R9" s="716"/>
      <c r="S9" s="716"/>
      <c r="T9" s="716"/>
      <c r="U9" s="716"/>
      <c r="V9" s="716"/>
      <c r="W9" s="716"/>
      <c r="X9" s="716"/>
      <c r="Y9" s="716"/>
      <c r="Z9" s="716"/>
      <c r="AA9" s="716"/>
      <c r="AB9" s="716"/>
      <c r="AC9" s="727"/>
      <c r="AD9" s="731" t="s">
        <v>2851</v>
      </c>
      <c r="AE9" s="732"/>
      <c r="AF9" s="713" t="s">
        <v>295</v>
      </c>
      <c r="AG9" s="716" t="s">
        <v>2563</v>
      </c>
      <c r="AH9" s="716" t="s">
        <v>2852</v>
      </c>
      <c r="AI9" s="716" t="s">
        <v>2853</v>
      </c>
      <c r="AJ9" s="716" t="s">
        <v>2854</v>
      </c>
      <c r="AK9" s="728" t="s">
        <v>2855</v>
      </c>
    </row>
    <row r="10" spans="1:37" ht="15" thickBot="1" x14ac:dyDescent="0.4">
      <c r="A10" s="717"/>
      <c r="B10" s="717"/>
      <c r="C10" s="721"/>
      <c r="D10" s="717"/>
      <c r="E10" s="725"/>
      <c r="F10" s="726"/>
      <c r="G10" s="716" t="s">
        <v>22</v>
      </c>
      <c r="H10" s="716" t="s">
        <v>23</v>
      </c>
      <c r="I10" s="716" t="s">
        <v>22</v>
      </c>
      <c r="J10" s="716" t="s">
        <v>23</v>
      </c>
      <c r="K10" s="716" t="s">
        <v>22</v>
      </c>
      <c r="L10" s="716" t="s">
        <v>23</v>
      </c>
      <c r="M10" s="717"/>
      <c r="N10" s="716" t="s">
        <v>24</v>
      </c>
      <c r="O10" s="716"/>
      <c r="P10" s="716"/>
      <c r="Q10" s="716"/>
      <c r="R10" s="716"/>
      <c r="S10" s="716" t="s">
        <v>25</v>
      </c>
      <c r="T10" s="716"/>
      <c r="U10" s="716"/>
      <c r="V10" s="716"/>
      <c r="W10" s="716"/>
      <c r="X10" s="716" t="s">
        <v>44</v>
      </c>
      <c r="Y10" s="716"/>
      <c r="Z10" s="716"/>
      <c r="AA10" s="716"/>
      <c r="AB10" s="716"/>
      <c r="AC10" s="727"/>
      <c r="AD10" s="733"/>
      <c r="AE10" s="734"/>
      <c r="AF10" s="714"/>
      <c r="AG10" s="717"/>
      <c r="AH10" s="717"/>
      <c r="AI10" s="717"/>
      <c r="AJ10" s="717"/>
      <c r="AK10" s="729"/>
    </row>
    <row r="11" spans="1:37" ht="18.75" customHeight="1" thickBot="1" x14ac:dyDescent="0.4">
      <c r="A11" s="718"/>
      <c r="B11" s="718"/>
      <c r="C11" s="722"/>
      <c r="D11" s="718"/>
      <c r="E11" s="608" t="s">
        <v>19</v>
      </c>
      <c r="F11" s="608" t="s">
        <v>20</v>
      </c>
      <c r="G11" s="718"/>
      <c r="H11" s="718"/>
      <c r="I11" s="718"/>
      <c r="J11" s="718"/>
      <c r="K11" s="718"/>
      <c r="L11" s="718"/>
      <c r="M11" s="718"/>
      <c r="N11" s="500" t="s">
        <v>39</v>
      </c>
      <c r="O11" s="500" t="s">
        <v>40</v>
      </c>
      <c r="P11" s="500" t="s">
        <v>41</v>
      </c>
      <c r="Q11" s="500" t="s">
        <v>42</v>
      </c>
      <c r="R11" s="500" t="s">
        <v>43</v>
      </c>
      <c r="S11" s="500" t="s">
        <v>39</v>
      </c>
      <c r="T11" s="500" t="s">
        <v>40</v>
      </c>
      <c r="U11" s="500" t="s">
        <v>41</v>
      </c>
      <c r="V11" s="500" t="s">
        <v>42</v>
      </c>
      <c r="W11" s="500" t="s">
        <v>43</v>
      </c>
      <c r="X11" s="500" t="s">
        <v>39</v>
      </c>
      <c r="Y11" s="500" t="s">
        <v>40</v>
      </c>
      <c r="Z11" s="500" t="s">
        <v>41</v>
      </c>
      <c r="AA11" s="500" t="s">
        <v>42</v>
      </c>
      <c r="AB11" s="500" t="s">
        <v>43</v>
      </c>
      <c r="AC11" s="501" t="s">
        <v>44</v>
      </c>
      <c r="AD11" s="502" t="s">
        <v>2856</v>
      </c>
      <c r="AE11" s="503" t="s">
        <v>2857</v>
      </c>
      <c r="AF11" s="715"/>
      <c r="AG11" s="718"/>
      <c r="AH11" s="718"/>
      <c r="AI11" s="718"/>
      <c r="AJ11" s="718"/>
      <c r="AK11" s="730"/>
    </row>
    <row r="12" spans="1:37" ht="17.25" customHeight="1" x14ac:dyDescent="0.35">
      <c r="A12" s="504">
        <v>1103118</v>
      </c>
      <c r="B12" s="505" t="s">
        <v>1391</v>
      </c>
      <c r="C12" s="505" t="s">
        <v>1391</v>
      </c>
      <c r="D12" s="506" t="s">
        <v>2858</v>
      </c>
      <c r="E12" s="507" t="s">
        <v>2859</v>
      </c>
      <c r="F12" s="507" t="s">
        <v>2860</v>
      </c>
      <c r="G12" s="508">
        <v>43321</v>
      </c>
      <c r="H12" s="509">
        <v>0.79166666666666663</v>
      </c>
      <c r="I12" s="508">
        <v>43321</v>
      </c>
      <c r="J12" s="509">
        <v>0.80208333333333337</v>
      </c>
      <c r="K12" s="508">
        <v>42948</v>
      </c>
      <c r="L12" s="509">
        <v>0.85416666666666663</v>
      </c>
      <c r="M12" s="510" t="s">
        <v>1352</v>
      </c>
      <c r="N12" s="511">
        <v>0</v>
      </c>
      <c r="O12" s="105">
        <v>0.5</v>
      </c>
      <c r="P12" s="512">
        <v>0</v>
      </c>
      <c r="Q12" s="512">
        <v>0</v>
      </c>
      <c r="R12" s="512">
        <v>0</v>
      </c>
      <c r="S12" s="512">
        <v>0</v>
      </c>
      <c r="T12" s="512">
        <v>0</v>
      </c>
      <c r="U12" s="512">
        <v>0</v>
      </c>
      <c r="V12" s="512">
        <v>0</v>
      </c>
      <c r="W12" s="512">
        <v>0</v>
      </c>
      <c r="X12" s="513">
        <f t="shared" ref="X12:Z17" si="0">N12+S12</f>
        <v>0</v>
      </c>
      <c r="Y12" s="513">
        <f t="shared" si="0"/>
        <v>0.5</v>
      </c>
      <c r="Z12" s="513">
        <f t="shared" si="0"/>
        <v>0</v>
      </c>
      <c r="AA12" s="513">
        <v>0</v>
      </c>
      <c r="AB12" s="513">
        <v>0</v>
      </c>
      <c r="AC12" s="514">
        <f>X12+Y12+Z12+AA12+AB12</f>
        <v>0.5</v>
      </c>
      <c r="AD12" s="515" t="s">
        <v>117</v>
      </c>
      <c r="AE12" s="515" t="s">
        <v>117</v>
      </c>
      <c r="AF12" s="515" t="s">
        <v>117</v>
      </c>
      <c r="AG12" s="515" t="s">
        <v>72</v>
      </c>
      <c r="AH12" s="516" t="s">
        <v>2861</v>
      </c>
      <c r="AI12" s="515" t="s">
        <v>2862</v>
      </c>
      <c r="AJ12" s="517">
        <v>0</v>
      </c>
      <c r="AK12" s="515" t="s">
        <v>305</v>
      </c>
    </row>
    <row r="13" spans="1:37" ht="17.25" customHeight="1" x14ac:dyDescent="0.35">
      <c r="A13" s="518">
        <v>2103517</v>
      </c>
      <c r="B13" s="519" t="s">
        <v>2863</v>
      </c>
      <c r="C13" s="519" t="s">
        <v>210</v>
      </c>
      <c r="D13" s="520" t="s">
        <v>2864</v>
      </c>
      <c r="E13" s="521" t="s">
        <v>2865</v>
      </c>
      <c r="F13" s="521" t="s">
        <v>2866</v>
      </c>
      <c r="G13" s="522">
        <v>43327</v>
      </c>
      <c r="H13" s="523">
        <v>0.54166666666666663</v>
      </c>
      <c r="I13" s="522">
        <v>43327</v>
      </c>
      <c r="J13" s="523">
        <v>0.55208333333333337</v>
      </c>
      <c r="K13" s="522">
        <v>43327</v>
      </c>
      <c r="L13" s="523">
        <v>0.63541666666666663</v>
      </c>
      <c r="M13" s="524" t="s">
        <v>1352</v>
      </c>
      <c r="N13" s="96">
        <v>0</v>
      </c>
      <c r="O13" s="84">
        <v>0.5</v>
      </c>
      <c r="P13" s="525">
        <v>0</v>
      </c>
      <c r="Q13" s="525">
        <v>0</v>
      </c>
      <c r="R13" s="525">
        <v>0</v>
      </c>
      <c r="S13" s="525">
        <v>0</v>
      </c>
      <c r="T13" s="525">
        <v>0</v>
      </c>
      <c r="U13" s="525">
        <v>0</v>
      </c>
      <c r="V13" s="525">
        <v>0</v>
      </c>
      <c r="W13" s="525">
        <v>0</v>
      </c>
      <c r="X13" s="526">
        <f t="shared" si="0"/>
        <v>0</v>
      </c>
      <c r="Y13" s="526">
        <f t="shared" si="0"/>
        <v>0.5</v>
      </c>
      <c r="Z13" s="526">
        <f t="shared" si="0"/>
        <v>0</v>
      </c>
      <c r="AA13" s="513">
        <v>0</v>
      </c>
      <c r="AB13" s="513">
        <v>0</v>
      </c>
      <c r="AC13" s="527">
        <f>X13+Y13+Z13+AA13+AB13</f>
        <v>0.5</v>
      </c>
      <c r="AD13" s="528" t="s">
        <v>117</v>
      </c>
      <c r="AE13" s="528" t="s">
        <v>117</v>
      </c>
      <c r="AF13" s="528" t="s">
        <v>117</v>
      </c>
      <c r="AG13" s="528" t="s">
        <v>57</v>
      </c>
      <c r="AH13" s="529" t="s">
        <v>2867</v>
      </c>
      <c r="AI13" s="528" t="s">
        <v>2868</v>
      </c>
      <c r="AJ13" s="530">
        <v>78000</v>
      </c>
      <c r="AK13" s="528" t="s">
        <v>305</v>
      </c>
    </row>
    <row r="14" spans="1:37" ht="17.25" customHeight="1" x14ac:dyDescent="0.35">
      <c r="A14" s="518">
        <v>3100518</v>
      </c>
      <c r="B14" s="531" t="s">
        <v>208</v>
      </c>
      <c r="C14" s="531" t="s">
        <v>208</v>
      </c>
      <c r="D14" s="531" t="s">
        <v>2869</v>
      </c>
      <c r="E14" s="521" t="s">
        <v>2870</v>
      </c>
      <c r="F14" s="521" t="s">
        <v>2871</v>
      </c>
      <c r="G14" s="522">
        <v>43336</v>
      </c>
      <c r="H14" s="523">
        <v>0.61805555555555558</v>
      </c>
      <c r="I14" s="522">
        <v>43336</v>
      </c>
      <c r="J14" s="523">
        <v>0.625</v>
      </c>
      <c r="K14" s="522">
        <v>43336</v>
      </c>
      <c r="L14" s="523">
        <v>0.64930555555555558</v>
      </c>
      <c r="M14" s="96" t="s">
        <v>1517</v>
      </c>
      <c r="N14" s="96">
        <v>0</v>
      </c>
      <c r="O14" s="84">
        <v>0.5</v>
      </c>
      <c r="P14" s="525">
        <v>0</v>
      </c>
      <c r="Q14" s="525">
        <v>0</v>
      </c>
      <c r="R14" s="525">
        <v>0</v>
      </c>
      <c r="S14" s="525">
        <v>0</v>
      </c>
      <c r="T14" s="525">
        <v>0</v>
      </c>
      <c r="U14" s="525">
        <v>0</v>
      </c>
      <c r="V14" s="525">
        <v>0</v>
      </c>
      <c r="W14" s="525">
        <v>0</v>
      </c>
      <c r="X14" s="526">
        <f t="shared" si="0"/>
        <v>0</v>
      </c>
      <c r="Y14" s="526">
        <f t="shared" si="0"/>
        <v>0.5</v>
      </c>
      <c r="Z14" s="526">
        <f t="shared" si="0"/>
        <v>0</v>
      </c>
      <c r="AA14" s="513">
        <v>0</v>
      </c>
      <c r="AB14" s="513">
        <v>0</v>
      </c>
      <c r="AC14" s="527">
        <f>X14+Y14+Z14+AA14+AB14</f>
        <v>0.5</v>
      </c>
      <c r="AD14" s="532" t="s">
        <v>66</v>
      </c>
      <c r="AE14" s="532" t="s">
        <v>66</v>
      </c>
      <c r="AF14" s="528" t="s">
        <v>117</v>
      </c>
      <c r="AG14" s="528" t="s">
        <v>72</v>
      </c>
      <c r="AH14" s="529" t="s">
        <v>2872</v>
      </c>
      <c r="AI14" s="528" t="s">
        <v>2868</v>
      </c>
      <c r="AJ14" s="530">
        <v>26000</v>
      </c>
      <c r="AK14" s="528" t="s">
        <v>305</v>
      </c>
    </row>
    <row r="15" spans="1:37" ht="17.25" customHeight="1" x14ac:dyDescent="0.35">
      <c r="A15" s="518">
        <v>4100518</v>
      </c>
      <c r="B15" s="533" t="s">
        <v>208</v>
      </c>
      <c r="C15" s="533" t="s">
        <v>208</v>
      </c>
      <c r="D15" s="534" t="s">
        <v>2873</v>
      </c>
      <c r="E15" s="521" t="s">
        <v>2874</v>
      </c>
      <c r="F15" s="521" t="s">
        <v>2875</v>
      </c>
      <c r="G15" s="522">
        <v>43337</v>
      </c>
      <c r="H15" s="523">
        <v>0.65972222222222221</v>
      </c>
      <c r="I15" s="522">
        <v>43337</v>
      </c>
      <c r="J15" s="523">
        <v>0.67361111111111116</v>
      </c>
      <c r="K15" s="522">
        <v>43337</v>
      </c>
      <c r="L15" s="523">
        <v>0.77777777777777779</v>
      </c>
      <c r="M15" s="524" t="s">
        <v>1517</v>
      </c>
      <c r="N15" s="96">
        <v>0</v>
      </c>
      <c r="O15" s="84">
        <v>0.5</v>
      </c>
      <c r="P15" s="525">
        <v>0</v>
      </c>
      <c r="Q15" s="525">
        <v>0</v>
      </c>
      <c r="R15" s="525">
        <v>0</v>
      </c>
      <c r="S15" s="525">
        <v>0</v>
      </c>
      <c r="T15" s="525">
        <v>0</v>
      </c>
      <c r="U15" s="525">
        <v>0</v>
      </c>
      <c r="V15" s="525">
        <v>0</v>
      </c>
      <c r="W15" s="525">
        <v>0</v>
      </c>
      <c r="X15" s="526">
        <f t="shared" si="0"/>
        <v>0</v>
      </c>
      <c r="Y15" s="526">
        <f t="shared" si="0"/>
        <v>0.5</v>
      </c>
      <c r="Z15" s="535">
        <v>0.5</v>
      </c>
      <c r="AA15" s="513">
        <v>0</v>
      </c>
      <c r="AB15" s="513">
        <v>0</v>
      </c>
      <c r="AC15" s="527">
        <v>1</v>
      </c>
      <c r="AD15" s="532" t="s">
        <v>66</v>
      </c>
      <c r="AE15" s="532" t="s">
        <v>66</v>
      </c>
      <c r="AF15" s="528" t="s">
        <v>117</v>
      </c>
      <c r="AG15" s="528" t="s">
        <v>72</v>
      </c>
      <c r="AH15" s="529" t="s">
        <v>2872</v>
      </c>
      <c r="AI15" s="528" t="s">
        <v>2876</v>
      </c>
      <c r="AJ15" s="530">
        <v>52000</v>
      </c>
      <c r="AK15" s="528" t="s">
        <v>305</v>
      </c>
    </row>
    <row r="16" spans="1:37" ht="17.25" customHeight="1" x14ac:dyDescent="0.35">
      <c r="A16" s="518">
        <v>5100118</v>
      </c>
      <c r="B16" s="533" t="s">
        <v>145</v>
      </c>
      <c r="C16" s="533" t="s">
        <v>145</v>
      </c>
      <c r="D16" s="534" t="s">
        <v>2877</v>
      </c>
      <c r="E16" s="521" t="s">
        <v>2878</v>
      </c>
      <c r="F16" s="521" t="s">
        <v>2879</v>
      </c>
      <c r="G16" s="522">
        <v>43337</v>
      </c>
      <c r="H16" s="523">
        <v>0.76388888888888884</v>
      </c>
      <c r="I16" s="522">
        <v>43337</v>
      </c>
      <c r="J16" s="523">
        <v>0.77083333333333337</v>
      </c>
      <c r="K16" s="522">
        <v>43337</v>
      </c>
      <c r="L16" s="523">
        <v>0.8125</v>
      </c>
      <c r="M16" s="80" t="s">
        <v>1339</v>
      </c>
      <c r="N16" s="96">
        <v>0</v>
      </c>
      <c r="O16" s="96">
        <v>0</v>
      </c>
      <c r="P16" s="96">
        <v>0.01</v>
      </c>
      <c r="Q16" s="525">
        <v>0</v>
      </c>
      <c r="R16" s="525">
        <v>0</v>
      </c>
      <c r="S16" s="525">
        <v>0</v>
      </c>
      <c r="T16" s="525">
        <v>0</v>
      </c>
      <c r="U16" s="525">
        <v>0</v>
      </c>
      <c r="V16" s="525">
        <v>0</v>
      </c>
      <c r="W16" s="525">
        <v>0</v>
      </c>
      <c r="X16" s="526">
        <f t="shared" si="0"/>
        <v>0</v>
      </c>
      <c r="Y16" s="526">
        <f t="shared" si="0"/>
        <v>0</v>
      </c>
      <c r="Z16" s="527">
        <f t="shared" si="0"/>
        <v>0.01</v>
      </c>
      <c r="AA16" s="513">
        <v>0</v>
      </c>
      <c r="AB16" s="513">
        <v>0</v>
      </c>
      <c r="AC16" s="527">
        <f t="shared" ref="AC16:AC21" si="1">X16+Y16+Z16+AA16+AB16</f>
        <v>0.01</v>
      </c>
      <c r="AD16" s="528" t="s">
        <v>117</v>
      </c>
      <c r="AE16" s="528" t="s">
        <v>117</v>
      </c>
      <c r="AF16" s="528" t="s">
        <v>117</v>
      </c>
      <c r="AG16" s="528" t="s">
        <v>72</v>
      </c>
      <c r="AH16" s="529" t="s">
        <v>2880</v>
      </c>
      <c r="AI16" s="528" t="s">
        <v>2868</v>
      </c>
      <c r="AJ16" s="530">
        <v>0</v>
      </c>
      <c r="AK16" s="528" t="s">
        <v>305</v>
      </c>
    </row>
    <row r="17" spans="1:37" ht="17.25" customHeight="1" x14ac:dyDescent="0.35">
      <c r="A17" s="518">
        <v>6100118</v>
      </c>
      <c r="B17" s="536" t="s">
        <v>83</v>
      </c>
      <c r="C17" s="536" t="s">
        <v>95</v>
      </c>
      <c r="D17" s="534" t="s">
        <v>2463</v>
      </c>
      <c r="E17" s="521" t="s">
        <v>2881</v>
      </c>
      <c r="F17" s="521" t="s">
        <v>2882</v>
      </c>
      <c r="G17" s="537">
        <v>43340</v>
      </c>
      <c r="H17" s="538">
        <v>0.55208333333333337</v>
      </c>
      <c r="I17" s="537">
        <v>43340</v>
      </c>
      <c r="J17" s="538">
        <v>0.57291666666666663</v>
      </c>
      <c r="K17" s="537">
        <v>43340</v>
      </c>
      <c r="L17" s="538">
        <v>0.76041666666666663</v>
      </c>
      <c r="M17" s="524" t="s">
        <v>1517</v>
      </c>
      <c r="N17" s="96">
        <v>0</v>
      </c>
      <c r="O17" s="524">
        <v>1</v>
      </c>
      <c r="P17" s="524">
        <v>1</v>
      </c>
      <c r="Q17" s="525">
        <v>0</v>
      </c>
      <c r="R17" s="525">
        <v>0</v>
      </c>
      <c r="S17" s="525">
        <v>0</v>
      </c>
      <c r="T17" s="525">
        <v>0</v>
      </c>
      <c r="U17" s="525">
        <v>0</v>
      </c>
      <c r="V17" s="525">
        <v>0</v>
      </c>
      <c r="W17" s="525">
        <v>0</v>
      </c>
      <c r="X17" s="539">
        <f t="shared" si="0"/>
        <v>0</v>
      </c>
      <c r="Y17" s="539">
        <f t="shared" si="0"/>
        <v>1</v>
      </c>
      <c r="Z17" s="539">
        <f t="shared" si="0"/>
        <v>1</v>
      </c>
      <c r="AA17" s="513">
        <v>0</v>
      </c>
      <c r="AB17" s="513">
        <v>0</v>
      </c>
      <c r="AC17" s="540">
        <f t="shared" si="1"/>
        <v>2</v>
      </c>
      <c r="AD17" s="528" t="s">
        <v>117</v>
      </c>
      <c r="AE17" s="528" t="s">
        <v>117</v>
      </c>
      <c r="AF17" s="541" t="s">
        <v>117</v>
      </c>
      <c r="AG17" s="541" t="s">
        <v>72</v>
      </c>
      <c r="AH17" s="529" t="s">
        <v>2880</v>
      </c>
      <c r="AI17" s="541" t="s">
        <v>2304</v>
      </c>
      <c r="AJ17" s="542">
        <v>6000</v>
      </c>
      <c r="AK17" s="541" t="s">
        <v>305</v>
      </c>
    </row>
    <row r="18" spans="1:37" ht="17.25" customHeight="1" x14ac:dyDescent="0.35">
      <c r="A18" s="543">
        <v>7101318</v>
      </c>
      <c r="B18" s="531" t="s">
        <v>198</v>
      </c>
      <c r="C18" s="531" t="s">
        <v>198</v>
      </c>
      <c r="D18" s="531" t="s">
        <v>2883</v>
      </c>
      <c r="E18" s="521" t="s">
        <v>2884</v>
      </c>
      <c r="F18" s="521" t="s">
        <v>2885</v>
      </c>
      <c r="G18" s="537">
        <v>43342</v>
      </c>
      <c r="H18" s="538">
        <v>0.6875</v>
      </c>
      <c r="I18" s="537">
        <v>43342</v>
      </c>
      <c r="J18" s="538">
        <v>0.70138888888888884</v>
      </c>
      <c r="K18" s="537">
        <v>43342</v>
      </c>
      <c r="L18" s="538">
        <v>0.91666666666666663</v>
      </c>
      <c r="M18" s="524" t="s">
        <v>1517</v>
      </c>
      <c r="N18" s="96">
        <v>0</v>
      </c>
      <c r="O18" s="84">
        <v>0.5</v>
      </c>
      <c r="P18" s="544">
        <v>0</v>
      </c>
      <c r="Q18" s="525">
        <v>0</v>
      </c>
      <c r="R18" s="525">
        <v>0</v>
      </c>
      <c r="S18" s="525">
        <v>0</v>
      </c>
      <c r="T18" s="525">
        <v>0</v>
      </c>
      <c r="U18" s="525">
        <v>0</v>
      </c>
      <c r="V18" s="525">
        <v>0</v>
      </c>
      <c r="W18" s="525">
        <v>0</v>
      </c>
      <c r="X18" s="539">
        <f>N18+S18</f>
        <v>0</v>
      </c>
      <c r="Y18" s="545">
        <v>0.5</v>
      </c>
      <c r="Z18" s="539">
        <v>0</v>
      </c>
      <c r="AA18" s="513">
        <v>0</v>
      </c>
      <c r="AB18" s="513">
        <v>0</v>
      </c>
      <c r="AC18" s="540">
        <f t="shared" si="1"/>
        <v>0.5</v>
      </c>
      <c r="AD18" s="532" t="s">
        <v>66</v>
      </c>
      <c r="AE18" s="532" t="s">
        <v>66</v>
      </c>
      <c r="AF18" s="541" t="s">
        <v>117</v>
      </c>
      <c r="AG18" s="541" t="s">
        <v>72</v>
      </c>
      <c r="AH18" s="529" t="s">
        <v>2886</v>
      </c>
      <c r="AI18" s="541" t="s">
        <v>2304</v>
      </c>
      <c r="AJ18" s="542">
        <v>26000</v>
      </c>
      <c r="AK18" s="541" t="s">
        <v>305</v>
      </c>
    </row>
    <row r="19" spans="1:37" ht="17.25" customHeight="1" x14ac:dyDescent="0.35">
      <c r="A19" s="543">
        <v>8102318</v>
      </c>
      <c r="B19" s="531" t="s">
        <v>198</v>
      </c>
      <c r="C19" s="531" t="s">
        <v>1961</v>
      </c>
      <c r="D19" s="531" t="s">
        <v>2887</v>
      </c>
      <c r="E19" s="521" t="s">
        <v>2888</v>
      </c>
      <c r="F19" s="521" t="s">
        <v>2889</v>
      </c>
      <c r="G19" s="537">
        <v>43343</v>
      </c>
      <c r="H19" s="538">
        <v>0.61388888888888882</v>
      </c>
      <c r="I19" s="537">
        <v>43343</v>
      </c>
      <c r="J19" s="538">
        <v>0.63194444444444442</v>
      </c>
      <c r="K19" s="537">
        <v>43343</v>
      </c>
      <c r="L19" s="538">
        <v>0.85416666666666663</v>
      </c>
      <c r="M19" s="524" t="s">
        <v>1517</v>
      </c>
      <c r="N19" s="96">
        <v>0</v>
      </c>
      <c r="O19" s="84">
        <v>0.5</v>
      </c>
      <c r="P19" s="544">
        <v>0</v>
      </c>
      <c r="Q19" s="525">
        <v>0</v>
      </c>
      <c r="R19" s="525">
        <v>0</v>
      </c>
      <c r="S19" s="525">
        <v>0</v>
      </c>
      <c r="T19" s="525">
        <v>0</v>
      </c>
      <c r="U19" s="525">
        <v>0</v>
      </c>
      <c r="V19" s="525">
        <v>0</v>
      </c>
      <c r="W19" s="525">
        <v>0</v>
      </c>
      <c r="X19" s="539">
        <f>N19+S19</f>
        <v>0</v>
      </c>
      <c r="Y19" s="539">
        <v>0.5</v>
      </c>
      <c r="Z19" s="539">
        <v>0</v>
      </c>
      <c r="AA19" s="513">
        <v>0</v>
      </c>
      <c r="AB19" s="513">
        <v>0</v>
      </c>
      <c r="AC19" s="540">
        <f t="shared" si="1"/>
        <v>0.5</v>
      </c>
      <c r="AD19" s="546" t="s">
        <v>188</v>
      </c>
      <c r="AE19" s="546" t="s">
        <v>188</v>
      </c>
      <c r="AF19" s="541" t="s">
        <v>117</v>
      </c>
      <c r="AG19" s="541" t="s">
        <v>72</v>
      </c>
      <c r="AH19" s="529" t="s">
        <v>2872</v>
      </c>
      <c r="AI19" s="541" t="s">
        <v>2890</v>
      </c>
      <c r="AJ19" s="542">
        <v>26000</v>
      </c>
      <c r="AK19" s="541" t="s">
        <v>305</v>
      </c>
    </row>
    <row r="20" spans="1:37" ht="17.25" customHeight="1" x14ac:dyDescent="0.35">
      <c r="A20" s="547">
        <v>9100518</v>
      </c>
      <c r="B20" s="548" t="s">
        <v>208</v>
      </c>
      <c r="C20" s="548" t="s">
        <v>208</v>
      </c>
      <c r="D20" s="548" t="s">
        <v>2869</v>
      </c>
      <c r="E20" s="521" t="s">
        <v>2891</v>
      </c>
      <c r="F20" s="521" t="s">
        <v>2892</v>
      </c>
      <c r="G20" s="537">
        <v>43346</v>
      </c>
      <c r="H20" s="538">
        <v>0.52083333333333337</v>
      </c>
      <c r="I20" s="537">
        <v>43346</v>
      </c>
      <c r="J20" s="538">
        <v>0.53819444444444442</v>
      </c>
      <c r="K20" s="537">
        <v>43346</v>
      </c>
      <c r="L20" s="538">
        <v>0.73958333333333337</v>
      </c>
      <c r="M20" s="524" t="s">
        <v>1517</v>
      </c>
      <c r="N20" s="96">
        <v>0</v>
      </c>
      <c r="O20" s="524">
        <v>0.35</v>
      </c>
      <c r="P20" s="524">
        <v>0.15</v>
      </c>
      <c r="Q20" s="525">
        <v>0</v>
      </c>
      <c r="R20" s="525">
        <v>0</v>
      </c>
      <c r="S20" s="525">
        <v>0</v>
      </c>
      <c r="T20" s="525">
        <v>0</v>
      </c>
      <c r="U20" s="525">
        <v>0</v>
      </c>
      <c r="V20" s="525">
        <v>0</v>
      </c>
      <c r="W20" s="525">
        <v>0</v>
      </c>
      <c r="X20" s="539">
        <f>N20+S20</f>
        <v>0</v>
      </c>
      <c r="Y20" s="540">
        <v>0.35</v>
      </c>
      <c r="Z20" s="540">
        <v>0.15</v>
      </c>
      <c r="AA20" s="513">
        <v>0</v>
      </c>
      <c r="AB20" s="513">
        <v>0</v>
      </c>
      <c r="AC20" s="540">
        <f t="shared" si="1"/>
        <v>0.5</v>
      </c>
      <c r="AD20" s="549" t="s">
        <v>117</v>
      </c>
      <c r="AE20" s="546" t="s">
        <v>117</v>
      </c>
      <c r="AF20" s="550" t="s">
        <v>117</v>
      </c>
      <c r="AG20" s="551" t="s">
        <v>72</v>
      </c>
      <c r="AH20" s="529" t="s">
        <v>2893</v>
      </c>
      <c r="AI20" s="541" t="s">
        <v>2304</v>
      </c>
      <c r="AJ20" s="552">
        <v>3190</v>
      </c>
      <c r="AK20" s="553" t="s">
        <v>305</v>
      </c>
    </row>
    <row r="21" spans="1:37" ht="17.25" customHeight="1" thickBot="1" x14ac:dyDescent="0.4">
      <c r="A21" s="554">
        <v>10103718</v>
      </c>
      <c r="B21" s="555" t="s">
        <v>78</v>
      </c>
      <c r="C21" s="555" t="s">
        <v>79</v>
      </c>
      <c r="D21" s="555" t="s">
        <v>2894</v>
      </c>
      <c r="E21" s="521" t="s">
        <v>2895</v>
      </c>
      <c r="F21" s="521" t="s">
        <v>2896</v>
      </c>
      <c r="G21" s="556">
        <v>43374</v>
      </c>
      <c r="H21" s="557">
        <v>0.58680555555555558</v>
      </c>
      <c r="I21" s="556">
        <v>43374</v>
      </c>
      <c r="J21" s="557">
        <v>0.59375</v>
      </c>
      <c r="K21" s="556">
        <v>43374</v>
      </c>
      <c r="L21" s="557">
        <v>0.71875</v>
      </c>
      <c r="M21" s="558" t="s">
        <v>1352</v>
      </c>
      <c r="N21" s="559">
        <v>0</v>
      </c>
      <c r="O21" s="558">
        <v>1</v>
      </c>
      <c r="P21" s="558">
        <v>1</v>
      </c>
      <c r="Q21" s="560">
        <v>0</v>
      </c>
      <c r="R21" s="560">
        <v>0</v>
      </c>
      <c r="S21" s="560">
        <v>0</v>
      </c>
      <c r="T21" s="560">
        <v>0</v>
      </c>
      <c r="U21" s="560">
        <v>0</v>
      </c>
      <c r="V21" s="560">
        <v>0</v>
      </c>
      <c r="W21" s="560">
        <v>0</v>
      </c>
      <c r="X21" s="561">
        <f>N21+S21</f>
        <v>0</v>
      </c>
      <c r="Y21" s="561">
        <v>1</v>
      </c>
      <c r="Z21" s="561">
        <v>1</v>
      </c>
      <c r="AA21" s="513">
        <v>0</v>
      </c>
      <c r="AB21" s="513">
        <v>0</v>
      </c>
      <c r="AC21" s="562">
        <f t="shared" si="1"/>
        <v>2</v>
      </c>
      <c r="AD21" s="563" t="s">
        <v>188</v>
      </c>
      <c r="AE21" s="564" t="s">
        <v>188</v>
      </c>
      <c r="AF21" s="565" t="s">
        <v>117</v>
      </c>
      <c r="AG21" s="566" t="s">
        <v>72</v>
      </c>
      <c r="AH21" s="567" t="s">
        <v>2872</v>
      </c>
      <c r="AI21" s="568" t="s">
        <v>2304</v>
      </c>
      <c r="AJ21" s="569">
        <v>26000</v>
      </c>
      <c r="AK21" s="570" t="s">
        <v>305</v>
      </c>
    </row>
    <row r="22" spans="1:37" ht="15" thickBot="1" x14ac:dyDescent="0.4">
      <c r="A22" s="711" t="s">
        <v>44</v>
      </c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712"/>
      <c r="N22" s="571">
        <f t="shared" ref="N22:AC22" si="2">SUM(N12:N21)</f>
        <v>0</v>
      </c>
      <c r="O22" s="572">
        <f t="shared" si="2"/>
        <v>5.35</v>
      </c>
      <c r="P22" s="572">
        <f t="shared" si="2"/>
        <v>2.16</v>
      </c>
      <c r="Q22" s="571">
        <f t="shared" si="2"/>
        <v>0</v>
      </c>
      <c r="R22" s="571">
        <f t="shared" si="2"/>
        <v>0</v>
      </c>
      <c r="S22" s="571">
        <f t="shared" si="2"/>
        <v>0</v>
      </c>
      <c r="T22" s="571">
        <f t="shared" si="2"/>
        <v>0</v>
      </c>
      <c r="U22" s="571">
        <f t="shared" si="2"/>
        <v>0</v>
      </c>
      <c r="V22" s="571">
        <f t="shared" si="2"/>
        <v>0</v>
      </c>
      <c r="W22" s="571">
        <f t="shared" si="2"/>
        <v>0</v>
      </c>
      <c r="X22" s="571">
        <f t="shared" si="2"/>
        <v>0</v>
      </c>
      <c r="Y22" s="572">
        <f t="shared" si="2"/>
        <v>5.35</v>
      </c>
      <c r="Z22" s="572">
        <f t="shared" si="2"/>
        <v>2.66</v>
      </c>
      <c r="AA22" s="571">
        <f t="shared" si="2"/>
        <v>0</v>
      </c>
      <c r="AB22" s="571">
        <f t="shared" si="2"/>
        <v>0</v>
      </c>
      <c r="AC22" s="572">
        <f t="shared" si="2"/>
        <v>8.01</v>
      </c>
      <c r="AD22" s="573"/>
      <c r="AE22" s="573"/>
      <c r="AF22" s="574"/>
      <c r="AG22" s="575"/>
      <c r="AH22" s="576"/>
      <c r="AI22" s="575"/>
      <c r="AJ22" s="577"/>
      <c r="AK22" s="578"/>
    </row>
  </sheetData>
  <mergeCells count="32">
    <mergeCell ref="A1:AI1"/>
    <mergeCell ref="A4:AI4"/>
    <mergeCell ref="A6:AK6"/>
    <mergeCell ref="A7:AK7"/>
    <mergeCell ref="A8:AI8"/>
    <mergeCell ref="AJ9:AJ11"/>
    <mergeCell ref="AK9:AK11"/>
    <mergeCell ref="G9:H9"/>
    <mergeCell ref="I9:J9"/>
    <mergeCell ref="K9:L9"/>
    <mergeCell ref="M9:M11"/>
    <mergeCell ref="N9:AC9"/>
    <mergeCell ref="AD9:AE10"/>
    <mergeCell ref="G10:G11"/>
    <mergeCell ref="H10:H11"/>
    <mergeCell ref="I10:I11"/>
    <mergeCell ref="J10:J11"/>
    <mergeCell ref="A22:M22"/>
    <mergeCell ref="AF9:AF11"/>
    <mergeCell ref="AG9:AG11"/>
    <mergeCell ref="AH9:AH11"/>
    <mergeCell ref="AI9:AI11"/>
    <mergeCell ref="A9:A11"/>
    <mergeCell ref="B9:B11"/>
    <mergeCell ref="C9:C11"/>
    <mergeCell ref="D9:D11"/>
    <mergeCell ref="E9:F10"/>
    <mergeCell ref="K10:K11"/>
    <mergeCell ref="L10:L11"/>
    <mergeCell ref="N10:R10"/>
    <mergeCell ref="S10:W10"/>
    <mergeCell ref="X10:A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2006-09-12T15:06:44Z</dcterms:created>
  <dcterms:modified xsi:type="dcterms:W3CDTF">2026-02-04T23:58:54Z</dcterms:modified>
  <cp:category/>
  <cp:contentStatus/>
</cp:coreProperties>
</file>